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C3B6E8E1-03DB-4915-8407-C824E37FF3CE}" xr6:coauthVersionLast="47" xr6:coauthVersionMax="47" xr10:uidLastSave="{00000000-0000-0000-0000-000000000000}"/>
  <bookViews>
    <workbookView xWindow="-120" yWindow="-120" windowWidth="38640" windowHeight="21120" tabRatio="771" firstSheet="1" activeTab="1" xr2:uid="{80ECEB7E-41BB-403E-8D1D-CC6A418DB6AA}"/>
  </bookViews>
  <sheets>
    <sheet name="wyniki" sheetId="25" state="hidden" r:id="rId1"/>
    <sheet name="konkurs2" sheetId="71" r:id="rId2"/>
    <sheet name="zasady" sheetId="68" r:id="rId3"/>
  </sheets>
  <definedNames>
    <definedName name="team" localSheetId="1">konkurs2!#REF!</definedName>
    <definedName name="team" localSheetId="2">#REF!</definedName>
    <definedName name="team">wyniki!$AX$5:$BD$47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9" i="71" l="1"/>
  <c r="S69" i="71"/>
  <c r="N69" i="71"/>
  <c r="O70" i="71"/>
  <c r="K65" i="71"/>
  <c r="AU17" i="71"/>
  <c r="AV17" i="71" s="1"/>
  <c r="AQ17" i="71"/>
  <c r="AR17" i="71" s="1"/>
  <c r="AM17" i="71"/>
  <c r="AN17" i="71" s="1"/>
  <c r="AI17" i="71"/>
  <c r="AJ17" i="71" s="1"/>
  <c r="AE17" i="71"/>
  <c r="AF17" i="71" s="1"/>
  <c r="AA17" i="71"/>
  <c r="AB17" i="71" s="1"/>
  <c r="W17" i="71"/>
  <c r="X17" i="71" s="1"/>
  <c r="S17" i="71"/>
  <c r="T17" i="71" s="1"/>
  <c r="O17" i="71"/>
  <c r="P17" i="71" s="1"/>
  <c r="K17" i="71"/>
  <c r="L17" i="71" s="1"/>
  <c r="G17" i="71"/>
  <c r="H17" i="71" s="1"/>
  <c r="C17" i="71"/>
  <c r="D17" i="71" s="1"/>
  <c r="AU16" i="71"/>
  <c r="AQ16" i="71"/>
  <c r="BF205" i="71" s="1"/>
  <c r="AM16" i="71"/>
  <c r="AI16" i="71"/>
  <c r="BA6" i="71" s="1"/>
  <c r="AE16" i="71"/>
  <c r="BC139" i="71" s="1"/>
  <c r="AA16" i="71"/>
  <c r="W16" i="71"/>
  <c r="BD162" i="71" s="1"/>
  <c r="S16" i="71"/>
  <c r="AY142" i="71" s="1"/>
  <c r="O16" i="71"/>
  <c r="BB13" i="71" s="1"/>
  <c r="K16" i="71"/>
  <c r="BB270" i="71" s="1"/>
  <c r="G16" i="71"/>
  <c r="BA165" i="71" s="1"/>
  <c r="C16" i="71"/>
  <c r="AU15" i="71"/>
  <c r="AQ15" i="71"/>
  <c r="AM15" i="71"/>
  <c r="AI15" i="71"/>
  <c r="AJ15" i="71" s="1"/>
  <c r="AE15" i="71"/>
  <c r="AA15" i="71"/>
  <c r="W15" i="71"/>
  <c r="X15" i="71" s="1"/>
  <c r="S15" i="71"/>
  <c r="O15" i="71"/>
  <c r="K15" i="71"/>
  <c r="G15" i="71"/>
  <c r="C15" i="71"/>
  <c r="AU14" i="71"/>
  <c r="AV14" i="71" s="1"/>
  <c r="AQ14" i="71"/>
  <c r="AM14" i="71"/>
  <c r="AI14" i="71"/>
  <c r="AE14" i="71"/>
  <c r="AA14" i="71"/>
  <c r="W14" i="71"/>
  <c r="S14" i="71"/>
  <c r="O14" i="71"/>
  <c r="K14" i="71"/>
  <c r="L14" i="71" s="1"/>
  <c r="G14" i="71"/>
  <c r="C14" i="71"/>
  <c r="D14" i="71" s="1"/>
  <c r="O72" i="71" l="1"/>
  <c r="M72" i="71" s="1"/>
  <c r="BI12" i="71"/>
  <c r="BI7" i="71"/>
  <c r="BI9" i="71"/>
  <c r="BI11" i="71"/>
  <c r="BF11" i="71"/>
  <c r="BF14" i="71"/>
  <c r="BF10" i="71"/>
  <c r="BF12" i="71"/>
  <c r="BF6" i="71"/>
  <c r="BF7" i="71"/>
  <c r="BF8" i="71"/>
  <c r="BJ13" i="71"/>
  <c r="BF9" i="71"/>
  <c r="BI135" i="71"/>
  <c r="BE76" i="71"/>
  <c r="BA9" i="71"/>
  <c r="BC45" i="71"/>
  <c r="BC109" i="71"/>
  <c r="BB6" i="71"/>
  <c r="BD12" i="71"/>
  <c r="BD14" i="71"/>
  <c r="BD7" i="71"/>
  <c r="BD13" i="71"/>
  <c r="BD9" i="71"/>
  <c r="BD10" i="71"/>
  <c r="BD11" i="71"/>
  <c r="BJ8" i="71"/>
  <c r="BD152" i="71"/>
  <c r="BB55" i="71"/>
  <c r="BJ16" i="71"/>
  <c r="BD15" i="71"/>
  <c r="AY11" i="71"/>
  <c r="AY6" i="71"/>
  <c r="BI64" i="71"/>
  <c r="BI87" i="71"/>
  <c r="BI182" i="71"/>
  <c r="BB15" i="71"/>
  <c r="BI8" i="71"/>
  <c r="BI10" i="71"/>
  <c r="BI13" i="71"/>
  <c r="BI14" i="71"/>
  <c r="AY162" i="71"/>
  <c r="BI6" i="71"/>
  <c r="BB228" i="71"/>
  <c r="BA125" i="71"/>
  <c r="AY9" i="71"/>
  <c r="AY27" i="71"/>
  <c r="AY26" i="71"/>
  <c r="AY29" i="71"/>
  <c r="BB30" i="71"/>
  <c r="BB19" i="71"/>
  <c r="BB21" i="71"/>
  <c r="BB23" i="71"/>
  <c r="BB32" i="71"/>
  <c r="AY25" i="71"/>
  <c r="AY28" i="71"/>
  <c r="AY24" i="71"/>
  <c r="BB20" i="71"/>
  <c r="BB22" i="71"/>
  <c r="BB31" i="71"/>
  <c r="BB33" i="71"/>
  <c r="BJ28" i="71"/>
  <c r="BF26" i="71"/>
  <c r="BF29" i="71"/>
  <c r="BF31" i="71"/>
  <c r="BF20" i="71"/>
  <c r="BJ21" i="71"/>
  <c r="BF22" i="71"/>
  <c r="BF25" i="71"/>
  <c r="BF33" i="71"/>
  <c r="BF24" i="71"/>
  <c r="BF30" i="71"/>
  <c r="BF19" i="71"/>
  <c r="BF23" i="71"/>
  <c r="BF27" i="71"/>
  <c r="BF32" i="71"/>
  <c r="BD43" i="71"/>
  <c r="BJ52" i="71"/>
  <c r="BH64" i="71"/>
  <c r="AY74" i="71"/>
  <c r="BE86" i="71"/>
  <c r="BD106" i="71"/>
  <c r="BC123" i="71"/>
  <c r="BH133" i="71"/>
  <c r="BH149" i="71"/>
  <c r="BD160" i="71"/>
  <c r="BI181" i="71"/>
  <c r="BF201" i="71"/>
  <c r="BF225" i="71"/>
  <c r="BB262" i="71"/>
  <c r="V39" i="71"/>
  <c r="X39" i="71" s="1"/>
  <c r="BD45" i="71"/>
  <c r="BD65" i="71"/>
  <c r="BA77" i="71"/>
  <c r="BD90" i="71"/>
  <c r="BD110" i="71"/>
  <c r="BH125" i="71"/>
  <c r="AY136" i="71"/>
  <c r="AY154" i="71"/>
  <c r="BI185" i="71"/>
  <c r="BB208" i="71"/>
  <c r="BA232" i="71"/>
  <c r="BE270" i="71"/>
  <c r="AY13" i="71"/>
  <c r="AY14" i="71"/>
  <c r="BA275" i="71"/>
  <c r="BI30" i="71"/>
  <c r="BD20" i="71"/>
  <c r="BD22" i="71"/>
  <c r="BD25" i="71"/>
  <c r="BI31" i="71"/>
  <c r="BI33" i="71"/>
  <c r="BD28" i="71"/>
  <c r="BI32" i="71"/>
  <c r="BD19" i="71"/>
  <c r="BJ23" i="71"/>
  <c r="BD24" i="71"/>
  <c r="BD27" i="71"/>
  <c r="BD21" i="71"/>
  <c r="BD26" i="71"/>
  <c r="BD29" i="71"/>
  <c r="BF37" i="71"/>
  <c r="AY46" i="71"/>
  <c r="BJ59" i="71"/>
  <c r="BH77" i="71"/>
  <c r="AY94" i="71"/>
  <c r="AY112" i="71"/>
  <c r="BD126" i="71"/>
  <c r="AY156" i="71"/>
  <c r="BI186" i="71"/>
  <c r="BF209" i="71"/>
  <c r="BB232" i="71"/>
  <c r="BA273" i="71"/>
  <c r="BJ178" i="71"/>
  <c r="BE26" i="71"/>
  <c r="BE23" i="71"/>
  <c r="BE20" i="71"/>
  <c r="BE25" i="71"/>
  <c r="BE31" i="71"/>
  <c r="BE33" i="71"/>
  <c r="BE32" i="71"/>
  <c r="BE28" i="71"/>
  <c r="BJ29" i="71"/>
  <c r="BE19" i="71"/>
  <c r="BE21" i="71"/>
  <c r="BE24" i="71"/>
  <c r="BE30" i="71"/>
  <c r="BE27" i="71"/>
  <c r="BJ22" i="71"/>
  <c r="AY8" i="71"/>
  <c r="AZ19" i="71"/>
  <c r="AZ21" i="71"/>
  <c r="AZ23" i="71"/>
  <c r="BJ24" i="71"/>
  <c r="AZ32" i="71"/>
  <c r="BJ30" i="71"/>
  <c r="AZ31" i="71"/>
  <c r="AZ33" i="71"/>
  <c r="AZ26" i="71"/>
  <c r="AZ29" i="71"/>
  <c r="AZ20" i="71"/>
  <c r="AZ22" i="71"/>
  <c r="AZ28" i="71"/>
  <c r="AZ25" i="71"/>
  <c r="AZ27" i="71"/>
  <c r="V41" i="71"/>
  <c r="BD61" i="71"/>
  <c r="BI69" i="71"/>
  <c r="BH79" i="71"/>
  <c r="BI95" i="71"/>
  <c r="BD112" i="71"/>
  <c r="AY128" i="71"/>
  <c r="BH139" i="71"/>
  <c r="BD156" i="71"/>
  <c r="BC165" i="71"/>
  <c r="BI190" i="71"/>
  <c r="BB212" i="71"/>
  <c r="BB236" i="71"/>
  <c r="BF289" i="71"/>
  <c r="BB28" i="71"/>
  <c r="BD31" i="71"/>
  <c r="BB24" i="71"/>
  <c r="BI19" i="71"/>
  <c r="BI21" i="71"/>
  <c r="BI20" i="71"/>
  <c r="BI22" i="71"/>
  <c r="BB27" i="71"/>
  <c r="BD23" i="71"/>
  <c r="BB26" i="71"/>
  <c r="BD32" i="71"/>
  <c r="BD30" i="71"/>
  <c r="BB29" i="71"/>
  <c r="BB25" i="71"/>
  <c r="BD33" i="71"/>
  <c r="BJ7" i="71"/>
  <c r="AY10" i="71"/>
  <c r="BJ15" i="71"/>
  <c r="BI198" i="71"/>
  <c r="AY23" i="71"/>
  <c r="BC28" i="71"/>
  <c r="BC24" i="71"/>
  <c r="BC32" i="71"/>
  <c r="BC26" i="71"/>
  <c r="BC29" i="71"/>
  <c r="BC30" i="71"/>
  <c r="BC19" i="71"/>
  <c r="BC21" i="71"/>
  <c r="BC27" i="71"/>
  <c r="BJ25" i="71"/>
  <c r="BJ31" i="71"/>
  <c r="BC20" i="71"/>
  <c r="BC22" i="71"/>
  <c r="BC33" i="71"/>
  <c r="BD39" i="71"/>
  <c r="BF47" i="71"/>
  <c r="BI61" i="71"/>
  <c r="AY70" i="71"/>
  <c r="AY80" i="71"/>
  <c r="AY100" i="71"/>
  <c r="BI115" i="71"/>
  <c r="BD128" i="71"/>
  <c r="BC157" i="71"/>
  <c r="BI169" i="71"/>
  <c r="BJ190" i="71"/>
  <c r="BF213" i="71"/>
  <c r="BF237" i="71"/>
  <c r="BF326" i="71"/>
  <c r="S39" i="71"/>
  <c r="BH319" i="71"/>
  <c r="AY19" i="71"/>
  <c r="AY21" i="71"/>
  <c r="AY32" i="71"/>
  <c r="BI23" i="71"/>
  <c r="BI27" i="71"/>
  <c r="AY33" i="71"/>
  <c r="AY20" i="71"/>
  <c r="AY22" i="71"/>
  <c r="BI26" i="71"/>
  <c r="BI29" i="71"/>
  <c r="AY31" i="71"/>
  <c r="BI28" i="71"/>
  <c r="AY30" i="71"/>
  <c r="BI24" i="71"/>
  <c r="BI25" i="71"/>
  <c r="BB10" i="71"/>
  <c r="AY12" i="71"/>
  <c r="D16" i="71"/>
  <c r="BG19" i="71"/>
  <c r="BG21" i="71"/>
  <c r="BG27" i="71"/>
  <c r="BG32" i="71"/>
  <c r="BG26" i="71"/>
  <c r="BG29" i="71"/>
  <c r="BG24" i="71"/>
  <c r="BG28" i="71"/>
  <c r="BG20" i="71"/>
  <c r="BG22" i="71"/>
  <c r="BG25" i="71"/>
  <c r="BG31" i="71"/>
  <c r="BG33" i="71"/>
  <c r="BG30" i="71"/>
  <c r="BG23" i="71"/>
  <c r="BI131" i="71"/>
  <c r="BA24" i="71"/>
  <c r="BE29" i="71"/>
  <c r="BA30" i="71"/>
  <c r="BE22" i="71"/>
  <c r="BA23" i="71"/>
  <c r="BA27" i="71"/>
  <c r="BJ32" i="71"/>
  <c r="BJ19" i="71"/>
  <c r="BA25" i="71"/>
  <c r="BA31" i="71"/>
  <c r="BF28" i="71"/>
  <c r="BJ26" i="71"/>
  <c r="BA20" i="71"/>
  <c r="BA33" i="71"/>
  <c r="BF21" i="71"/>
  <c r="AY40" i="71"/>
  <c r="AY50" i="71"/>
  <c r="BF62" i="71"/>
  <c r="BH71" i="71"/>
  <c r="BH83" i="71"/>
  <c r="BD102" i="71"/>
  <c r="BH119" i="71"/>
  <c r="BH129" i="71"/>
  <c r="BH145" i="71"/>
  <c r="AZ159" i="71"/>
  <c r="BI170" i="71"/>
  <c r="BA195" i="71"/>
  <c r="BI217" i="71"/>
  <c r="BF241" i="71"/>
  <c r="BE364" i="71"/>
  <c r="BB7" i="71"/>
  <c r="BH30" i="71"/>
  <c r="BH32" i="71"/>
  <c r="BH19" i="71"/>
  <c r="BH21" i="71"/>
  <c r="BH23" i="71"/>
  <c r="BH28" i="71"/>
  <c r="BH22" i="71"/>
  <c r="BH26" i="71"/>
  <c r="BH29" i="71"/>
  <c r="BH20" i="71"/>
  <c r="BH25" i="71"/>
  <c r="BH31" i="71"/>
  <c r="BH33" i="71"/>
  <c r="BH24" i="71"/>
  <c r="BH27" i="71"/>
  <c r="BC25" i="71"/>
  <c r="AZ30" i="71"/>
  <c r="BA22" i="71"/>
  <c r="BA19" i="71"/>
  <c r="BA21" i="71"/>
  <c r="BA32" i="71"/>
  <c r="BJ27" i="71"/>
  <c r="BC23" i="71"/>
  <c r="BA26" i="71"/>
  <c r="BA29" i="71"/>
  <c r="BJ20" i="71"/>
  <c r="AZ24" i="71"/>
  <c r="BA28" i="71"/>
  <c r="BJ33" i="71"/>
  <c r="BC31" i="71"/>
  <c r="BF18" i="71"/>
  <c r="AY42" i="71"/>
  <c r="AY51" i="71"/>
  <c r="BH73" i="71"/>
  <c r="BD84" i="71"/>
  <c r="AY104" i="71"/>
  <c r="BD122" i="71"/>
  <c r="BD132" i="71"/>
  <c r="BI145" i="71"/>
  <c r="BA159" i="71"/>
  <c r="BB176" i="71"/>
  <c r="BA196" i="71"/>
  <c r="BA223" i="71"/>
  <c r="BF243" i="71"/>
  <c r="BE374" i="71"/>
  <c r="AA41" i="71"/>
  <c r="P15" i="71"/>
  <c r="BG380" i="71"/>
  <c r="P16" i="71"/>
  <c r="BI177" i="71"/>
  <c r="BD148" i="71"/>
  <c r="BD118" i="71"/>
  <c r="BB61" i="71"/>
  <c r="BI58" i="71"/>
  <c r="BI56" i="71"/>
  <c r="BB36" i="71"/>
  <c r="BI17" i="71"/>
  <c r="BB14" i="71"/>
  <c r="BD346" i="71"/>
  <c r="BH307" i="71"/>
  <c r="BE169" i="71"/>
  <c r="BD144" i="71"/>
  <c r="BD138" i="71"/>
  <c r="BH111" i="71"/>
  <c r="BH105" i="71"/>
  <c r="BH101" i="71"/>
  <c r="BH89" i="71"/>
  <c r="BI51" i="71"/>
  <c r="BB44" i="71"/>
  <c r="BB38" i="71"/>
  <c r="BI16" i="71"/>
  <c r="BI15" i="71"/>
  <c r="BB192" i="71"/>
  <c r="BG392" i="71"/>
  <c r="BH97" i="71"/>
  <c r="BB49" i="71"/>
  <c r="BB188" i="71"/>
  <c r="BB246" i="71"/>
  <c r="BB184" i="71"/>
  <c r="BB180" i="71"/>
  <c r="BB168" i="71"/>
  <c r="BB46" i="71"/>
  <c r="BB40" i="71"/>
  <c r="BD35" i="71"/>
  <c r="BB9" i="71"/>
  <c r="BB8" i="71"/>
  <c r="BB367" i="71"/>
  <c r="BB196" i="71"/>
  <c r="BD146" i="71"/>
  <c r="BD136" i="71"/>
  <c r="BE132" i="71"/>
  <c r="BD116" i="71"/>
  <c r="BH103" i="71"/>
  <c r="BH87" i="71"/>
  <c r="BB48" i="71"/>
  <c r="BH317" i="71"/>
  <c r="BB286" i="71"/>
  <c r="BE48" i="71"/>
  <c r="BH93" i="71"/>
  <c r="BB12" i="71"/>
  <c r="K41" i="71"/>
  <c r="AF14" i="71"/>
  <c r="AD41" i="71"/>
  <c r="AF41" i="71" s="1"/>
  <c r="AB15" i="71"/>
  <c r="BH113" i="71"/>
  <c r="BE122" i="71"/>
  <c r="BD140" i="71"/>
  <c r="BE106" i="71"/>
  <c r="BB204" i="71"/>
  <c r="BE220" i="71"/>
  <c r="BE282" i="71"/>
  <c r="BB11" i="71"/>
  <c r="AJ16" i="71"/>
  <c r="BF259" i="71"/>
  <c r="BE240" i="71"/>
  <c r="BA235" i="71"/>
  <c r="BA211" i="71"/>
  <c r="BA208" i="71"/>
  <c r="BI161" i="71"/>
  <c r="BI155" i="71"/>
  <c r="BE144" i="71"/>
  <c r="BI111" i="71"/>
  <c r="BC95" i="71"/>
  <c r="BJ397" i="71"/>
  <c r="BI267" i="71"/>
  <c r="BI230" i="71"/>
  <c r="BE224" i="71"/>
  <c r="BA220" i="71"/>
  <c r="BA215" i="71"/>
  <c r="BJ210" i="71"/>
  <c r="BA207" i="71"/>
  <c r="BE185" i="71"/>
  <c r="BF177" i="71"/>
  <c r="BE134" i="71"/>
  <c r="BC127" i="71"/>
  <c r="BC115" i="71"/>
  <c r="BE108" i="71"/>
  <c r="BC69" i="71"/>
  <c r="BE49" i="71"/>
  <c r="BF13" i="71"/>
  <c r="BE254" i="71"/>
  <c r="BA183" i="71"/>
  <c r="BA180" i="71"/>
  <c r="BJ345" i="71"/>
  <c r="BI229" i="71"/>
  <c r="BI202" i="71"/>
  <c r="BE154" i="71"/>
  <c r="BI147" i="71"/>
  <c r="BC121" i="71"/>
  <c r="BE104" i="71"/>
  <c r="BI81" i="71"/>
  <c r="BC66" i="71"/>
  <c r="BE233" i="71"/>
  <c r="BE196" i="71"/>
  <c r="BA171" i="71"/>
  <c r="BF374" i="71"/>
  <c r="BI201" i="71"/>
  <c r="BA172" i="71"/>
  <c r="BI163" i="71"/>
  <c r="BI157" i="71"/>
  <c r="BE140" i="71"/>
  <c r="BE120" i="71"/>
  <c r="BC97" i="71"/>
  <c r="BE65" i="71"/>
  <c r="BF57" i="71"/>
  <c r="BF43" i="71"/>
  <c r="BA17" i="71"/>
  <c r="BA16" i="71"/>
  <c r="BE264" i="71"/>
  <c r="BA243" i="71"/>
  <c r="BE228" i="71"/>
  <c r="BE213" i="71"/>
  <c r="BE205" i="71"/>
  <c r="BA192" i="71"/>
  <c r="BA187" i="71"/>
  <c r="BJ182" i="71"/>
  <c r="BA179" i="71"/>
  <c r="BA176" i="71"/>
  <c r="AZ123" i="71"/>
  <c r="BI109" i="71"/>
  <c r="BC91" i="71"/>
  <c r="BF39" i="71"/>
  <c r="BA12" i="71"/>
  <c r="BA10" i="71"/>
  <c r="BA7" i="71"/>
  <c r="BJ58" i="71"/>
  <c r="BE80" i="71"/>
  <c r="BE90" i="71"/>
  <c r="BE98" i="71"/>
  <c r="BH107" i="71"/>
  <c r="AY116" i="71"/>
  <c r="BI174" i="71"/>
  <c r="BA145" i="71"/>
  <c r="H16" i="71"/>
  <c r="BA109" i="71"/>
  <c r="BA93" i="71"/>
  <c r="BA79" i="71"/>
  <c r="BH12" i="71"/>
  <c r="BH10" i="71"/>
  <c r="BH8" i="71"/>
  <c r="BH6" i="71"/>
  <c r="BA95" i="71"/>
  <c r="BA54" i="71"/>
  <c r="BA161" i="71"/>
  <c r="BA141" i="71"/>
  <c r="BA127" i="71"/>
  <c r="BA111" i="71"/>
  <c r="BA56" i="71"/>
  <c r="BA51" i="71"/>
  <c r="BA163" i="71"/>
  <c r="BE18" i="71"/>
  <c r="BB59" i="71"/>
  <c r="BH91" i="71"/>
  <c r="BH99" i="71"/>
  <c r="BE116" i="71"/>
  <c r="BA143" i="71"/>
  <c r="BE152" i="71"/>
  <c r="BE310" i="71"/>
  <c r="C41" i="71"/>
  <c r="AJ14" i="71"/>
  <c r="BE57" i="71"/>
  <c r="BE96" i="71"/>
  <c r="BD150" i="71"/>
  <c r="BI173" i="71"/>
  <c r="BE241" i="71"/>
  <c r="BD142" i="71"/>
  <c r="BA8" i="71"/>
  <c r="AA45" i="71"/>
  <c r="AR14" i="71"/>
  <c r="BA240" i="71"/>
  <c r="AN16" i="71"/>
  <c r="BI269" i="71"/>
  <c r="BJ198" i="71"/>
  <c r="BJ194" i="71"/>
  <c r="BC141" i="71"/>
  <c r="BA14" i="71"/>
  <c r="AZ95" i="71"/>
  <c r="BC107" i="71"/>
  <c r="BC77" i="71"/>
  <c r="AZ57" i="71"/>
  <c r="BA13" i="71"/>
  <c r="BA11" i="71"/>
  <c r="AZ8" i="71"/>
  <c r="AZ6" i="71"/>
  <c r="BI253" i="71"/>
  <c r="BC53" i="71"/>
  <c r="BJ6" i="71"/>
  <c r="BI47" i="71"/>
  <c r="BI54" i="71"/>
  <c r="BE74" i="71"/>
  <c r="BI83" i="71"/>
  <c r="BC93" i="71"/>
  <c r="BH109" i="71"/>
  <c r="BE118" i="71"/>
  <c r="BI178" i="71"/>
  <c r="BI251" i="71"/>
  <c r="N39" i="71"/>
  <c r="AV15" i="71"/>
  <c r="BB42" i="71"/>
  <c r="BB67" i="71"/>
  <c r="BB357" i="71"/>
  <c r="BE268" i="71"/>
  <c r="AV16" i="71"/>
  <c r="BE225" i="71"/>
  <c r="BE164" i="71"/>
  <c r="BE158" i="71"/>
  <c r="BE138" i="71"/>
  <c r="BE124" i="71"/>
  <c r="BE82" i="71"/>
  <c r="BE72" i="71"/>
  <c r="BE63" i="71"/>
  <c r="BE52" i="71"/>
  <c r="BJ49" i="71"/>
  <c r="BJ44" i="71"/>
  <c r="BE248" i="71"/>
  <c r="BJ234" i="71"/>
  <c r="BE181" i="71"/>
  <c r="BE173" i="71"/>
  <c r="BE130" i="71"/>
  <c r="BE92" i="71"/>
  <c r="BE78" i="71"/>
  <c r="BE9" i="71"/>
  <c r="BJ166" i="71"/>
  <c r="BE300" i="71"/>
  <c r="BE246" i="71"/>
  <c r="BJ206" i="71"/>
  <c r="BE193" i="71"/>
  <c r="BE189" i="71"/>
  <c r="BE184" i="71"/>
  <c r="BE180" i="71"/>
  <c r="BE177" i="71"/>
  <c r="BE172" i="71"/>
  <c r="BE100" i="71"/>
  <c r="BE88" i="71"/>
  <c r="BJ40" i="71"/>
  <c r="BE13" i="71"/>
  <c r="BE12" i="71"/>
  <c r="BE11" i="71"/>
  <c r="BE10" i="71"/>
  <c r="BE8" i="71"/>
  <c r="BE7" i="71"/>
  <c r="BE6" i="71"/>
  <c r="BJ264" i="71"/>
  <c r="BE229" i="71"/>
  <c r="BE256" i="71"/>
  <c r="BE197" i="71"/>
  <c r="BE192" i="71"/>
  <c r="BE188" i="71"/>
  <c r="BE176" i="71"/>
  <c r="BE126" i="71"/>
  <c r="BE110" i="71"/>
  <c r="BE94" i="71"/>
  <c r="BE84" i="71"/>
  <c r="BE60" i="71"/>
  <c r="BE53" i="71"/>
  <c r="BE15" i="71"/>
  <c r="BJ14" i="71"/>
  <c r="BJ286" i="71"/>
  <c r="BE272" i="71"/>
  <c r="BE237" i="71"/>
  <c r="BE232" i="71"/>
  <c r="BE209" i="71"/>
  <c r="BE201" i="71"/>
  <c r="BJ170" i="71"/>
  <c r="BE162" i="71"/>
  <c r="BE156" i="71"/>
  <c r="BE142" i="71"/>
  <c r="BE128" i="71"/>
  <c r="BE112" i="71"/>
  <c r="BE70" i="71"/>
  <c r="BE62" i="71"/>
  <c r="BE55" i="71"/>
  <c r="BE262" i="71"/>
  <c r="BE236" i="71"/>
  <c r="BE221" i="71"/>
  <c r="BE217" i="71"/>
  <c r="BE212" i="71"/>
  <c r="BE208" i="71"/>
  <c r="BE204" i="71"/>
  <c r="BE136" i="71"/>
  <c r="BJ11" i="71"/>
  <c r="T15" i="71"/>
  <c r="S41" i="71"/>
  <c r="R41" i="71" s="1"/>
  <c r="BA15" i="71"/>
  <c r="BJ55" i="71"/>
  <c r="BE68" i="71"/>
  <c r="BE102" i="71"/>
  <c r="BD120" i="71"/>
  <c r="BE146" i="71"/>
  <c r="BB200" i="71"/>
  <c r="BE14" i="71"/>
  <c r="BF50" i="71"/>
  <c r="BC87" i="71"/>
  <c r="BH95" i="71"/>
  <c r="BE148" i="71"/>
  <c r="BE200" i="71"/>
  <c r="BE216" i="71"/>
  <c r="AA43" i="71"/>
  <c r="H14" i="71"/>
  <c r="AA39" i="71"/>
  <c r="AN14" i="71"/>
  <c r="AY283" i="71"/>
  <c r="L16" i="71"/>
  <c r="BF279" i="71"/>
  <c r="AR16" i="71"/>
  <c r="BI34" i="71"/>
  <c r="BD37" i="71"/>
  <c r="S45" i="71"/>
  <c r="BF45" i="71"/>
  <c r="BI50" i="71"/>
  <c r="BB53" i="71"/>
  <c r="BI59" i="71"/>
  <c r="AY65" i="71"/>
  <c r="BI67" i="71"/>
  <c r="BD74" i="71"/>
  <c r="BD80" i="71"/>
  <c r="AY84" i="71"/>
  <c r="BI93" i="71"/>
  <c r="AY96" i="71"/>
  <c r="BI99" i="71"/>
  <c r="BI119" i="71"/>
  <c r="AY126" i="71"/>
  <c r="AY140" i="71"/>
  <c r="AY150" i="71"/>
  <c r="BC153" i="71"/>
  <c r="AY160" i="71"/>
  <c r="BI166" i="71"/>
  <c r="BF217" i="71"/>
  <c r="BF221" i="71"/>
  <c r="BB254" i="71"/>
  <c r="K43" i="71"/>
  <c r="P14" i="71"/>
  <c r="AD39" i="71"/>
  <c r="AF39" i="71" s="1"/>
  <c r="AF15" i="71"/>
  <c r="BF406" i="71"/>
  <c r="T16" i="71"/>
  <c r="AY38" i="71"/>
  <c r="BJ48" i="71"/>
  <c r="AY56" i="71"/>
  <c r="BH62" i="71"/>
  <c r="BF68" i="71"/>
  <c r="BI71" i="71"/>
  <c r="BC75" i="71"/>
  <c r="AY78" i="71"/>
  <c r="BH81" i="71"/>
  <c r="BD88" i="71"/>
  <c r="BI91" i="71"/>
  <c r="BD100" i="71"/>
  <c r="BD104" i="71"/>
  <c r="AY108" i="71"/>
  <c r="BD114" i="71"/>
  <c r="BH117" i="71"/>
  <c r="BH123" i="71"/>
  <c r="AY130" i="71"/>
  <c r="AY134" i="71"/>
  <c r="BH137" i="71"/>
  <c r="BH143" i="71"/>
  <c r="BH147" i="71"/>
  <c r="BE150" i="71"/>
  <c r="BD154" i="71"/>
  <c r="BE160" i="71"/>
  <c r="BI206" i="71"/>
  <c r="BI209" i="71"/>
  <c r="BI213" i="71"/>
  <c r="BI218" i="71"/>
  <c r="BA224" i="71"/>
  <c r="BF229" i="71"/>
  <c r="BF233" i="71"/>
  <c r="BI237" i="71"/>
  <c r="BA265" i="71"/>
  <c r="BF298" i="71"/>
  <c r="BJ335" i="71"/>
  <c r="C39" i="71"/>
  <c r="T14" i="71"/>
  <c r="BF15" i="71"/>
  <c r="BD274" i="71"/>
  <c r="X16" i="71"/>
  <c r="BB16" i="71"/>
  <c r="BB17" i="71"/>
  <c r="BF35" i="71"/>
  <c r="AZ38" i="71"/>
  <c r="AY44" i="71"/>
  <c r="BJ46" i="71"/>
  <c r="BF51" i="71"/>
  <c r="AY54" i="71"/>
  <c r="BH57" i="71"/>
  <c r="BF60" i="71"/>
  <c r="BH68" i="71"/>
  <c r="AY72" i="71"/>
  <c r="BH75" i="71"/>
  <c r="BD78" i="71"/>
  <c r="BH85" i="71"/>
  <c r="BD92" i="71"/>
  <c r="BD108" i="71"/>
  <c r="BE114" i="71"/>
  <c r="BI117" i="71"/>
  <c r="AY124" i="71"/>
  <c r="BD130" i="71"/>
  <c r="BD134" i="71"/>
  <c r="AY138" i="71"/>
  <c r="AY144" i="71"/>
  <c r="BC151" i="71"/>
  <c r="AY158" i="71"/>
  <c r="AY164" i="71"/>
  <c r="BE168" i="71"/>
  <c r="BF197" i="71"/>
  <c r="BI210" i="71"/>
  <c r="BI214" i="71"/>
  <c r="BJ218" i="71"/>
  <c r="BB224" i="71"/>
  <c r="BI234" i="71"/>
  <c r="BI238" i="71"/>
  <c r="BA257" i="71"/>
  <c r="BF267" i="71"/>
  <c r="BF275" i="71"/>
  <c r="C45" i="71"/>
  <c r="X14" i="71"/>
  <c r="F43" i="71"/>
  <c r="H43" i="71" s="1"/>
  <c r="H15" i="71"/>
  <c r="N41" i="71"/>
  <c r="P41" i="71" s="1"/>
  <c r="AN15" i="71"/>
  <c r="AZ149" i="71"/>
  <c r="AB16" i="71"/>
  <c r="BD17" i="71"/>
  <c r="AY36" i="71"/>
  <c r="BD41" i="71"/>
  <c r="BF56" i="71"/>
  <c r="BB58" i="71"/>
  <c r="BH60" i="71"/>
  <c r="BD63" i="71"/>
  <c r="BH66" i="71"/>
  <c r="BD72" i="71"/>
  <c r="AY76" i="71"/>
  <c r="BD82" i="71"/>
  <c r="AY86" i="71"/>
  <c r="BI97" i="71"/>
  <c r="AY118" i="71"/>
  <c r="BH121" i="71"/>
  <c r="BD124" i="71"/>
  <c r="AY148" i="71"/>
  <c r="BI151" i="71"/>
  <c r="AZ155" i="71"/>
  <c r="BD158" i="71"/>
  <c r="BC161" i="71"/>
  <c r="BD164" i="71"/>
  <c r="BF189" i="71"/>
  <c r="BF193" i="71"/>
  <c r="BJ202" i="71"/>
  <c r="BB240" i="71"/>
  <c r="BA259" i="71"/>
  <c r="BB276" i="71"/>
  <c r="K45" i="71"/>
  <c r="AB14" i="71"/>
  <c r="F45" i="71"/>
  <c r="H45" i="71" s="1"/>
  <c r="L15" i="71"/>
  <c r="K39" i="71"/>
  <c r="J39" i="71" s="1"/>
  <c r="AR15" i="71"/>
  <c r="BH163" i="71"/>
  <c r="AF16" i="71"/>
  <c r="BF41" i="71"/>
  <c r="AY47" i="71"/>
  <c r="BF54" i="71"/>
  <c r="BI66" i="71"/>
  <c r="BH69" i="71"/>
  <c r="BD76" i="71"/>
  <c r="BD86" i="71"/>
  <c r="BI89" i="71"/>
  <c r="AY98" i="71"/>
  <c r="AY102" i="71"/>
  <c r="AY106" i="71"/>
  <c r="BH115" i="71"/>
  <c r="AY122" i="71"/>
  <c r="BH127" i="71"/>
  <c r="BH131" i="71"/>
  <c r="BH135" i="71"/>
  <c r="BH141" i="71"/>
  <c r="AY152" i="71"/>
  <c r="BF169" i="71"/>
  <c r="BF173" i="71"/>
  <c r="BF181" i="71"/>
  <c r="BF185" i="71"/>
  <c r="BI189" i="71"/>
  <c r="BA204" i="71"/>
  <c r="BB216" i="71"/>
  <c r="BB220" i="71"/>
  <c r="BJ230" i="71"/>
  <c r="BJ248" i="71"/>
  <c r="BJ278" i="71"/>
  <c r="BF308" i="71"/>
  <c r="BJ347" i="71"/>
  <c r="BD423" i="71"/>
  <c r="BG7" i="71"/>
  <c r="BG50" i="71"/>
  <c r="BG54" i="71"/>
  <c r="BG56" i="71"/>
  <c r="BG65" i="71"/>
  <c r="BG76" i="71"/>
  <c r="BG84" i="71"/>
  <c r="BG90" i="71"/>
  <c r="BG106" i="71"/>
  <c r="BG114" i="71"/>
  <c r="BG122" i="71"/>
  <c r="BG158" i="71"/>
  <c r="BG46" i="71"/>
  <c r="BG100" i="71"/>
  <c r="BG130" i="71"/>
  <c r="BG136" i="71"/>
  <c r="BG144" i="71"/>
  <c r="BG150" i="71"/>
  <c r="BB172" i="71"/>
  <c r="C43" i="71"/>
  <c r="D15" i="71"/>
  <c r="BG42" i="71"/>
  <c r="BG112" i="71"/>
  <c r="BG128" i="71"/>
  <c r="BG140" i="71"/>
  <c r="BG148" i="71"/>
  <c r="BG154" i="71"/>
  <c r="S43" i="71"/>
  <c r="BG78" i="71"/>
  <c r="BG152" i="71"/>
  <c r="BG9" i="71"/>
  <c r="BG44" i="71"/>
  <c r="BG74" i="71"/>
  <c r="BG82" i="71"/>
  <c r="BG120" i="71"/>
  <c r="BG156" i="71"/>
  <c r="BG88" i="71"/>
  <c r="BG98" i="71"/>
  <c r="BG104" i="71"/>
  <c r="BG142" i="71"/>
  <c r="BG164" i="71"/>
  <c r="BG13" i="71"/>
  <c r="BG40" i="71"/>
  <c r="BG51" i="71"/>
  <c r="BG72" i="71"/>
  <c r="BG80" i="71"/>
  <c r="BG86" i="71"/>
  <c r="BG94" i="71"/>
  <c r="BG96" i="71"/>
  <c r="BG110" i="71"/>
  <c r="BG118" i="71"/>
  <c r="BG126" i="71"/>
  <c r="BG162" i="71"/>
  <c r="BC282" i="71"/>
  <c r="BC419" i="71"/>
  <c r="BG70" i="71"/>
  <c r="BG116" i="71"/>
  <c r="BG124" i="71"/>
  <c r="BG8" i="71"/>
  <c r="BG10" i="71"/>
  <c r="BG63" i="71"/>
  <c r="BG11" i="71"/>
  <c r="BG134" i="71"/>
  <c r="BG12" i="71"/>
  <c r="BG6" i="71"/>
  <c r="BG36" i="71"/>
  <c r="BG38" i="71"/>
  <c r="BG47" i="71"/>
  <c r="BG92" i="71"/>
  <c r="BG102" i="71"/>
  <c r="BG108" i="71"/>
  <c r="BG132" i="71"/>
  <c r="BG138" i="71"/>
  <c r="BG146" i="71"/>
  <c r="BG160" i="71"/>
  <c r="AZ129" i="71"/>
  <c r="BH157" i="71"/>
  <c r="BI222" i="71"/>
  <c r="BI245" i="71"/>
  <c r="BH18" i="71"/>
  <c r="BC35" i="71"/>
  <c r="BJ36" i="71"/>
  <c r="BC39" i="71"/>
  <c r="AZ42" i="71"/>
  <c r="BC43" i="71"/>
  <c r="BH46" i="71"/>
  <c r="BC49" i="71"/>
  <c r="AZ60" i="71"/>
  <c r="BJ61" i="71"/>
  <c r="AY63" i="71"/>
  <c r="AZ68" i="71"/>
  <c r="BC73" i="71"/>
  <c r="BA75" i="71"/>
  <c r="AZ77" i="71"/>
  <c r="BI85" i="71"/>
  <c r="BC89" i="71"/>
  <c r="BA91" i="71"/>
  <c r="AZ93" i="71"/>
  <c r="BD98" i="71"/>
  <c r="BI101" i="71"/>
  <c r="BC105" i="71"/>
  <c r="BA107" i="71"/>
  <c r="AZ109" i="71"/>
  <c r="BA123" i="71"/>
  <c r="AZ125" i="71"/>
  <c r="AY132" i="71"/>
  <c r="BI133" i="71"/>
  <c r="BC137" i="71"/>
  <c r="BA139" i="71"/>
  <c r="AZ141" i="71"/>
  <c r="BI149" i="71"/>
  <c r="BH151" i="71"/>
  <c r="BA155" i="71"/>
  <c r="BA157" i="71"/>
  <c r="AZ161" i="71"/>
  <c r="BA168" i="71"/>
  <c r="BJ174" i="71"/>
  <c r="BI261" i="71"/>
  <c r="BD298" i="71"/>
  <c r="AZ165" i="71"/>
  <c r="BI194" i="71"/>
  <c r="BI73" i="71"/>
  <c r="AY88" i="71"/>
  <c r="AZ145" i="71"/>
  <c r="BJ186" i="71"/>
  <c r="BI226" i="71"/>
  <c r="BA34" i="71"/>
  <c r="BH38" i="71"/>
  <c r="BH42" i="71"/>
  <c r="BA59" i="71"/>
  <c r="BA67" i="71"/>
  <c r="BI75" i="71"/>
  <c r="BC79" i="71"/>
  <c r="BA81" i="71"/>
  <c r="AZ83" i="71"/>
  <c r="AY90" i="71"/>
  <c r="BA97" i="71"/>
  <c r="AZ99" i="71"/>
  <c r="BI107" i="71"/>
  <c r="BC111" i="71"/>
  <c r="BA113" i="71"/>
  <c r="AZ115" i="71"/>
  <c r="BI123" i="71"/>
  <c r="BA129" i="71"/>
  <c r="AZ131" i="71"/>
  <c r="BI139" i="71"/>
  <c r="BC143" i="71"/>
  <c r="AZ147" i="71"/>
  <c r="BI159" i="71"/>
  <c r="BH161" i="71"/>
  <c r="BA184" i="71"/>
  <c r="BA200" i="71"/>
  <c r="BJ214" i="71"/>
  <c r="BJ222" i="71"/>
  <c r="BJ226" i="71"/>
  <c r="AZ392" i="71"/>
  <c r="AZ62" i="71"/>
  <c r="BH155" i="71"/>
  <c r="BF451" i="71"/>
  <c r="BI468" i="71"/>
  <c r="BI466" i="71"/>
  <c r="BI448" i="71"/>
  <c r="BI446" i="71"/>
  <c r="AY500" i="71"/>
  <c r="BG498" i="71"/>
  <c r="BG496" i="71"/>
  <c r="AY494" i="71"/>
  <c r="AY492" i="71"/>
  <c r="AY484" i="71"/>
  <c r="AY482" i="71"/>
  <c r="AY474" i="71"/>
  <c r="AY472" i="71"/>
  <c r="AY470" i="71"/>
  <c r="AY464" i="71"/>
  <c r="AY454" i="71"/>
  <c r="AY452" i="71"/>
  <c r="AY450" i="71"/>
  <c r="BF462" i="71"/>
  <c r="BH488" i="71"/>
  <c r="BH480" i="71"/>
  <c r="BH476" i="71"/>
  <c r="BH460" i="71"/>
  <c r="BH456" i="71"/>
  <c r="BJ431" i="71"/>
  <c r="BI469" i="71"/>
  <c r="BI449" i="71"/>
  <c r="BI439" i="71"/>
  <c r="BI437" i="71"/>
  <c r="BG497" i="71"/>
  <c r="AY495" i="71"/>
  <c r="AY483" i="71"/>
  <c r="AY475" i="71"/>
  <c r="AY471" i="71"/>
  <c r="AY463" i="71"/>
  <c r="AY455" i="71"/>
  <c r="AY443" i="71"/>
  <c r="AY441" i="71"/>
  <c r="AY435" i="71"/>
  <c r="AY433" i="71"/>
  <c r="AY429" i="71"/>
  <c r="AY427" i="71"/>
  <c r="AY419" i="71"/>
  <c r="AY417" i="71"/>
  <c r="AY415" i="71"/>
  <c r="BH490" i="71"/>
  <c r="BH486" i="71"/>
  <c r="BH478" i="71"/>
  <c r="BH458" i="71"/>
  <c r="BH489" i="71"/>
  <c r="BH481" i="71"/>
  <c r="BH457" i="71"/>
  <c r="BH425" i="71"/>
  <c r="BH421" i="71"/>
  <c r="BI413" i="71"/>
  <c r="BI411" i="71"/>
  <c r="BI403" i="71"/>
  <c r="BI401" i="71"/>
  <c r="BI389" i="71"/>
  <c r="BI387" i="71"/>
  <c r="BI467" i="71"/>
  <c r="BI438" i="71"/>
  <c r="BD408" i="71"/>
  <c r="BD400" i="71"/>
  <c r="BD398" i="71"/>
  <c r="BD378" i="71"/>
  <c r="BH491" i="71"/>
  <c r="BH459" i="71"/>
  <c r="BH426" i="71"/>
  <c r="BH422" i="71"/>
  <c r="AY407" i="71"/>
  <c r="AY395" i="71"/>
  <c r="AY393" i="71"/>
  <c r="AY391" i="71"/>
  <c r="BG499" i="71"/>
  <c r="AY473" i="71"/>
  <c r="AY465" i="71"/>
  <c r="AY444" i="71"/>
  <c r="AY440" i="71"/>
  <c r="AY432" i="71"/>
  <c r="AY428" i="71"/>
  <c r="AY420" i="71"/>
  <c r="AY416" i="71"/>
  <c r="BJ396" i="71"/>
  <c r="BH477" i="71"/>
  <c r="BH461" i="71"/>
  <c r="BH423" i="71"/>
  <c r="BI412" i="71"/>
  <c r="BI404" i="71"/>
  <c r="BI402" i="71"/>
  <c r="BI388" i="71"/>
  <c r="BI386" i="71"/>
  <c r="AY493" i="71"/>
  <c r="AY392" i="71"/>
  <c r="AY373" i="71"/>
  <c r="AY371" i="71"/>
  <c r="AY363" i="71"/>
  <c r="AY361" i="71"/>
  <c r="AY359" i="71"/>
  <c r="AY351" i="71"/>
  <c r="AY339" i="71"/>
  <c r="AY337" i="71"/>
  <c r="AY335" i="71"/>
  <c r="AY329" i="71"/>
  <c r="AY327" i="71"/>
  <c r="AY323" i="71"/>
  <c r="AY321" i="71"/>
  <c r="AY315" i="71"/>
  <c r="BC302" i="71"/>
  <c r="BC300" i="71"/>
  <c r="AY297" i="71"/>
  <c r="AY295" i="71"/>
  <c r="AY291" i="71"/>
  <c r="AY485" i="71"/>
  <c r="BI447" i="71"/>
  <c r="BI414" i="71"/>
  <c r="BD409" i="71"/>
  <c r="AY406" i="71"/>
  <c r="AY390" i="71"/>
  <c r="AY384" i="71"/>
  <c r="AY380" i="71"/>
  <c r="BJ340" i="71"/>
  <c r="BJ320" i="71"/>
  <c r="BJ304" i="71"/>
  <c r="BH424" i="71"/>
  <c r="AY418" i="71"/>
  <c r="BI358" i="71"/>
  <c r="BI356" i="71"/>
  <c r="BI348" i="71"/>
  <c r="BI346" i="71"/>
  <c r="BI332" i="71"/>
  <c r="BI330" i="71"/>
  <c r="BI312" i="71"/>
  <c r="BI310" i="71"/>
  <c r="BD405" i="71"/>
  <c r="AY385" i="71"/>
  <c r="BD375" i="71"/>
  <c r="BH370" i="71"/>
  <c r="BH368" i="71"/>
  <c r="BH366" i="71"/>
  <c r="BD353" i="71"/>
  <c r="BD349" i="71"/>
  <c r="BD343" i="71"/>
  <c r="BD341" i="71"/>
  <c r="BD319" i="71"/>
  <c r="BD317" i="71"/>
  <c r="BD313" i="71"/>
  <c r="BD307" i="71"/>
  <c r="BD305" i="71"/>
  <c r="BD301" i="71"/>
  <c r="AY442" i="71"/>
  <c r="AY374" i="71"/>
  <c r="AY372" i="71"/>
  <c r="AY364" i="71"/>
  <c r="AY362" i="71"/>
  <c r="AY360" i="71"/>
  <c r="AY354" i="71"/>
  <c r="AY350" i="71"/>
  <c r="AY338" i="71"/>
  <c r="AY336" i="71"/>
  <c r="AY334" i="71"/>
  <c r="AY328" i="71"/>
  <c r="AY326" i="71"/>
  <c r="AY324" i="71"/>
  <c r="AY318" i="71"/>
  <c r="AY314" i="71"/>
  <c r="BC303" i="71"/>
  <c r="AY296" i="71"/>
  <c r="AY294" i="71"/>
  <c r="AY292" i="71"/>
  <c r="AY290" i="71"/>
  <c r="AY410" i="71"/>
  <c r="AY383" i="71"/>
  <c r="BI345" i="71"/>
  <c r="BD342" i="71"/>
  <c r="BI274" i="71"/>
  <c r="BI272" i="71"/>
  <c r="BI264" i="71"/>
  <c r="BI262" i="71"/>
  <c r="BI248" i="71"/>
  <c r="BI246" i="71"/>
  <c r="BD399" i="71"/>
  <c r="AY382" i="71"/>
  <c r="AY379" i="71"/>
  <c r="BJ325" i="71"/>
  <c r="BI311" i="71"/>
  <c r="BD308" i="71"/>
  <c r="BJ293" i="71"/>
  <c r="BH286" i="71"/>
  <c r="BH284" i="71"/>
  <c r="BH282" i="71"/>
  <c r="AY453" i="71"/>
  <c r="BJ381" i="71"/>
  <c r="BI357" i="71"/>
  <c r="BD322" i="71"/>
  <c r="BI309" i="71"/>
  <c r="BD306" i="71"/>
  <c r="AY288" i="71"/>
  <c r="AY280" i="71"/>
  <c r="AY278" i="71"/>
  <c r="AY276" i="71"/>
  <c r="AY270" i="71"/>
  <c r="AY268" i="71"/>
  <c r="AY266" i="71"/>
  <c r="AY260" i="71"/>
  <c r="AY258" i="71"/>
  <c r="AY254" i="71"/>
  <c r="AY252" i="71"/>
  <c r="AY250" i="71"/>
  <c r="AY244" i="71"/>
  <c r="BH487" i="71"/>
  <c r="AY430" i="71"/>
  <c r="AY394" i="71"/>
  <c r="BI355" i="71"/>
  <c r="BD352" i="71"/>
  <c r="BD397" i="71"/>
  <c r="AY377" i="71"/>
  <c r="BH369" i="71"/>
  <c r="BD316" i="71"/>
  <c r="BH285" i="71"/>
  <c r="BH283" i="71"/>
  <c r="BH281" i="71"/>
  <c r="BD219" i="71"/>
  <c r="BD217" i="71"/>
  <c r="BD191" i="71"/>
  <c r="BD189" i="71"/>
  <c r="BD177" i="71"/>
  <c r="BD175" i="71"/>
  <c r="BD173" i="71"/>
  <c r="BH166" i="71"/>
  <c r="BI436" i="71"/>
  <c r="AY289" i="71"/>
  <c r="AY275" i="71"/>
  <c r="AY267" i="71"/>
  <c r="AY259" i="71"/>
  <c r="AY255" i="71"/>
  <c r="AY243" i="71"/>
  <c r="AY242" i="71"/>
  <c r="AY240" i="71"/>
  <c r="AY238" i="71"/>
  <c r="AY234" i="71"/>
  <c r="AY232" i="71"/>
  <c r="AY230" i="71"/>
  <c r="AY224" i="71"/>
  <c r="AY222" i="71"/>
  <c r="AY212" i="71"/>
  <c r="AY210" i="71"/>
  <c r="AY208" i="71"/>
  <c r="AY206" i="71"/>
  <c r="AY204" i="71"/>
  <c r="AY202" i="71"/>
  <c r="AY196" i="71"/>
  <c r="AY194" i="71"/>
  <c r="AY184" i="71"/>
  <c r="AY182" i="71"/>
  <c r="AY180" i="71"/>
  <c r="BC167" i="71"/>
  <c r="BH479" i="71"/>
  <c r="BH367" i="71"/>
  <c r="BD344" i="71"/>
  <c r="AY287" i="71"/>
  <c r="BJ241" i="71"/>
  <c r="BJ215" i="71"/>
  <c r="BJ209" i="71"/>
  <c r="BJ187" i="71"/>
  <c r="BJ181" i="71"/>
  <c r="AY269" i="71"/>
  <c r="AY265" i="71"/>
  <c r="AY257" i="71"/>
  <c r="AY253" i="71"/>
  <c r="AY245" i="71"/>
  <c r="AY239" i="71"/>
  <c r="AY237" i="71"/>
  <c r="AY235" i="71"/>
  <c r="AY233" i="71"/>
  <c r="AY231" i="71"/>
  <c r="AY229" i="71"/>
  <c r="AY223" i="71"/>
  <c r="AY221" i="71"/>
  <c r="AY213" i="71"/>
  <c r="AY211" i="71"/>
  <c r="AY207" i="71"/>
  <c r="AY205" i="71"/>
  <c r="AY203" i="71"/>
  <c r="AY201" i="71"/>
  <c r="AY195" i="71"/>
  <c r="AY193" i="71"/>
  <c r="AY185" i="71"/>
  <c r="AY183" i="71"/>
  <c r="AY179" i="71"/>
  <c r="BC172" i="71"/>
  <c r="AY171" i="71"/>
  <c r="BC170" i="71"/>
  <c r="AY169" i="71"/>
  <c r="BC168" i="71"/>
  <c r="BI333" i="71"/>
  <c r="BI271" i="71"/>
  <c r="BI263" i="71"/>
  <c r="BI247" i="71"/>
  <c r="BI227" i="71"/>
  <c r="BI199" i="71"/>
  <c r="BC160" i="71"/>
  <c r="BC158" i="71"/>
  <c r="BC156" i="71"/>
  <c r="BC148" i="71"/>
  <c r="AY147" i="71"/>
  <c r="BC140" i="71"/>
  <c r="BC138" i="71"/>
  <c r="AY135" i="71"/>
  <c r="BC134" i="71"/>
  <c r="BC130" i="71"/>
  <c r="BC124" i="71"/>
  <c r="BC122" i="71"/>
  <c r="AY119" i="71"/>
  <c r="AY117" i="71"/>
  <c r="AY115" i="71"/>
  <c r="BC112" i="71"/>
  <c r="AY111" i="71"/>
  <c r="BC104" i="71"/>
  <c r="BC102" i="71"/>
  <c r="BC98" i="71"/>
  <c r="BC96" i="71"/>
  <c r="AY93" i="71"/>
  <c r="AY91" i="71"/>
  <c r="AY87" i="71"/>
  <c r="BC84" i="71"/>
  <c r="AY83" i="71"/>
  <c r="BC76" i="71"/>
  <c r="BC74" i="71"/>
  <c r="BC70" i="71"/>
  <c r="AY64" i="71"/>
  <c r="BC159" i="71"/>
  <c r="BD218" i="71"/>
  <c r="BD214" i="71"/>
  <c r="BD190" i="71"/>
  <c r="BD186" i="71"/>
  <c r="BD178" i="71"/>
  <c r="BJ136" i="71"/>
  <c r="BJ116" i="71"/>
  <c r="BJ100" i="71"/>
  <c r="BJ72" i="71"/>
  <c r="BC68" i="71"/>
  <c r="AY59" i="71"/>
  <c r="BC57" i="71"/>
  <c r="BD56" i="71"/>
  <c r="BI43" i="71"/>
  <c r="BI41" i="71"/>
  <c r="AY15" i="71"/>
  <c r="BC12" i="71"/>
  <c r="BC8" i="71"/>
  <c r="AY7" i="71"/>
  <c r="BC6" i="71"/>
  <c r="BC155" i="71"/>
  <c r="BJ236" i="71"/>
  <c r="BJ220" i="71"/>
  <c r="BJ192" i="71"/>
  <c r="BI154" i="71"/>
  <c r="BI152" i="71"/>
  <c r="BI144" i="71"/>
  <c r="BI142" i="71"/>
  <c r="BI128" i="71"/>
  <c r="BI126" i="71"/>
  <c r="BI108" i="71"/>
  <c r="BI106" i="71"/>
  <c r="BI80" i="71"/>
  <c r="BI78" i="71"/>
  <c r="BC50" i="71"/>
  <c r="BC47" i="71"/>
  <c r="BJ18" i="71"/>
  <c r="BJ10" i="71"/>
  <c r="BJ376" i="71"/>
  <c r="AY445" i="71"/>
  <c r="BI331" i="71"/>
  <c r="AY277" i="71"/>
  <c r="BI273" i="71"/>
  <c r="BI249" i="71"/>
  <c r="BI228" i="71"/>
  <c r="BI200" i="71"/>
  <c r="BH164" i="71"/>
  <c r="BH162" i="71"/>
  <c r="BD97" i="71"/>
  <c r="BD69" i="71"/>
  <c r="BD66" i="71"/>
  <c r="BJ54" i="71"/>
  <c r="BC46" i="71"/>
  <c r="BC40" i="71"/>
  <c r="BC38" i="71"/>
  <c r="AY434" i="71"/>
  <c r="BI225" i="71"/>
  <c r="BI197" i="71"/>
  <c r="BI347" i="71"/>
  <c r="BJ299" i="71"/>
  <c r="BD216" i="71"/>
  <c r="BD188" i="71"/>
  <c r="BD176" i="71"/>
  <c r="BJ121" i="71"/>
  <c r="BJ95" i="71"/>
  <c r="BJ89" i="71"/>
  <c r="AY62" i="71"/>
  <c r="AY60" i="71"/>
  <c r="BC58" i="71"/>
  <c r="BD53" i="71"/>
  <c r="BI44" i="71"/>
  <c r="BI42" i="71"/>
  <c r="BC17" i="71"/>
  <c r="BC16" i="71"/>
  <c r="BC14" i="71"/>
  <c r="BC13" i="71"/>
  <c r="BC11" i="71"/>
  <c r="BC9" i="71"/>
  <c r="BH365" i="71"/>
  <c r="AY279" i="71"/>
  <c r="BJ256" i="71"/>
  <c r="BF251" i="71"/>
  <c r="AZ81" i="71"/>
  <c r="AZ113" i="71"/>
  <c r="BC125" i="71"/>
  <c r="BA500" i="71"/>
  <c r="BA498" i="71"/>
  <c r="BA496" i="71"/>
  <c r="BA494" i="71"/>
  <c r="BA492" i="71"/>
  <c r="BA490" i="71"/>
  <c r="BA488" i="71"/>
  <c r="BA486" i="71"/>
  <c r="BA484" i="71"/>
  <c r="BA482" i="71"/>
  <c r="BA480" i="71"/>
  <c r="BA478" i="71"/>
  <c r="BA476" i="71"/>
  <c r="BA474" i="71"/>
  <c r="BA472" i="71"/>
  <c r="BA470" i="71"/>
  <c r="BA468" i="71"/>
  <c r="BA466" i="71"/>
  <c r="BA464" i="71"/>
  <c r="BA462" i="71"/>
  <c r="BA460" i="71"/>
  <c r="BA458" i="71"/>
  <c r="BA456" i="71"/>
  <c r="BA454" i="71"/>
  <c r="BA452" i="71"/>
  <c r="BA450" i="71"/>
  <c r="BA448" i="71"/>
  <c r="BA446" i="71"/>
  <c r="BA499" i="71"/>
  <c r="BA495" i="71"/>
  <c r="BA491" i="71"/>
  <c r="BA487" i="71"/>
  <c r="BA483" i="71"/>
  <c r="BA479" i="71"/>
  <c r="BA475" i="71"/>
  <c r="BA471" i="71"/>
  <c r="BA467" i="71"/>
  <c r="BA463" i="71"/>
  <c r="BA459" i="71"/>
  <c r="BA455" i="71"/>
  <c r="BA451" i="71"/>
  <c r="BA447" i="71"/>
  <c r="BA443" i="71"/>
  <c r="BA441" i="71"/>
  <c r="BA439" i="71"/>
  <c r="BA437" i="71"/>
  <c r="BA435" i="71"/>
  <c r="BA433" i="71"/>
  <c r="BA431" i="71"/>
  <c r="BA429" i="71"/>
  <c r="BA427" i="71"/>
  <c r="BA425" i="71"/>
  <c r="BA423" i="71"/>
  <c r="BA421" i="71"/>
  <c r="BA419" i="71"/>
  <c r="BA417" i="71"/>
  <c r="BA413" i="71"/>
  <c r="BA411" i="71"/>
  <c r="BA409" i="71"/>
  <c r="BA407" i="71"/>
  <c r="BA405" i="71"/>
  <c r="BA403" i="71"/>
  <c r="BA401" i="71"/>
  <c r="BA399" i="71"/>
  <c r="BA397" i="71"/>
  <c r="BA395" i="71"/>
  <c r="BA393" i="71"/>
  <c r="BA391" i="71"/>
  <c r="BA389" i="71"/>
  <c r="BA387" i="71"/>
  <c r="BA385" i="71"/>
  <c r="BA383" i="71"/>
  <c r="BA381" i="71"/>
  <c r="BA379" i="71"/>
  <c r="BA377" i="71"/>
  <c r="BA497" i="71"/>
  <c r="BA489" i="71"/>
  <c r="BA481" i="71"/>
  <c r="BA473" i="71"/>
  <c r="BA465" i="71"/>
  <c r="BA457" i="71"/>
  <c r="BA449" i="71"/>
  <c r="BA444" i="71"/>
  <c r="BA440" i="71"/>
  <c r="BA436" i="71"/>
  <c r="BA432" i="71"/>
  <c r="BA428" i="71"/>
  <c r="BA424" i="71"/>
  <c r="BA420" i="71"/>
  <c r="BA416" i="71"/>
  <c r="BA415" i="71"/>
  <c r="BA414" i="71"/>
  <c r="BA412" i="71"/>
  <c r="BA410" i="71"/>
  <c r="BA408" i="71"/>
  <c r="BA406" i="71"/>
  <c r="BA404" i="71"/>
  <c r="BA402" i="71"/>
  <c r="BA400" i="71"/>
  <c r="BA398" i="71"/>
  <c r="BA396" i="71"/>
  <c r="BA394" i="71"/>
  <c r="BA392" i="71"/>
  <c r="BA390" i="71"/>
  <c r="BA388" i="71"/>
  <c r="BA386" i="71"/>
  <c r="BA384" i="71"/>
  <c r="BA382" i="71"/>
  <c r="BA380" i="71"/>
  <c r="BA378" i="71"/>
  <c r="BA376" i="71"/>
  <c r="BA477" i="71"/>
  <c r="BA418" i="71"/>
  <c r="BA469" i="71"/>
  <c r="BA461" i="71"/>
  <c r="BA442" i="71"/>
  <c r="BA374" i="71"/>
  <c r="BA372" i="71"/>
  <c r="BA370" i="71"/>
  <c r="BA368" i="71"/>
  <c r="BA366" i="71"/>
  <c r="BA364" i="71"/>
  <c r="BA362" i="71"/>
  <c r="BA360" i="71"/>
  <c r="BA358" i="71"/>
  <c r="BA356" i="71"/>
  <c r="BA354" i="71"/>
  <c r="BA352" i="71"/>
  <c r="BA350" i="71"/>
  <c r="BA348" i="71"/>
  <c r="BA346" i="71"/>
  <c r="BA344" i="71"/>
  <c r="BA342" i="71"/>
  <c r="BA340" i="71"/>
  <c r="BA338" i="71"/>
  <c r="BA336" i="71"/>
  <c r="BA334" i="71"/>
  <c r="BA332" i="71"/>
  <c r="BA330" i="71"/>
  <c r="BA328" i="71"/>
  <c r="BA326" i="71"/>
  <c r="BA324" i="71"/>
  <c r="BA322" i="71"/>
  <c r="BA320" i="71"/>
  <c r="BA318" i="71"/>
  <c r="BA316" i="71"/>
  <c r="BA314" i="71"/>
  <c r="BA312" i="71"/>
  <c r="BA310" i="71"/>
  <c r="BA308" i="71"/>
  <c r="BA306" i="71"/>
  <c r="BA304" i="71"/>
  <c r="BA302" i="71"/>
  <c r="BA300" i="71"/>
  <c r="BA298" i="71"/>
  <c r="BA296" i="71"/>
  <c r="BA294" i="71"/>
  <c r="BA292" i="71"/>
  <c r="BA453" i="71"/>
  <c r="BA438" i="71"/>
  <c r="BA445" i="71"/>
  <c r="BA434" i="71"/>
  <c r="BG290" i="71"/>
  <c r="BA367" i="71"/>
  <c r="BA351" i="71"/>
  <c r="BA335" i="71"/>
  <c r="BA319" i="71"/>
  <c r="BA303" i="71"/>
  <c r="BA493" i="71"/>
  <c r="BA430" i="71"/>
  <c r="BA422" i="71"/>
  <c r="BA365" i="71"/>
  <c r="BA349" i="71"/>
  <c r="BA333" i="71"/>
  <c r="BA317" i="71"/>
  <c r="BA301" i="71"/>
  <c r="BA363" i="71"/>
  <c r="BA347" i="71"/>
  <c r="BA331" i="71"/>
  <c r="BA315" i="71"/>
  <c r="BA299" i="71"/>
  <c r="BG288" i="71"/>
  <c r="BG286" i="71"/>
  <c r="BG284" i="71"/>
  <c r="BG282" i="71"/>
  <c r="BG280" i="71"/>
  <c r="BG278" i="71"/>
  <c r="BG276" i="71"/>
  <c r="BG274" i="71"/>
  <c r="BG272" i="71"/>
  <c r="BG270" i="71"/>
  <c r="BG268" i="71"/>
  <c r="BG266" i="71"/>
  <c r="BG264" i="71"/>
  <c r="BG262" i="71"/>
  <c r="BG260" i="71"/>
  <c r="BG258" i="71"/>
  <c r="BG256" i="71"/>
  <c r="BG254" i="71"/>
  <c r="BG252" i="71"/>
  <c r="BG250" i="71"/>
  <c r="BG248" i="71"/>
  <c r="BG246" i="71"/>
  <c r="BG244" i="71"/>
  <c r="BA361" i="71"/>
  <c r="BA345" i="71"/>
  <c r="BA329" i="71"/>
  <c r="BA313" i="71"/>
  <c r="BA297" i="71"/>
  <c r="BA485" i="71"/>
  <c r="BA426" i="71"/>
  <c r="BA373" i="71"/>
  <c r="BA357" i="71"/>
  <c r="BA341" i="71"/>
  <c r="BA325" i="71"/>
  <c r="BA309" i="71"/>
  <c r="BA293" i="71"/>
  <c r="BA369" i="71"/>
  <c r="BA359" i="71"/>
  <c r="BA307" i="71"/>
  <c r="BG285" i="71"/>
  <c r="BA321" i="71"/>
  <c r="BA311" i="71"/>
  <c r="BG283" i="71"/>
  <c r="BG273" i="71"/>
  <c r="BG269" i="71"/>
  <c r="BG265" i="71"/>
  <c r="BG261" i="71"/>
  <c r="BG257" i="71"/>
  <c r="BG253" i="71"/>
  <c r="BG249" i="71"/>
  <c r="BG245" i="71"/>
  <c r="BG240" i="71"/>
  <c r="BG238" i="71"/>
  <c r="BG236" i="71"/>
  <c r="BG234" i="71"/>
  <c r="BG232" i="71"/>
  <c r="BG230" i="71"/>
  <c r="BG228" i="71"/>
  <c r="BG226" i="71"/>
  <c r="BG224" i="71"/>
  <c r="BG222" i="71"/>
  <c r="BG220" i="71"/>
  <c r="BG218" i="71"/>
  <c r="BG216" i="71"/>
  <c r="BG214" i="71"/>
  <c r="BG212" i="71"/>
  <c r="BG210" i="71"/>
  <c r="BG208" i="71"/>
  <c r="BG206" i="71"/>
  <c r="BG204" i="71"/>
  <c r="BG202" i="71"/>
  <c r="BG200" i="71"/>
  <c r="BG198" i="71"/>
  <c r="BG196" i="71"/>
  <c r="BG194" i="71"/>
  <c r="BG192" i="71"/>
  <c r="BG190" i="71"/>
  <c r="BG188" i="71"/>
  <c r="BG186" i="71"/>
  <c r="BG184" i="71"/>
  <c r="BG182" i="71"/>
  <c r="BG180" i="71"/>
  <c r="BG178" i="71"/>
  <c r="BG176" i="71"/>
  <c r="BG174" i="71"/>
  <c r="BG172" i="71"/>
  <c r="BA339" i="71"/>
  <c r="BG281" i="71"/>
  <c r="BA375" i="71"/>
  <c r="BA323" i="71"/>
  <c r="BG275" i="71"/>
  <c r="BG271" i="71"/>
  <c r="BG267" i="71"/>
  <c r="BG263" i="71"/>
  <c r="BG259" i="71"/>
  <c r="BG255" i="71"/>
  <c r="BG251" i="71"/>
  <c r="BG247" i="71"/>
  <c r="BG243" i="71"/>
  <c r="BG241" i="71"/>
  <c r="BG239" i="71"/>
  <c r="BG237" i="71"/>
  <c r="BG235" i="71"/>
  <c r="BG233" i="71"/>
  <c r="BG231" i="71"/>
  <c r="BG229" i="71"/>
  <c r="BG227" i="71"/>
  <c r="BG225" i="71"/>
  <c r="BG223" i="71"/>
  <c r="BG221" i="71"/>
  <c r="BG219" i="71"/>
  <c r="BG217" i="71"/>
  <c r="BG215" i="71"/>
  <c r="BG213" i="71"/>
  <c r="BG211" i="71"/>
  <c r="BG209" i="71"/>
  <c r="BG207" i="71"/>
  <c r="BG205" i="71"/>
  <c r="BG203" i="71"/>
  <c r="BG201" i="71"/>
  <c r="BG199" i="71"/>
  <c r="BG197" i="71"/>
  <c r="BG195" i="71"/>
  <c r="BG193" i="71"/>
  <c r="BG191" i="71"/>
  <c r="BG189" i="71"/>
  <c r="BG187" i="71"/>
  <c r="BG185" i="71"/>
  <c r="BG183" i="71"/>
  <c r="BG181" i="71"/>
  <c r="BG179" i="71"/>
  <c r="BG177" i="71"/>
  <c r="BG175" i="71"/>
  <c r="BG173" i="71"/>
  <c r="BG171" i="71"/>
  <c r="BA353" i="71"/>
  <c r="BA343" i="71"/>
  <c r="BG242" i="71"/>
  <c r="BA169" i="71"/>
  <c r="BA55" i="71"/>
  <c r="BA53" i="71"/>
  <c r="BH17" i="71"/>
  <c r="BH16" i="71"/>
  <c r="BH15" i="71"/>
  <c r="BH14" i="71"/>
  <c r="BH13" i="71"/>
  <c r="BH11" i="71"/>
  <c r="BH9" i="71"/>
  <c r="BH7" i="71"/>
  <c r="BA371" i="71"/>
  <c r="BA305" i="71"/>
  <c r="BA295" i="71"/>
  <c r="BG277" i="71"/>
  <c r="BH49" i="71"/>
  <c r="BH48" i="71"/>
  <c r="BA166" i="71"/>
  <c r="BA164" i="71"/>
  <c r="BA162" i="71"/>
  <c r="BA160" i="71"/>
  <c r="BA158" i="71"/>
  <c r="BA156" i="71"/>
  <c r="BA154" i="71"/>
  <c r="BA152" i="71"/>
  <c r="BA150" i="71"/>
  <c r="BA148" i="71"/>
  <c r="BA146" i="71"/>
  <c r="BA144" i="71"/>
  <c r="BA142" i="71"/>
  <c r="BA140" i="71"/>
  <c r="BA138" i="71"/>
  <c r="BA136" i="71"/>
  <c r="BA134" i="71"/>
  <c r="BA132" i="71"/>
  <c r="BA130" i="71"/>
  <c r="BA128" i="71"/>
  <c r="BA126" i="71"/>
  <c r="BA124" i="71"/>
  <c r="BA122" i="71"/>
  <c r="BA120" i="71"/>
  <c r="BA118" i="71"/>
  <c r="BA116" i="71"/>
  <c r="BA114" i="71"/>
  <c r="BA112" i="71"/>
  <c r="BA110" i="71"/>
  <c r="BA108" i="71"/>
  <c r="BA106" i="71"/>
  <c r="BA104" i="71"/>
  <c r="BA102" i="71"/>
  <c r="BA100" i="71"/>
  <c r="BA98" i="71"/>
  <c r="BA96" i="71"/>
  <c r="BA94" i="71"/>
  <c r="BA92" i="71"/>
  <c r="BA90" i="71"/>
  <c r="BA88" i="71"/>
  <c r="BA86" i="71"/>
  <c r="BA84" i="71"/>
  <c r="BA82" i="71"/>
  <c r="BA80" i="71"/>
  <c r="BA78" i="71"/>
  <c r="BA76" i="71"/>
  <c r="BA74" i="71"/>
  <c r="BA72" i="71"/>
  <c r="BA70" i="71"/>
  <c r="BA65" i="71"/>
  <c r="BA63" i="71"/>
  <c r="BH45" i="71"/>
  <c r="BH43" i="71"/>
  <c r="BH41" i="71"/>
  <c r="BH39" i="71"/>
  <c r="BH37" i="71"/>
  <c r="BH35" i="71"/>
  <c r="BG279" i="71"/>
  <c r="BA167" i="71"/>
  <c r="BG287" i="71"/>
  <c r="BA170" i="71"/>
  <c r="BA68" i="71"/>
  <c r="BA62" i="71"/>
  <c r="BA60" i="71"/>
  <c r="BA57" i="71"/>
  <c r="BA291" i="71"/>
  <c r="BH50" i="71"/>
  <c r="BH47" i="71"/>
  <c r="BA337" i="71"/>
  <c r="BA327" i="71"/>
  <c r="BG289" i="71"/>
  <c r="BJ486" i="71"/>
  <c r="BF481" i="71"/>
  <c r="BF477" i="71"/>
  <c r="BJ476" i="71"/>
  <c r="BJ470" i="71"/>
  <c r="BF461" i="71"/>
  <c r="BF457" i="71"/>
  <c r="BJ456" i="71"/>
  <c r="BJ450" i="71"/>
  <c r="BF445" i="71"/>
  <c r="BI496" i="71"/>
  <c r="BI492" i="71"/>
  <c r="BI490" i="71"/>
  <c r="BI482" i="71"/>
  <c r="BI480" i="71"/>
  <c r="BI474" i="71"/>
  <c r="BI462" i="71"/>
  <c r="BI460" i="71"/>
  <c r="BI454" i="71"/>
  <c r="BI444" i="71"/>
  <c r="BF498" i="71"/>
  <c r="BF484" i="71"/>
  <c r="BJ467" i="71"/>
  <c r="BF464" i="71"/>
  <c r="BJ447" i="71"/>
  <c r="BH500" i="71"/>
  <c r="AZ494" i="71"/>
  <c r="AZ466" i="71"/>
  <c r="AZ446" i="71"/>
  <c r="BJ437" i="71"/>
  <c r="BJ433" i="71"/>
  <c r="BF426" i="71"/>
  <c r="BF422" i="71"/>
  <c r="BJ421" i="71"/>
  <c r="BI497" i="71"/>
  <c r="BI493" i="71"/>
  <c r="BI489" i="71"/>
  <c r="BI473" i="71"/>
  <c r="BI453" i="71"/>
  <c r="BI443" i="71"/>
  <c r="BE442" i="71"/>
  <c r="BI427" i="71"/>
  <c r="BI425" i="71"/>
  <c r="BI419" i="71"/>
  <c r="AZ488" i="71"/>
  <c r="AZ472" i="71"/>
  <c r="AZ468" i="71"/>
  <c r="AZ452" i="71"/>
  <c r="AZ448" i="71"/>
  <c r="BF441" i="71"/>
  <c r="BJ440" i="71"/>
  <c r="BF429" i="71"/>
  <c r="AZ487" i="71"/>
  <c r="AZ471" i="71"/>
  <c r="BH465" i="71"/>
  <c r="AZ455" i="71"/>
  <c r="AZ439" i="71"/>
  <c r="AZ435" i="71"/>
  <c r="AZ431" i="71"/>
  <c r="BI409" i="71"/>
  <c r="BI393" i="71"/>
  <c r="BE392" i="71"/>
  <c r="BI483" i="71"/>
  <c r="BE478" i="71"/>
  <c r="BI459" i="71"/>
  <c r="BI418" i="71"/>
  <c r="AZ413" i="71"/>
  <c r="AZ411" i="71"/>
  <c r="AZ407" i="71"/>
  <c r="AZ403" i="71"/>
  <c r="AZ401" i="71"/>
  <c r="AZ399" i="71"/>
  <c r="AZ397" i="71"/>
  <c r="AZ389" i="71"/>
  <c r="AZ385" i="71"/>
  <c r="AZ381" i="71"/>
  <c r="AZ379" i="71"/>
  <c r="AZ377" i="71"/>
  <c r="BH499" i="71"/>
  <c r="AZ449" i="71"/>
  <c r="AZ436" i="71"/>
  <c r="AZ432" i="71"/>
  <c r="BH430" i="71"/>
  <c r="AZ420" i="71"/>
  <c r="AZ416" i="71"/>
  <c r="BJ412" i="71"/>
  <c r="BJ402" i="71"/>
  <c r="BJ398" i="71"/>
  <c r="BF395" i="71"/>
  <c r="BF391" i="71"/>
  <c r="BJ390" i="71"/>
  <c r="BJ378" i="71"/>
  <c r="AZ491" i="71"/>
  <c r="BH485" i="71"/>
  <c r="AZ475" i="71"/>
  <c r="AZ451" i="71"/>
  <c r="AZ417" i="71"/>
  <c r="BJ415" i="71"/>
  <c r="BI408" i="71"/>
  <c r="BI394" i="71"/>
  <c r="BI428" i="71"/>
  <c r="AZ406" i="71"/>
  <c r="AZ384" i="71"/>
  <c r="AZ380" i="71"/>
  <c r="BI424" i="71"/>
  <c r="AZ404" i="71"/>
  <c r="AZ388" i="71"/>
  <c r="BF373" i="71"/>
  <c r="BJ356" i="71"/>
  <c r="BJ346" i="71"/>
  <c r="BJ342" i="71"/>
  <c r="BF339" i="71"/>
  <c r="BF335" i="71"/>
  <c r="BJ334" i="71"/>
  <c r="BJ322" i="71"/>
  <c r="BJ310" i="71"/>
  <c r="BJ306" i="71"/>
  <c r="AZ469" i="71"/>
  <c r="BJ405" i="71"/>
  <c r="BJ383" i="71"/>
  <c r="BI372" i="71"/>
  <c r="BI368" i="71"/>
  <c r="BE367" i="71"/>
  <c r="BI362" i="71"/>
  <c r="BI352" i="71"/>
  <c r="BI338" i="71"/>
  <c r="BI316" i="71"/>
  <c r="AZ400" i="71"/>
  <c r="BJ387" i="71"/>
  <c r="BH374" i="71"/>
  <c r="AZ364" i="71"/>
  <c r="AZ360" i="71"/>
  <c r="AZ358" i="71"/>
  <c r="AZ354" i="71"/>
  <c r="AZ350" i="71"/>
  <c r="AZ348" i="71"/>
  <c r="AZ344" i="71"/>
  <c r="AZ340" i="71"/>
  <c r="AZ332" i="71"/>
  <c r="AZ330" i="71"/>
  <c r="AZ328" i="71"/>
  <c r="AZ326" i="71"/>
  <c r="AZ324" i="71"/>
  <c r="AZ320" i="71"/>
  <c r="AZ318" i="71"/>
  <c r="AZ314" i="71"/>
  <c r="AZ312" i="71"/>
  <c r="AZ308" i="71"/>
  <c r="AZ304" i="71"/>
  <c r="AZ302" i="71"/>
  <c r="AZ300" i="71"/>
  <c r="AZ298" i="71"/>
  <c r="AZ296" i="71"/>
  <c r="AZ294" i="71"/>
  <c r="AZ292" i="71"/>
  <c r="BH290" i="71"/>
  <c r="BH495" i="71"/>
  <c r="AZ438" i="71"/>
  <c r="BE423" i="71"/>
  <c r="AZ414" i="71"/>
  <c r="AZ386" i="71"/>
  <c r="AZ382" i="71"/>
  <c r="AZ376" i="71"/>
  <c r="BF370" i="71"/>
  <c r="BJ359" i="71"/>
  <c r="BJ327" i="71"/>
  <c r="AZ321" i="71"/>
  <c r="AZ305" i="71"/>
  <c r="BJ295" i="71"/>
  <c r="BI288" i="71"/>
  <c r="BA286" i="71"/>
  <c r="BI284" i="71"/>
  <c r="G28" i="71" s="1"/>
  <c r="BA282" i="71"/>
  <c r="BI278" i="71"/>
  <c r="BA270" i="71"/>
  <c r="BI268" i="71"/>
  <c r="BA266" i="71"/>
  <c r="BA264" i="71"/>
  <c r="BI254" i="71"/>
  <c r="BA252" i="71"/>
  <c r="BA248" i="71"/>
  <c r="BA246" i="71"/>
  <c r="AZ351" i="71"/>
  <c r="AZ319" i="71"/>
  <c r="AZ303" i="71"/>
  <c r="AZ280" i="71"/>
  <c r="AZ276" i="71"/>
  <c r="AZ274" i="71"/>
  <c r="AZ260" i="71"/>
  <c r="AZ256" i="71"/>
  <c r="AZ244" i="71"/>
  <c r="AZ242" i="71"/>
  <c r="BF366" i="71"/>
  <c r="BE336" i="71"/>
  <c r="AZ333" i="71"/>
  <c r="BI371" i="71"/>
  <c r="AZ347" i="71"/>
  <c r="AZ315" i="71"/>
  <c r="AZ299" i="71"/>
  <c r="BJ281" i="71"/>
  <c r="BJ275" i="71"/>
  <c r="BJ265" i="71"/>
  <c r="BJ247" i="71"/>
  <c r="BJ243" i="71"/>
  <c r="AZ375" i="71"/>
  <c r="BJ365" i="71"/>
  <c r="BJ349" i="71"/>
  <c r="AZ343" i="71"/>
  <c r="AZ311" i="71"/>
  <c r="BJ301" i="71"/>
  <c r="AZ277" i="71"/>
  <c r="AZ355" i="71"/>
  <c r="AZ345" i="71"/>
  <c r="AZ293" i="71"/>
  <c r="BA289" i="71"/>
  <c r="AZ271" i="71"/>
  <c r="AZ259" i="71"/>
  <c r="AZ224" i="71"/>
  <c r="AZ220" i="71"/>
  <c r="AZ214" i="71"/>
  <c r="AZ208" i="71"/>
  <c r="AZ196" i="71"/>
  <c r="AZ192" i="71"/>
  <c r="AZ186" i="71"/>
  <c r="AZ180" i="71"/>
  <c r="AZ174" i="71"/>
  <c r="AZ172" i="71"/>
  <c r="BH170" i="71"/>
  <c r="BI479" i="71"/>
  <c r="BI363" i="71"/>
  <c r="BI353" i="71"/>
  <c r="AZ307" i="71"/>
  <c r="AZ297" i="71"/>
  <c r="BC169" i="71"/>
  <c r="AZ434" i="71"/>
  <c r="AZ325" i="71"/>
  <c r="BI279" i="71"/>
  <c r="BJ262" i="71"/>
  <c r="BJ258" i="71"/>
  <c r="BJ250" i="71"/>
  <c r="BJ229" i="71"/>
  <c r="BJ217" i="71"/>
  <c r="BJ211" i="71"/>
  <c r="BJ201" i="71"/>
  <c r="BJ189" i="71"/>
  <c r="BJ183" i="71"/>
  <c r="BE458" i="71"/>
  <c r="AZ361" i="71"/>
  <c r="BJ313" i="71"/>
  <c r="AZ309" i="71"/>
  <c r="BA261" i="71"/>
  <c r="BA237" i="71"/>
  <c r="BA225" i="71"/>
  <c r="BA213" i="71"/>
  <c r="BA209" i="71"/>
  <c r="BA197" i="71"/>
  <c r="BA185" i="71"/>
  <c r="BA181" i="71"/>
  <c r="BA177" i="71"/>
  <c r="BI167" i="71"/>
  <c r="BC162" i="71"/>
  <c r="BC150" i="71"/>
  <c r="BC146" i="71"/>
  <c r="BC144" i="71"/>
  <c r="BC132" i="71"/>
  <c r="BC128" i="71"/>
  <c r="BC126" i="71"/>
  <c r="BC120" i="71"/>
  <c r="BC116" i="71"/>
  <c r="BC114" i="71"/>
  <c r="BC110" i="71"/>
  <c r="BC108" i="71"/>
  <c r="BC92" i="71"/>
  <c r="BC90" i="71"/>
  <c r="BC86" i="71"/>
  <c r="BC82" i="71"/>
  <c r="BC80" i="71"/>
  <c r="AZ67" i="71"/>
  <c r="BC65" i="71"/>
  <c r="AZ59" i="71"/>
  <c r="AZ58" i="71"/>
  <c r="BI49" i="71"/>
  <c r="BI48" i="71"/>
  <c r="BJ45" i="71"/>
  <c r="AZ17" i="71"/>
  <c r="AZ16" i="71"/>
  <c r="AZ9" i="71"/>
  <c r="BA219" i="71"/>
  <c r="BI205" i="71"/>
  <c r="BI463" i="71"/>
  <c r="AZ410" i="71"/>
  <c r="AZ245" i="71"/>
  <c r="AZ241" i="71"/>
  <c r="AZ221" i="71"/>
  <c r="AZ193" i="71"/>
  <c r="AZ173" i="71"/>
  <c r="BJ152" i="71"/>
  <c r="BJ142" i="71"/>
  <c r="BJ138" i="71"/>
  <c r="BF131" i="71"/>
  <c r="BJ130" i="71"/>
  <c r="BJ118" i="71"/>
  <c r="BJ106" i="71"/>
  <c r="BJ102" i="71"/>
  <c r="BJ78" i="71"/>
  <c r="BJ74" i="71"/>
  <c r="BJ63" i="71"/>
  <c r="BC62" i="71"/>
  <c r="AZ55" i="71"/>
  <c r="AZ53" i="71"/>
  <c r="AZ52" i="71"/>
  <c r="BA35" i="71"/>
  <c r="BC18" i="71"/>
  <c r="BC10" i="71"/>
  <c r="BI233" i="71"/>
  <c r="BA231" i="71"/>
  <c r="BA227" i="71"/>
  <c r="BA203" i="71"/>
  <c r="BA199" i="71"/>
  <c r="BA191" i="71"/>
  <c r="BC163" i="71"/>
  <c r="BI369" i="71"/>
  <c r="BJ331" i="71"/>
  <c r="AZ323" i="71"/>
  <c r="BI287" i="71"/>
  <c r="BJ176" i="71"/>
  <c r="BC166" i="71"/>
  <c r="BI164" i="71"/>
  <c r="BI158" i="71"/>
  <c r="BI148" i="71"/>
  <c r="BI134" i="71"/>
  <c r="BI112" i="71"/>
  <c r="BI84" i="71"/>
  <c r="AZ39" i="71"/>
  <c r="AZ37" i="71"/>
  <c r="BJ12" i="71"/>
  <c r="AZ329" i="71"/>
  <c r="BA283" i="71"/>
  <c r="BA249" i="71"/>
  <c r="BA239" i="71"/>
  <c r="BA175" i="71"/>
  <c r="AZ341" i="71"/>
  <c r="BA263" i="71"/>
  <c r="BA255" i="71"/>
  <c r="BA234" i="71"/>
  <c r="BI232" i="71"/>
  <c r="BA230" i="71"/>
  <c r="BA218" i="71"/>
  <c r="BA210" i="71"/>
  <c r="BA206" i="71"/>
  <c r="BI204" i="71"/>
  <c r="BA202" i="71"/>
  <c r="BA190" i="71"/>
  <c r="BA182" i="71"/>
  <c r="BA178" i="71"/>
  <c r="BI168" i="71"/>
  <c r="AZ160" i="71"/>
  <c r="AZ156" i="71"/>
  <c r="AZ154" i="71"/>
  <c r="AZ140" i="71"/>
  <c r="AZ136" i="71"/>
  <c r="AZ124" i="71"/>
  <c r="AZ122" i="71"/>
  <c r="AZ104" i="71"/>
  <c r="AZ100" i="71"/>
  <c r="AZ98" i="71"/>
  <c r="AZ96" i="71"/>
  <c r="AZ94" i="71"/>
  <c r="AZ88" i="71"/>
  <c r="AZ76" i="71"/>
  <c r="AZ72" i="71"/>
  <c r="AZ70" i="71"/>
  <c r="BJ56" i="71"/>
  <c r="BC44" i="71"/>
  <c r="AZ396" i="71"/>
  <c r="AZ357" i="71"/>
  <c r="BI337" i="71"/>
  <c r="AZ291" i="71"/>
  <c r="AZ273" i="71"/>
  <c r="AZ257" i="71"/>
  <c r="AZ235" i="71"/>
  <c r="AZ223" i="71"/>
  <c r="AZ215" i="71"/>
  <c r="AZ207" i="71"/>
  <c r="AZ195" i="71"/>
  <c r="AZ187" i="71"/>
  <c r="AZ179" i="71"/>
  <c r="AZ171" i="71"/>
  <c r="BJ161" i="71"/>
  <c r="BJ155" i="71"/>
  <c r="BJ145" i="71"/>
  <c r="BJ127" i="71"/>
  <c r="BJ123" i="71"/>
  <c r="BJ109" i="71"/>
  <c r="BJ97" i="71"/>
  <c r="BJ91" i="71"/>
  <c r="BJ81" i="71"/>
  <c r="BJ69" i="71"/>
  <c r="BC61" i="71"/>
  <c r="AZ54" i="71"/>
  <c r="AZ51" i="71"/>
  <c r="BA46" i="71"/>
  <c r="BC15" i="71"/>
  <c r="BC7" i="71"/>
  <c r="BI317" i="71"/>
  <c r="BJ272" i="71"/>
  <c r="BJ238" i="71"/>
  <c r="BJ17" i="71"/>
  <c r="BC34" i="71"/>
  <c r="AZ36" i="71"/>
  <c r="BC37" i="71"/>
  <c r="BJ38" i="71"/>
  <c r="AZ40" i="71"/>
  <c r="BC41" i="71"/>
  <c r="BJ42" i="71"/>
  <c r="AZ44" i="71"/>
  <c r="BA50" i="71"/>
  <c r="BA61" i="71"/>
  <c r="AZ64" i="71"/>
  <c r="AZ69" i="71"/>
  <c r="BI77" i="71"/>
  <c r="BC81" i="71"/>
  <c r="BA83" i="71"/>
  <c r="AZ85" i="71"/>
  <c r="AY92" i="71"/>
  <c r="BA99" i="71"/>
  <c r="AZ101" i="71"/>
  <c r="BC113" i="71"/>
  <c r="BA115" i="71"/>
  <c r="AZ117" i="71"/>
  <c r="BI125" i="71"/>
  <c r="BC129" i="71"/>
  <c r="BA131" i="71"/>
  <c r="AZ133" i="71"/>
  <c r="BI141" i="71"/>
  <c r="BC145" i="71"/>
  <c r="BA147" i="71"/>
  <c r="BH165" i="71"/>
  <c r="BA188" i="71"/>
  <c r="BA212" i="71"/>
  <c r="BA228" i="71"/>
  <c r="BA236" i="71"/>
  <c r="BI285" i="71"/>
  <c r="BG494" i="71"/>
  <c r="BG492" i="71"/>
  <c r="BG490" i="71"/>
  <c r="BG488" i="71"/>
  <c r="BG486" i="71"/>
  <c r="AZ498" i="71"/>
  <c r="AZ482" i="71"/>
  <c r="AZ478" i="71"/>
  <c r="BH472" i="71"/>
  <c r="BH468" i="71"/>
  <c r="AZ462" i="71"/>
  <c r="AZ458" i="71"/>
  <c r="BH452" i="71"/>
  <c r="BH448" i="71"/>
  <c r="BI435" i="71"/>
  <c r="BI433" i="71"/>
  <c r="BI431" i="71"/>
  <c r="BG493" i="71"/>
  <c r="BG489" i="71"/>
  <c r="AZ500" i="71"/>
  <c r="AZ496" i="71"/>
  <c r="AZ484" i="71"/>
  <c r="AZ480" i="71"/>
  <c r="AZ476" i="71"/>
  <c r="BH474" i="71"/>
  <c r="BH470" i="71"/>
  <c r="BH466" i="71"/>
  <c r="AZ464" i="71"/>
  <c r="AZ460" i="71"/>
  <c r="AZ456" i="71"/>
  <c r="BH454" i="71"/>
  <c r="BH450" i="71"/>
  <c r="BH446" i="71"/>
  <c r="AZ479" i="71"/>
  <c r="BH473" i="71"/>
  <c r="AZ463" i="71"/>
  <c r="BH449" i="71"/>
  <c r="AZ443" i="71"/>
  <c r="BD436" i="71"/>
  <c r="AZ427" i="71"/>
  <c r="AZ423" i="71"/>
  <c r="BH417" i="71"/>
  <c r="BI399" i="71"/>
  <c r="BI397" i="71"/>
  <c r="BI385" i="71"/>
  <c r="BI383" i="71"/>
  <c r="BI381" i="71"/>
  <c r="BI434" i="71"/>
  <c r="BH413" i="71"/>
  <c r="BH411" i="71"/>
  <c r="BD410" i="71"/>
  <c r="AZ409" i="71"/>
  <c r="BD406" i="71"/>
  <c r="AZ405" i="71"/>
  <c r="BD404" i="71"/>
  <c r="AZ395" i="71"/>
  <c r="AZ393" i="71"/>
  <c r="AZ391" i="71"/>
  <c r="BD388" i="71"/>
  <c r="AZ387" i="71"/>
  <c r="BD386" i="71"/>
  <c r="BD380" i="71"/>
  <c r="BD376" i="71"/>
  <c r="AZ497" i="71"/>
  <c r="AZ481" i="71"/>
  <c r="BH475" i="71"/>
  <c r="BH467" i="71"/>
  <c r="AZ465" i="71"/>
  <c r="AZ457" i="71"/>
  <c r="BH451" i="71"/>
  <c r="AZ444" i="71"/>
  <c r="AZ440" i="71"/>
  <c r="AZ428" i="71"/>
  <c r="AZ424" i="71"/>
  <c r="BH418" i="71"/>
  <c r="BG491" i="71"/>
  <c r="AZ499" i="71"/>
  <c r="AZ483" i="71"/>
  <c r="BH469" i="71"/>
  <c r="AZ459" i="71"/>
  <c r="BH453" i="71"/>
  <c r="AZ441" i="71"/>
  <c r="BD438" i="71"/>
  <c r="AZ437" i="71"/>
  <c r="AZ429" i="71"/>
  <c r="AZ425" i="71"/>
  <c r="AZ421" i="71"/>
  <c r="BH419" i="71"/>
  <c r="BI400" i="71"/>
  <c r="BI398" i="71"/>
  <c r="BI396" i="71"/>
  <c r="BI384" i="71"/>
  <c r="BI382" i="71"/>
  <c r="AZ485" i="71"/>
  <c r="AZ422" i="71"/>
  <c r="AZ390" i="71"/>
  <c r="AZ477" i="71"/>
  <c r="BH455" i="71"/>
  <c r="BD439" i="71"/>
  <c r="BJ298" i="71"/>
  <c r="BJ292" i="71"/>
  <c r="BH447" i="71"/>
  <c r="BH414" i="71"/>
  <c r="BH412" i="71"/>
  <c r="BD407" i="71"/>
  <c r="AZ402" i="71"/>
  <c r="BD377" i="71"/>
  <c r="BI344" i="71"/>
  <c r="BI342" i="71"/>
  <c r="BI340" i="71"/>
  <c r="BI328" i="71"/>
  <c r="BI326" i="71"/>
  <c r="BI308" i="71"/>
  <c r="BI306" i="71"/>
  <c r="BI304" i="71"/>
  <c r="AZ461" i="71"/>
  <c r="AZ442" i="71"/>
  <c r="BH420" i="71"/>
  <c r="BD389" i="71"/>
  <c r="AZ374" i="71"/>
  <c r="AZ372" i="71"/>
  <c r="AZ370" i="71"/>
  <c r="AZ368" i="71"/>
  <c r="AZ366" i="71"/>
  <c r="BH364" i="71"/>
  <c r="BH362" i="71"/>
  <c r="BH360" i="71"/>
  <c r="BH358" i="71"/>
  <c r="BH356" i="71"/>
  <c r="AZ352" i="71"/>
  <c r="BD351" i="71"/>
  <c r="BD347" i="71"/>
  <c r="AZ346" i="71"/>
  <c r="BD345" i="71"/>
  <c r="AZ338" i="71"/>
  <c r="AZ336" i="71"/>
  <c r="AZ334" i="71"/>
  <c r="BD333" i="71"/>
  <c r="BD323" i="71"/>
  <c r="AZ322" i="71"/>
  <c r="BD321" i="71"/>
  <c r="AZ316" i="71"/>
  <c r="BD315" i="71"/>
  <c r="BD311" i="71"/>
  <c r="AZ310" i="71"/>
  <c r="BD309" i="71"/>
  <c r="BD303" i="71"/>
  <c r="BD299" i="71"/>
  <c r="BD297" i="71"/>
  <c r="BD293" i="71"/>
  <c r="BD291" i="71"/>
  <c r="AZ290" i="71"/>
  <c r="BH416" i="71"/>
  <c r="BD403" i="71"/>
  <c r="BD379" i="71"/>
  <c r="BG495" i="71"/>
  <c r="BI432" i="71"/>
  <c r="AZ369" i="71"/>
  <c r="BH363" i="71"/>
  <c r="AZ353" i="71"/>
  <c r="AZ337" i="71"/>
  <c r="BI329" i="71"/>
  <c r="BD294" i="71"/>
  <c r="BI260" i="71"/>
  <c r="BI258" i="71"/>
  <c r="BI256" i="71"/>
  <c r="BI244" i="71"/>
  <c r="BI242" i="71"/>
  <c r="BJ375" i="71"/>
  <c r="AZ367" i="71"/>
  <c r="BH361" i="71"/>
  <c r="BI343" i="71"/>
  <c r="AZ335" i="71"/>
  <c r="BI327" i="71"/>
  <c r="BD324" i="71"/>
  <c r="AZ288" i="71"/>
  <c r="AZ286" i="71"/>
  <c r="AZ284" i="71"/>
  <c r="AZ282" i="71"/>
  <c r="BH280" i="71"/>
  <c r="BH278" i="71"/>
  <c r="BH276" i="71"/>
  <c r="BH274" i="71"/>
  <c r="BH272" i="71"/>
  <c r="AZ270" i="71"/>
  <c r="AZ268" i="71"/>
  <c r="AZ266" i="71"/>
  <c r="AZ264" i="71"/>
  <c r="AZ262" i="71"/>
  <c r="AZ254" i="71"/>
  <c r="AZ252" i="71"/>
  <c r="AZ250" i="71"/>
  <c r="AZ248" i="71"/>
  <c r="AZ246" i="71"/>
  <c r="AZ430" i="71"/>
  <c r="AZ394" i="71"/>
  <c r="AZ378" i="71"/>
  <c r="AZ365" i="71"/>
  <c r="BH359" i="71"/>
  <c r="BD354" i="71"/>
  <c r="AZ349" i="71"/>
  <c r="BI341" i="71"/>
  <c r="BI325" i="71"/>
  <c r="AZ317" i="71"/>
  <c r="AZ301" i="71"/>
  <c r="BH471" i="71"/>
  <c r="AZ408" i="71"/>
  <c r="BH357" i="71"/>
  <c r="AZ331" i="71"/>
  <c r="BD320" i="71"/>
  <c r="BI307" i="71"/>
  <c r="AZ445" i="71"/>
  <c r="BD401" i="71"/>
  <c r="BD348" i="71"/>
  <c r="BD332" i="71"/>
  <c r="BD300" i="71"/>
  <c r="AZ295" i="71"/>
  <c r="AZ289" i="71"/>
  <c r="AZ287" i="71"/>
  <c r="AZ285" i="71"/>
  <c r="AZ283" i="71"/>
  <c r="AZ281" i="71"/>
  <c r="BH279" i="71"/>
  <c r="BH277" i="71"/>
  <c r="BH275" i="71"/>
  <c r="BG487" i="71"/>
  <c r="BD312" i="71"/>
  <c r="BD302" i="71"/>
  <c r="BH273" i="71"/>
  <c r="AZ267" i="71"/>
  <c r="AZ263" i="71"/>
  <c r="AZ255" i="71"/>
  <c r="AZ251" i="71"/>
  <c r="AZ247" i="71"/>
  <c r="AZ240" i="71"/>
  <c r="AZ238" i="71"/>
  <c r="AZ236" i="71"/>
  <c r="AZ234" i="71"/>
  <c r="AZ232" i="71"/>
  <c r="AZ230" i="71"/>
  <c r="AZ228" i="71"/>
  <c r="AZ226" i="71"/>
  <c r="AZ218" i="71"/>
  <c r="AZ216" i="71"/>
  <c r="BD215" i="71"/>
  <c r="AZ212" i="71"/>
  <c r="AZ210" i="71"/>
  <c r="BD207" i="71"/>
  <c r="AZ206" i="71"/>
  <c r="AZ204" i="71"/>
  <c r="AZ202" i="71"/>
  <c r="AZ200" i="71"/>
  <c r="AZ198" i="71"/>
  <c r="AZ190" i="71"/>
  <c r="AZ188" i="71"/>
  <c r="BD187" i="71"/>
  <c r="AZ184" i="71"/>
  <c r="AZ182" i="71"/>
  <c r="BD179" i="71"/>
  <c r="AZ178" i="71"/>
  <c r="AZ176" i="71"/>
  <c r="BD171" i="71"/>
  <c r="AZ170" i="71"/>
  <c r="AZ168" i="71"/>
  <c r="AZ166" i="71"/>
  <c r="BH415" i="71"/>
  <c r="AZ373" i="71"/>
  <c r="BD330" i="71"/>
  <c r="BJ319" i="71"/>
  <c r="BI305" i="71"/>
  <c r="BJ235" i="71"/>
  <c r="BJ173" i="71"/>
  <c r="AZ426" i="71"/>
  <c r="AZ371" i="71"/>
  <c r="BD318" i="71"/>
  <c r="BD296" i="71"/>
  <c r="BI223" i="71"/>
  <c r="BI195" i="71"/>
  <c r="BD68" i="71"/>
  <c r="AZ61" i="71"/>
  <c r="BD57" i="71"/>
  <c r="AZ15" i="71"/>
  <c r="AZ14" i="71"/>
  <c r="AZ13" i="71"/>
  <c r="AZ11" i="71"/>
  <c r="BD8" i="71"/>
  <c r="AZ7" i="71"/>
  <c r="BD6" i="71"/>
  <c r="BI243" i="71"/>
  <c r="BI221" i="71"/>
  <c r="BD314" i="71"/>
  <c r="BH271" i="71"/>
  <c r="AZ269" i="71"/>
  <c r="AZ261" i="71"/>
  <c r="AZ253" i="71"/>
  <c r="AZ237" i="71"/>
  <c r="AZ233" i="71"/>
  <c r="AZ229" i="71"/>
  <c r="AZ225" i="71"/>
  <c r="AZ217" i="71"/>
  <c r="AZ213" i="71"/>
  <c r="AZ209" i="71"/>
  <c r="AZ205" i="71"/>
  <c r="AZ201" i="71"/>
  <c r="AZ197" i="71"/>
  <c r="AZ189" i="71"/>
  <c r="AZ185" i="71"/>
  <c r="AZ181" i="71"/>
  <c r="AZ177" i="71"/>
  <c r="BD174" i="71"/>
  <c r="AZ169" i="71"/>
  <c r="BJ94" i="71"/>
  <c r="BJ88" i="71"/>
  <c r="BD54" i="71"/>
  <c r="BD51" i="71"/>
  <c r="AZ49" i="71"/>
  <c r="AZ48" i="71"/>
  <c r="BI39" i="71"/>
  <c r="BI37" i="71"/>
  <c r="BI241" i="71"/>
  <c r="AZ313" i="71"/>
  <c r="BJ208" i="71"/>
  <c r="BJ180" i="71"/>
  <c r="BI140" i="71"/>
  <c r="BI138" i="71"/>
  <c r="BI136" i="71"/>
  <c r="BI124" i="71"/>
  <c r="BI122" i="71"/>
  <c r="BI104" i="71"/>
  <c r="BI102" i="71"/>
  <c r="BI100" i="71"/>
  <c r="BI76" i="71"/>
  <c r="BI74" i="71"/>
  <c r="BI72" i="71"/>
  <c r="BJ60" i="71"/>
  <c r="AZ45" i="71"/>
  <c r="AZ43" i="71"/>
  <c r="AZ41" i="71"/>
  <c r="AZ35" i="71"/>
  <c r="BI259" i="71"/>
  <c r="BD350" i="71"/>
  <c r="BI257" i="71"/>
  <c r="BI224" i="71"/>
  <c r="BI220" i="71"/>
  <c r="BI196" i="71"/>
  <c r="BI192" i="71"/>
  <c r="AZ164" i="71"/>
  <c r="AZ162" i="71"/>
  <c r="BH160" i="71"/>
  <c r="BH158" i="71"/>
  <c r="BH156" i="71"/>
  <c r="BH154" i="71"/>
  <c r="BH152" i="71"/>
  <c r="AZ150" i="71"/>
  <c r="AZ148" i="71"/>
  <c r="AZ146" i="71"/>
  <c r="AZ144" i="71"/>
  <c r="AZ142" i="71"/>
  <c r="AZ134" i="71"/>
  <c r="AZ132" i="71"/>
  <c r="AZ130" i="71"/>
  <c r="AZ128" i="71"/>
  <c r="AZ126" i="71"/>
  <c r="AZ120" i="71"/>
  <c r="AZ118" i="71"/>
  <c r="AZ116" i="71"/>
  <c r="AZ114" i="71"/>
  <c r="AZ112" i="71"/>
  <c r="AZ110" i="71"/>
  <c r="AZ108" i="71"/>
  <c r="AZ106" i="71"/>
  <c r="BD99" i="71"/>
  <c r="BD95" i="71"/>
  <c r="AZ92" i="71"/>
  <c r="AZ90" i="71"/>
  <c r="BD87" i="71"/>
  <c r="AZ86" i="71"/>
  <c r="AZ84" i="71"/>
  <c r="AZ82" i="71"/>
  <c r="AZ80" i="71"/>
  <c r="AZ78" i="71"/>
  <c r="BD71" i="71"/>
  <c r="AZ65" i="71"/>
  <c r="AZ63" i="71"/>
  <c r="AZ339" i="71"/>
  <c r="BI193" i="71"/>
  <c r="AZ265" i="71"/>
  <c r="AZ249" i="71"/>
  <c r="AZ239" i="71"/>
  <c r="AZ231" i="71"/>
  <c r="AZ227" i="71"/>
  <c r="AZ219" i="71"/>
  <c r="AZ211" i="71"/>
  <c r="AZ203" i="71"/>
  <c r="AZ199" i="71"/>
  <c r="AZ191" i="71"/>
  <c r="AZ183" i="71"/>
  <c r="AZ175" i="71"/>
  <c r="BD172" i="71"/>
  <c r="AZ167" i="71"/>
  <c r="BJ115" i="71"/>
  <c r="BJ66" i="71"/>
  <c r="AZ56" i="71"/>
  <c r="BD55" i="71"/>
  <c r="BD52" i="71"/>
  <c r="AZ50" i="71"/>
  <c r="AZ47" i="71"/>
  <c r="BI40" i="71"/>
  <c r="BI38" i="71"/>
  <c r="BI36" i="71"/>
  <c r="BH355" i="71"/>
  <c r="AZ34" i="71"/>
  <c r="AY120" i="71"/>
  <c r="BJ9" i="71"/>
  <c r="AZ18" i="71"/>
  <c r="BH34" i="71"/>
  <c r="AZ46" i="71"/>
  <c r="BA47" i="71"/>
  <c r="BA58" i="71"/>
  <c r="BD59" i="71"/>
  <c r="BA64" i="71"/>
  <c r="AZ66" i="71"/>
  <c r="BD67" i="71"/>
  <c r="BA69" i="71"/>
  <c r="AZ71" i="71"/>
  <c r="BI79" i="71"/>
  <c r="BC83" i="71"/>
  <c r="BA85" i="71"/>
  <c r="AZ87" i="71"/>
  <c r="BC99" i="71"/>
  <c r="BA101" i="71"/>
  <c r="AZ103" i="71"/>
  <c r="AY110" i="71"/>
  <c r="BA117" i="71"/>
  <c r="AZ119" i="71"/>
  <c r="BI127" i="71"/>
  <c r="BC131" i="71"/>
  <c r="BA133" i="71"/>
  <c r="AZ135" i="71"/>
  <c r="BI143" i="71"/>
  <c r="BC147" i="71"/>
  <c r="BA149" i="71"/>
  <c r="AZ151" i="71"/>
  <c r="BI165" i="71"/>
  <c r="BA216" i="71"/>
  <c r="BA355" i="71"/>
  <c r="AZ127" i="71"/>
  <c r="AZ163" i="71"/>
  <c r="BD70" i="71"/>
  <c r="AZ97" i="71"/>
  <c r="BI153" i="71"/>
  <c r="BB52" i="71"/>
  <c r="BC55" i="71"/>
  <c r="BC64" i="71"/>
  <c r="BA66" i="71"/>
  <c r="BA71" i="71"/>
  <c r="AZ73" i="71"/>
  <c r="BC85" i="71"/>
  <c r="BA87" i="71"/>
  <c r="AZ89" i="71"/>
  <c r="BD94" i="71"/>
  <c r="BC101" i="71"/>
  <c r="BA103" i="71"/>
  <c r="AZ105" i="71"/>
  <c r="BI113" i="71"/>
  <c r="BC117" i="71"/>
  <c r="BA119" i="71"/>
  <c r="AZ121" i="71"/>
  <c r="BI129" i="71"/>
  <c r="BC133" i="71"/>
  <c r="BA135" i="71"/>
  <c r="AZ137" i="71"/>
  <c r="BC149" i="71"/>
  <c r="BA151" i="71"/>
  <c r="AZ153" i="71"/>
  <c r="BA267" i="71"/>
  <c r="BD16" i="71"/>
  <c r="AZ79" i="71"/>
  <c r="BI103" i="71"/>
  <c r="AZ111" i="71"/>
  <c r="AZ143" i="71"/>
  <c r="BH153" i="71"/>
  <c r="AZ12" i="71"/>
  <c r="BC48" i="71"/>
  <c r="BI105" i="71"/>
  <c r="BI121" i="71"/>
  <c r="BI137" i="71"/>
  <c r="BH159" i="71"/>
  <c r="AZ10" i="71"/>
  <c r="BH36" i="71"/>
  <c r="BH40" i="71"/>
  <c r="BH44" i="71"/>
  <c r="BC52" i="71"/>
  <c r="BJ53" i="71"/>
  <c r="BD58" i="71"/>
  <c r="BJ67" i="71"/>
  <c r="BC71" i="71"/>
  <c r="BA73" i="71"/>
  <c r="AZ75" i="71"/>
  <c r="AY82" i="71"/>
  <c r="BA89" i="71"/>
  <c r="AZ91" i="71"/>
  <c r="BD96" i="71"/>
  <c r="BC103" i="71"/>
  <c r="BA105" i="71"/>
  <c r="AZ107" i="71"/>
  <c r="AY114" i="71"/>
  <c r="BC119" i="71"/>
  <c r="BA121" i="71"/>
  <c r="BC135" i="71"/>
  <c r="BA137" i="71"/>
  <c r="AZ139" i="71"/>
  <c r="AY146" i="71"/>
  <c r="BA153" i="71"/>
  <c r="AZ157" i="71"/>
  <c r="BA251" i="71"/>
  <c r="BC499" i="71"/>
  <c r="BC497" i="71"/>
  <c r="BC495" i="71"/>
  <c r="BC493" i="71"/>
  <c r="BC491" i="71"/>
  <c r="BC489" i="71"/>
  <c r="BC487" i="71"/>
  <c r="BC485" i="71"/>
  <c r="BC483" i="71"/>
  <c r="BC481" i="71"/>
  <c r="BC479" i="71"/>
  <c r="BC477" i="71"/>
  <c r="BC475" i="71"/>
  <c r="BC473" i="71"/>
  <c r="BC471" i="71"/>
  <c r="BC469" i="71"/>
  <c r="BC467" i="71"/>
  <c r="BC465" i="71"/>
  <c r="BC463" i="71"/>
  <c r="BC461" i="71"/>
  <c r="BC459" i="71"/>
  <c r="BC457" i="71"/>
  <c r="BC455" i="71"/>
  <c r="BC453" i="71"/>
  <c r="BC451" i="71"/>
  <c r="BC449" i="71"/>
  <c r="BC447" i="71"/>
  <c r="BC445" i="71"/>
  <c r="BC500" i="71"/>
  <c r="BC496" i="71"/>
  <c r="BC492" i="71"/>
  <c r="BC488" i="71"/>
  <c r="BC484" i="71"/>
  <c r="BC480" i="71"/>
  <c r="BC476" i="71"/>
  <c r="BC472" i="71"/>
  <c r="BC468" i="71"/>
  <c r="BC464" i="71"/>
  <c r="BC460" i="71"/>
  <c r="BC456" i="71"/>
  <c r="BC452" i="71"/>
  <c r="BC448" i="71"/>
  <c r="BC444" i="71"/>
  <c r="BC442" i="71"/>
  <c r="BC440" i="71"/>
  <c r="BC438" i="71"/>
  <c r="BC436" i="71"/>
  <c r="BC434" i="71"/>
  <c r="BC432" i="71"/>
  <c r="BC430" i="71"/>
  <c r="BC428" i="71"/>
  <c r="BC426" i="71"/>
  <c r="BC424" i="71"/>
  <c r="BC422" i="71"/>
  <c r="BC420" i="71"/>
  <c r="BC418" i="71"/>
  <c r="BC416" i="71"/>
  <c r="BC415" i="71"/>
  <c r="BC412" i="71"/>
  <c r="BC410" i="71"/>
  <c r="BC408" i="71"/>
  <c r="BC406" i="71"/>
  <c r="BC404" i="71"/>
  <c r="BC400" i="71"/>
  <c r="BC398" i="71"/>
  <c r="BC394" i="71"/>
  <c r="BC392" i="71"/>
  <c r="BC390" i="71"/>
  <c r="BC388" i="71"/>
  <c r="BC494" i="71"/>
  <c r="BC486" i="71"/>
  <c r="BC478" i="71"/>
  <c r="BC470" i="71"/>
  <c r="BC462" i="71"/>
  <c r="BC454" i="71"/>
  <c r="BC446" i="71"/>
  <c r="BC441" i="71"/>
  <c r="BC437" i="71"/>
  <c r="BC433" i="71"/>
  <c r="BC429" i="71"/>
  <c r="BC425" i="71"/>
  <c r="BC421" i="71"/>
  <c r="BC417" i="71"/>
  <c r="BC414" i="71"/>
  <c r="BB402" i="71"/>
  <c r="BB396" i="71"/>
  <c r="BC450" i="71"/>
  <c r="BC413" i="71"/>
  <c r="BC397" i="71"/>
  <c r="BC374" i="71"/>
  <c r="BC372" i="71"/>
  <c r="BC370" i="71"/>
  <c r="BC368" i="71"/>
  <c r="BC366" i="71"/>
  <c r="BC364" i="71"/>
  <c r="BC362" i="71"/>
  <c r="BC360" i="71"/>
  <c r="BC358" i="71"/>
  <c r="BC356" i="71"/>
  <c r="BC354" i="71"/>
  <c r="BC352" i="71"/>
  <c r="BC350" i="71"/>
  <c r="BC348" i="71"/>
  <c r="BC344" i="71"/>
  <c r="BC342" i="71"/>
  <c r="BC338" i="71"/>
  <c r="BC336" i="71"/>
  <c r="BC334" i="71"/>
  <c r="BC332" i="71"/>
  <c r="BC330" i="71"/>
  <c r="BC328" i="71"/>
  <c r="BC326" i="71"/>
  <c r="BC324" i="71"/>
  <c r="BC322" i="71"/>
  <c r="BC320" i="71"/>
  <c r="BC318" i="71"/>
  <c r="BC316" i="71"/>
  <c r="BC314" i="71"/>
  <c r="BC312" i="71"/>
  <c r="BC308" i="71"/>
  <c r="BC306" i="71"/>
  <c r="BC296" i="71"/>
  <c r="BC294" i="71"/>
  <c r="BC290" i="71"/>
  <c r="BC443" i="71"/>
  <c r="BC411" i="71"/>
  <c r="BC395" i="71"/>
  <c r="BC385" i="71"/>
  <c r="BC381" i="71"/>
  <c r="BB346" i="71"/>
  <c r="BB340" i="71"/>
  <c r="BB310" i="71"/>
  <c r="BB304" i="71"/>
  <c r="BB302" i="71"/>
  <c r="BB300" i="71"/>
  <c r="BB298" i="71"/>
  <c r="BB292" i="71"/>
  <c r="BC498" i="71"/>
  <c r="BC439" i="71"/>
  <c r="BC409" i="71"/>
  <c r="BC393" i="71"/>
  <c r="BC376" i="71"/>
  <c r="BC490" i="71"/>
  <c r="BC435" i="71"/>
  <c r="BC407" i="71"/>
  <c r="BC391" i="71"/>
  <c r="BC386" i="71"/>
  <c r="BC382" i="71"/>
  <c r="BC378" i="71"/>
  <c r="BC377" i="71"/>
  <c r="BC482" i="71"/>
  <c r="BC431" i="71"/>
  <c r="BC405" i="71"/>
  <c r="BC389" i="71"/>
  <c r="BC375" i="71"/>
  <c r="BC373" i="71"/>
  <c r="BC371" i="71"/>
  <c r="BC369" i="71"/>
  <c r="BC367" i="71"/>
  <c r="BC365" i="71"/>
  <c r="BC363" i="71"/>
  <c r="BC361" i="71"/>
  <c r="BC359" i="71"/>
  <c r="BC357" i="71"/>
  <c r="BC355" i="71"/>
  <c r="BC353" i="71"/>
  <c r="BC351" i="71"/>
  <c r="BC349" i="71"/>
  <c r="BC347" i="71"/>
  <c r="BC345" i="71"/>
  <c r="BC343" i="71"/>
  <c r="BC341" i="71"/>
  <c r="BC339" i="71"/>
  <c r="BC337" i="71"/>
  <c r="BC335" i="71"/>
  <c r="BC333" i="71"/>
  <c r="BC331" i="71"/>
  <c r="BC329" i="71"/>
  <c r="BC327" i="71"/>
  <c r="BC325" i="71"/>
  <c r="BC323" i="71"/>
  <c r="BC321" i="71"/>
  <c r="BC319" i="71"/>
  <c r="BC317" i="71"/>
  <c r="BC315" i="71"/>
  <c r="BC313" i="71"/>
  <c r="BC311" i="71"/>
  <c r="BC309" i="71"/>
  <c r="BC307" i="71"/>
  <c r="BC305" i="71"/>
  <c r="BC297" i="71"/>
  <c r="BC293" i="71"/>
  <c r="BC423" i="71"/>
  <c r="BB301" i="71"/>
  <c r="BC474" i="71"/>
  <c r="BC458" i="71"/>
  <c r="BB299" i="71"/>
  <c r="BC403" i="71"/>
  <c r="BC399" i="71"/>
  <c r="BC289" i="71"/>
  <c r="BC287" i="71"/>
  <c r="BC285" i="71"/>
  <c r="BC283" i="71"/>
  <c r="BC281" i="71"/>
  <c r="BC279" i="71"/>
  <c r="BC277" i="71"/>
  <c r="BC275" i="71"/>
  <c r="BC273" i="71"/>
  <c r="BC271" i="71"/>
  <c r="BC269" i="71"/>
  <c r="BC267" i="71"/>
  <c r="BC265" i="71"/>
  <c r="BC263" i="71"/>
  <c r="BC261" i="71"/>
  <c r="BC259" i="71"/>
  <c r="BC257" i="71"/>
  <c r="BC255" i="71"/>
  <c r="BC253" i="71"/>
  <c r="BC251" i="71"/>
  <c r="BC249" i="71"/>
  <c r="BC247" i="71"/>
  <c r="BC245" i="71"/>
  <c r="BC243" i="71"/>
  <c r="BB295" i="71"/>
  <c r="BC466" i="71"/>
  <c r="BC387" i="71"/>
  <c r="BC384" i="71"/>
  <c r="BB291" i="71"/>
  <c r="BC380" i="71"/>
  <c r="BC280" i="71"/>
  <c r="BC401" i="71"/>
  <c r="BC379" i="71"/>
  <c r="BC278" i="71"/>
  <c r="BC272" i="71"/>
  <c r="BC268" i="71"/>
  <c r="BC264" i="71"/>
  <c r="BC260" i="71"/>
  <c r="BC256" i="71"/>
  <c r="BC252" i="71"/>
  <c r="BC248" i="71"/>
  <c r="BC244" i="71"/>
  <c r="BC241" i="71"/>
  <c r="BC239" i="71"/>
  <c r="BC237" i="71"/>
  <c r="BC235" i="71"/>
  <c r="BC233" i="71"/>
  <c r="BC231" i="71"/>
  <c r="BC229" i="71"/>
  <c r="BC227" i="71"/>
  <c r="BC225" i="71"/>
  <c r="BC223" i="71"/>
  <c r="BC221" i="71"/>
  <c r="BC219" i="71"/>
  <c r="BC217" i="71"/>
  <c r="BC215" i="71"/>
  <c r="BC213" i="71"/>
  <c r="BC211" i="71"/>
  <c r="BC209" i="71"/>
  <c r="BC207" i="71"/>
  <c r="BC205" i="71"/>
  <c r="BC203" i="71"/>
  <c r="BC201" i="71"/>
  <c r="BC199" i="71"/>
  <c r="BC197" i="71"/>
  <c r="BC195" i="71"/>
  <c r="BC193" i="71"/>
  <c r="BC191" i="71"/>
  <c r="BC189" i="71"/>
  <c r="BC187" i="71"/>
  <c r="BC185" i="71"/>
  <c r="BC183" i="71"/>
  <c r="BC181" i="71"/>
  <c r="BC179" i="71"/>
  <c r="BC177" i="71"/>
  <c r="BC175" i="71"/>
  <c r="BC173" i="71"/>
  <c r="BC171" i="71"/>
  <c r="BG170" i="71"/>
  <c r="BG168" i="71"/>
  <c r="BG166" i="71"/>
  <c r="BC276" i="71"/>
  <c r="BC383" i="71"/>
  <c r="BC286" i="71"/>
  <c r="BC274" i="71"/>
  <c r="BC270" i="71"/>
  <c r="BC266" i="71"/>
  <c r="BC262" i="71"/>
  <c r="BC258" i="71"/>
  <c r="BC254" i="71"/>
  <c r="BC250" i="71"/>
  <c r="BC246" i="71"/>
  <c r="BC240" i="71"/>
  <c r="BC238" i="71"/>
  <c r="BC236" i="71"/>
  <c r="BC234" i="71"/>
  <c r="BC232" i="71"/>
  <c r="BC230" i="71"/>
  <c r="BC228" i="71"/>
  <c r="BC226" i="71"/>
  <c r="BC224" i="71"/>
  <c r="BC222" i="71"/>
  <c r="BC220" i="71"/>
  <c r="BC218" i="71"/>
  <c r="BC216" i="71"/>
  <c r="BC214" i="71"/>
  <c r="BC212" i="71"/>
  <c r="BC210" i="71"/>
  <c r="BC208" i="71"/>
  <c r="BC206" i="71"/>
  <c r="BC204" i="71"/>
  <c r="BC202" i="71"/>
  <c r="BC200" i="71"/>
  <c r="BC198" i="71"/>
  <c r="BC196" i="71"/>
  <c r="BC194" i="71"/>
  <c r="BC192" i="71"/>
  <c r="BC190" i="71"/>
  <c r="BC188" i="71"/>
  <c r="BC186" i="71"/>
  <c r="BC184" i="71"/>
  <c r="BC182" i="71"/>
  <c r="BC180" i="71"/>
  <c r="BC178" i="71"/>
  <c r="BC176" i="71"/>
  <c r="BC174" i="71"/>
  <c r="BG169" i="71"/>
  <c r="BG167" i="71"/>
  <c r="BF499" i="71"/>
  <c r="BF495" i="71"/>
  <c r="BF491" i="71"/>
  <c r="BF489" i="71"/>
  <c r="BF485" i="71"/>
  <c r="BF479" i="71"/>
  <c r="BF475" i="71"/>
  <c r="BF473" i="71"/>
  <c r="BJ466" i="71"/>
  <c r="BF465" i="71"/>
  <c r="BF459" i="71"/>
  <c r="BF455" i="71"/>
  <c r="BF453" i="71"/>
  <c r="BJ446" i="71"/>
  <c r="BI488" i="71"/>
  <c r="BI486" i="71"/>
  <c r="BE481" i="71"/>
  <c r="BI478" i="71"/>
  <c r="BI476" i="71"/>
  <c r="BI472" i="71"/>
  <c r="BI470" i="71"/>
  <c r="BE469" i="71"/>
  <c r="BE461" i="71"/>
  <c r="BI458" i="71"/>
  <c r="BI456" i="71"/>
  <c r="BI452" i="71"/>
  <c r="BI450" i="71"/>
  <c r="BE449" i="71"/>
  <c r="BE445" i="71"/>
  <c r="BG500" i="71"/>
  <c r="BF468" i="71"/>
  <c r="BF448" i="71"/>
  <c r="BH496" i="71"/>
  <c r="BH492" i="71"/>
  <c r="BH484" i="71"/>
  <c r="BH464" i="71"/>
  <c r="BF438" i="71"/>
  <c r="BF434" i="71"/>
  <c r="BF430" i="71"/>
  <c r="BF424" i="71"/>
  <c r="BF420" i="71"/>
  <c r="BF418" i="71"/>
  <c r="BE480" i="71"/>
  <c r="BI477" i="71"/>
  <c r="BE460" i="71"/>
  <c r="BI457" i="71"/>
  <c r="BE444" i="71"/>
  <c r="BI441" i="71"/>
  <c r="BE426" i="71"/>
  <c r="BI423" i="71"/>
  <c r="BI421" i="71"/>
  <c r="BI417" i="71"/>
  <c r="AY437" i="71"/>
  <c r="AY431" i="71"/>
  <c r="BH498" i="71"/>
  <c r="BH494" i="71"/>
  <c r="BH482" i="71"/>
  <c r="BH462" i="71"/>
  <c r="BF443" i="71"/>
  <c r="BJ436" i="71"/>
  <c r="BJ432" i="71"/>
  <c r="BH497" i="71"/>
  <c r="AZ447" i="71"/>
  <c r="BH429" i="71"/>
  <c r="BI407" i="71"/>
  <c r="BI405" i="71"/>
  <c r="BE404" i="71"/>
  <c r="BE400" i="71"/>
  <c r="BE394" i="71"/>
  <c r="BI391" i="71"/>
  <c r="BE380" i="71"/>
  <c r="BE454" i="71"/>
  <c r="BI451" i="71"/>
  <c r="BI442" i="71"/>
  <c r="BE425" i="71"/>
  <c r="BI422" i="71"/>
  <c r="BE414" i="71"/>
  <c r="AZ383" i="71"/>
  <c r="BH483" i="71"/>
  <c r="BC402" i="71"/>
  <c r="BC396" i="71"/>
  <c r="BF413" i="71"/>
  <c r="BF403" i="71"/>
  <c r="BF399" i="71"/>
  <c r="BF393" i="71"/>
  <c r="BJ386" i="71"/>
  <c r="BJ382" i="71"/>
  <c r="BF379" i="71"/>
  <c r="BH493" i="71"/>
  <c r="AZ467" i="71"/>
  <c r="AZ433" i="71"/>
  <c r="BH427" i="71"/>
  <c r="BE409" i="71"/>
  <c r="BI406" i="71"/>
  <c r="BE395" i="71"/>
  <c r="BI392" i="71"/>
  <c r="BI390" i="71"/>
  <c r="BE389" i="71"/>
  <c r="BE385" i="71"/>
  <c r="BH463" i="71"/>
  <c r="BE439" i="71"/>
  <c r="BF388" i="71"/>
  <c r="AY375" i="71"/>
  <c r="BC346" i="71"/>
  <c r="BC340" i="71"/>
  <c r="AY331" i="71"/>
  <c r="AY325" i="71"/>
  <c r="AY319" i="71"/>
  <c r="BC310" i="71"/>
  <c r="BC304" i="71"/>
  <c r="BC298" i="71"/>
  <c r="AY293" i="71"/>
  <c r="BC292" i="71"/>
  <c r="BE490" i="71"/>
  <c r="BE435" i="71"/>
  <c r="BH428" i="71"/>
  <c r="BF357" i="71"/>
  <c r="BF347" i="71"/>
  <c r="BF343" i="71"/>
  <c r="BF337" i="71"/>
  <c r="BJ330" i="71"/>
  <c r="BJ326" i="71"/>
  <c r="BF323" i="71"/>
  <c r="BF311" i="71"/>
  <c r="BF307" i="71"/>
  <c r="BJ300" i="71"/>
  <c r="BJ294" i="71"/>
  <c r="BE369" i="71"/>
  <c r="BI366" i="71"/>
  <c r="BE363" i="71"/>
  <c r="BI360" i="71"/>
  <c r="BE353" i="71"/>
  <c r="BI350" i="71"/>
  <c r="BE339" i="71"/>
  <c r="BI336" i="71"/>
  <c r="BI334" i="71"/>
  <c r="BE333" i="71"/>
  <c r="BE329" i="71"/>
  <c r="BE317" i="71"/>
  <c r="BI314" i="71"/>
  <c r="BE303" i="71"/>
  <c r="BE297" i="71"/>
  <c r="BE474" i="71"/>
  <c r="BI416" i="71"/>
  <c r="AY381" i="71"/>
  <c r="BH372" i="71"/>
  <c r="AZ356" i="71"/>
  <c r="AZ342" i="71"/>
  <c r="AZ306" i="71"/>
  <c r="BI487" i="71"/>
  <c r="BJ401" i="71"/>
  <c r="AZ398" i="71"/>
  <c r="AY322" i="71"/>
  <c r="AY320" i="71"/>
  <c r="BC301" i="71"/>
  <c r="BC299" i="71"/>
  <c r="BC295" i="71"/>
  <c r="BC291" i="71"/>
  <c r="BI440" i="71"/>
  <c r="AY376" i="71"/>
  <c r="BI361" i="71"/>
  <c r="BF354" i="71"/>
  <c r="BE324" i="71"/>
  <c r="BI313" i="71"/>
  <c r="BE308" i="71"/>
  <c r="BF290" i="71"/>
  <c r="BE285" i="71"/>
  <c r="BI282" i="71"/>
  <c r="BE279" i="71"/>
  <c r="BI276" i="71"/>
  <c r="BA272" i="71"/>
  <c r="BE269" i="71"/>
  <c r="BI266" i="71"/>
  <c r="BA262" i="71"/>
  <c r="BA258" i="71"/>
  <c r="BA256" i="71"/>
  <c r="BI252" i="71"/>
  <c r="BI250" i="71"/>
  <c r="BE249" i="71"/>
  <c r="BE245" i="71"/>
  <c r="BE370" i="71"/>
  <c r="BF368" i="71"/>
  <c r="BI359" i="71"/>
  <c r="BF352" i="71"/>
  <c r="BJ341" i="71"/>
  <c r="BE338" i="71"/>
  <c r="BJ309" i="71"/>
  <c r="BH288" i="71"/>
  <c r="BI471" i="71"/>
  <c r="BE419" i="71"/>
  <c r="BF408" i="71"/>
  <c r="BJ355" i="71"/>
  <c r="BF318" i="71"/>
  <c r="BF302" i="71"/>
  <c r="AZ412" i="71"/>
  <c r="AY378" i="71"/>
  <c r="BH373" i="71"/>
  <c r="BF364" i="71"/>
  <c r="BF332" i="71"/>
  <c r="BJ321" i="71"/>
  <c r="BF316" i="71"/>
  <c r="BJ305" i="71"/>
  <c r="BF286" i="71"/>
  <c r="BF284" i="71"/>
  <c r="BF280" i="71"/>
  <c r="BF278" i="71"/>
  <c r="BJ271" i="71"/>
  <c r="BF270" i="71"/>
  <c r="BF268" i="71"/>
  <c r="BJ261" i="71"/>
  <c r="BJ257" i="71"/>
  <c r="BF248" i="71"/>
  <c r="BF244" i="71"/>
  <c r="BJ411" i="71"/>
  <c r="BI367" i="71"/>
  <c r="BI351" i="71"/>
  <c r="BI335" i="71"/>
  <c r="BF328" i="71"/>
  <c r="AZ327" i="71"/>
  <c r="BF296" i="71"/>
  <c r="BH289" i="71"/>
  <c r="BH287" i="71"/>
  <c r="BI415" i="71"/>
  <c r="BI349" i="71"/>
  <c r="BI283" i="71"/>
  <c r="BH168" i="71"/>
  <c r="BE344" i="71"/>
  <c r="BI281" i="71"/>
  <c r="AY236" i="71"/>
  <c r="BJ377" i="71"/>
  <c r="BF362" i="71"/>
  <c r="BE358" i="71"/>
  <c r="BE348" i="71"/>
  <c r="BI315" i="71"/>
  <c r="BF273" i="71"/>
  <c r="BF253" i="71"/>
  <c r="BJ246" i="71"/>
  <c r="BJ242" i="71"/>
  <c r="BJ237" i="71"/>
  <c r="BF234" i="71"/>
  <c r="BF232" i="71"/>
  <c r="BJ225" i="71"/>
  <c r="BJ221" i="71"/>
  <c r="BF218" i="71"/>
  <c r="BF212" i="71"/>
  <c r="BF206" i="71"/>
  <c r="BF204" i="71"/>
  <c r="BJ197" i="71"/>
  <c r="BJ193" i="71"/>
  <c r="BF190" i="71"/>
  <c r="BF184" i="71"/>
  <c r="BJ175" i="71"/>
  <c r="BF170" i="71"/>
  <c r="BF166" i="71"/>
  <c r="BI365" i="71"/>
  <c r="AY209" i="71"/>
  <c r="AY181" i="71"/>
  <c r="AY18" i="71"/>
  <c r="BG18" i="71"/>
  <c r="BB34" i="71"/>
  <c r="BJ34" i="71"/>
  <c r="BE35" i="71"/>
  <c r="BA36" i="71"/>
  <c r="BE37" i="71"/>
  <c r="BA38" i="71"/>
  <c r="BE39" i="71"/>
  <c r="BA40" i="71"/>
  <c r="BE41" i="71"/>
  <c r="BA42" i="71"/>
  <c r="BE43" i="71"/>
  <c r="BA44" i="71"/>
  <c r="BE45" i="71"/>
  <c r="BI46" i="71"/>
  <c r="BD48" i="71"/>
  <c r="BD49" i="71"/>
  <c r="BH51" i="71"/>
  <c r="BH54" i="71"/>
  <c r="BH56" i="71"/>
  <c r="AY57" i="71"/>
  <c r="BG57" i="71"/>
  <c r="BC59" i="71"/>
  <c r="BG60" i="71"/>
  <c r="BG62" i="71"/>
  <c r="BF63" i="71"/>
  <c r="BB64" i="71"/>
  <c r="BJ64" i="71"/>
  <c r="BF65" i="71"/>
  <c r="BB66" i="71"/>
  <c r="BC67" i="71"/>
  <c r="AY68" i="71"/>
  <c r="BG68" i="71"/>
  <c r="BB69" i="71"/>
  <c r="BF70" i="71"/>
  <c r="BB71" i="71"/>
  <c r="BJ71" i="71"/>
  <c r="BF72" i="71"/>
  <c r="BB73" i="71"/>
  <c r="BJ73" i="71"/>
  <c r="BF74" i="71"/>
  <c r="BB75" i="71"/>
  <c r="BJ75" i="71"/>
  <c r="BF76" i="71"/>
  <c r="BB77" i="71"/>
  <c r="BJ77" i="71"/>
  <c r="BF78" i="71"/>
  <c r="BB79" i="71"/>
  <c r="BJ79" i="71"/>
  <c r="BF80" i="71"/>
  <c r="BB81" i="71"/>
  <c r="BF82" i="71"/>
  <c r="BB83" i="71"/>
  <c r="BJ83" i="71"/>
  <c r="BF84" i="71"/>
  <c r="BB85" i="71"/>
  <c r="BJ85" i="71"/>
  <c r="BF86" i="71"/>
  <c r="BB87" i="71"/>
  <c r="BJ87" i="71"/>
  <c r="BF88" i="71"/>
  <c r="BB89" i="71"/>
  <c r="BF90" i="71"/>
  <c r="BB91" i="71"/>
  <c r="BF92" i="71"/>
  <c r="BB93" i="71"/>
  <c r="BJ93" i="71"/>
  <c r="BF94" i="71"/>
  <c r="BB95" i="71"/>
  <c r="BF96" i="71"/>
  <c r="BB97" i="71"/>
  <c r="BF98" i="71"/>
  <c r="BB99" i="71"/>
  <c r="BJ99" i="71"/>
  <c r="BF100" i="71"/>
  <c r="BB101" i="71"/>
  <c r="BJ101" i="71"/>
  <c r="BF102" i="71"/>
  <c r="BB103" i="71"/>
  <c r="BJ103" i="71"/>
  <c r="BF104" i="71"/>
  <c r="BB105" i="71"/>
  <c r="BJ105" i="71"/>
  <c r="BF106" i="71"/>
  <c r="BB107" i="71"/>
  <c r="BJ107" i="71"/>
  <c r="BF108" i="71"/>
  <c r="BB109" i="71"/>
  <c r="BF110" i="71"/>
  <c r="BB111" i="71"/>
  <c r="BJ111" i="71"/>
  <c r="BF112" i="71"/>
  <c r="BB113" i="71"/>
  <c r="BJ113" i="71"/>
  <c r="BF114" i="71"/>
  <c r="BB115" i="71"/>
  <c r="BF116" i="71"/>
  <c r="BB117" i="71"/>
  <c r="BJ117" i="71"/>
  <c r="BF118" i="71"/>
  <c r="BB119" i="71"/>
  <c r="BJ119" i="71"/>
  <c r="BF120" i="71"/>
  <c r="BB121" i="71"/>
  <c r="BF122" i="71"/>
  <c r="BB123" i="71"/>
  <c r="BF124" i="71"/>
  <c r="BB125" i="71"/>
  <c r="BJ125" i="71"/>
  <c r="BF126" i="71"/>
  <c r="BB127" i="71"/>
  <c r="BF128" i="71"/>
  <c r="BB129" i="71"/>
  <c r="BJ129" i="71"/>
  <c r="BF130" i="71"/>
  <c r="BB131" i="71"/>
  <c r="BJ131" i="71"/>
  <c r="BF132" i="71"/>
  <c r="BB133" i="71"/>
  <c r="BJ133" i="71"/>
  <c r="BF134" i="71"/>
  <c r="BB135" i="71"/>
  <c r="BJ135" i="71"/>
  <c r="BF136" i="71"/>
  <c r="BB137" i="71"/>
  <c r="BJ137" i="71"/>
  <c r="BF138" i="71"/>
  <c r="BB139" i="71"/>
  <c r="BJ139" i="71"/>
  <c r="BF140" i="71"/>
  <c r="BB141" i="71"/>
  <c r="BJ141" i="71"/>
  <c r="BF142" i="71"/>
  <c r="BB143" i="71"/>
  <c r="BJ143" i="71"/>
  <c r="BF144" i="71"/>
  <c r="BB145" i="71"/>
  <c r="BF146" i="71"/>
  <c r="BB147" i="71"/>
  <c r="BJ147" i="71"/>
  <c r="BF148" i="71"/>
  <c r="BB149" i="71"/>
  <c r="BJ149" i="71"/>
  <c r="BF150" i="71"/>
  <c r="BB151" i="71"/>
  <c r="BJ151" i="71"/>
  <c r="BF152" i="71"/>
  <c r="BB153" i="71"/>
  <c r="BJ153" i="71"/>
  <c r="BF154" i="71"/>
  <c r="BB155" i="71"/>
  <c r="BF156" i="71"/>
  <c r="BB157" i="71"/>
  <c r="BJ157" i="71"/>
  <c r="BF158" i="71"/>
  <c r="BB159" i="71"/>
  <c r="BJ159" i="71"/>
  <c r="BF160" i="71"/>
  <c r="BB161" i="71"/>
  <c r="BF162" i="71"/>
  <c r="BB163" i="71"/>
  <c r="BJ163" i="71"/>
  <c r="BF164" i="71"/>
  <c r="BB165" i="71"/>
  <c r="BJ165" i="71"/>
  <c r="BD168" i="71"/>
  <c r="BH169" i="71"/>
  <c r="BH173" i="71"/>
  <c r="BH177" i="71"/>
  <c r="BD180" i="71"/>
  <c r="BH181" i="71"/>
  <c r="BD184" i="71"/>
  <c r="BH185" i="71"/>
  <c r="BH189" i="71"/>
  <c r="BD192" i="71"/>
  <c r="BH193" i="71"/>
  <c r="BD196" i="71"/>
  <c r="BH197" i="71"/>
  <c r="BD200" i="71"/>
  <c r="BH201" i="71"/>
  <c r="BD204" i="71"/>
  <c r="BH205" i="71"/>
  <c r="BD208" i="71"/>
  <c r="BH209" i="71"/>
  <c r="BD212" i="71"/>
  <c r="BH213" i="71"/>
  <c r="BH217" i="71"/>
  <c r="BD220" i="71"/>
  <c r="BH221" i="71"/>
  <c r="BD224" i="71"/>
  <c r="BH225" i="71"/>
  <c r="BD228" i="71"/>
  <c r="BH229" i="71"/>
  <c r="BD232" i="71"/>
  <c r="BH233" i="71"/>
  <c r="BD236" i="71"/>
  <c r="BH237" i="71"/>
  <c r="BD240" i="71"/>
  <c r="BH241" i="71"/>
  <c r="BH243" i="71"/>
  <c r="BD246" i="71"/>
  <c r="BH251" i="71"/>
  <c r="BD254" i="71"/>
  <c r="BH259" i="71"/>
  <c r="BD262" i="71"/>
  <c r="BH267" i="71"/>
  <c r="BD270" i="71"/>
  <c r="BI275" i="71"/>
  <c r="BE286" i="71"/>
  <c r="BB309" i="71"/>
  <c r="BB319" i="71"/>
  <c r="BE328" i="71"/>
  <c r="BD366" i="71"/>
  <c r="BH376" i="71"/>
  <c r="BC427" i="71"/>
  <c r="BB500" i="71"/>
  <c r="BB494" i="71"/>
  <c r="BB492" i="71"/>
  <c r="BB484" i="71"/>
  <c r="BB482" i="71"/>
  <c r="BB480" i="71"/>
  <c r="BB478" i="71"/>
  <c r="BB476" i="71"/>
  <c r="BB474" i="71"/>
  <c r="BB472" i="71"/>
  <c r="BB470" i="71"/>
  <c r="BB468" i="71"/>
  <c r="BB466" i="71"/>
  <c r="BB464" i="71"/>
  <c r="BB454" i="71"/>
  <c r="BB452" i="71"/>
  <c r="BB450" i="71"/>
  <c r="AY498" i="71"/>
  <c r="AY496" i="71"/>
  <c r="AY490" i="71"/>
  <c r="AY488" i="71"/>
  <c r="AY486" i="71"/>
  <c r="AY462" i="71"/>
  <c r="AY460" i="71"/>
  <c r="AY458" i="71"/>
  <c r="AY456" i="71"/>
  <c r="AY448" i="71"/>
  <c r="AY446" i="71"/>
  <c r="BB495" i="71"/>
  <c r="BB493" i="71"/>
  <c r="BB485" i="71"/>
  <c r="BB483" i="71"/>
  <c r="BB481" i="71"/>
  <c r="BB479" i="71"/>
  <c r="BB477" i="71"/>
  <c r="BB475" i="71"/>
  <c r="BB473" i="71"/>
  <c r="BB471" i="71"/>
  <c r="BB469" i="71"/>
  <c r="BB467" i="71"/>
  <c r="BB465" i="71"/>
  <c r="BB463" i="71"/>
  <c r="BB455" i="71"/>
  <c r="BB453" i="71"/>
  <c r="BB445" i="71"/>
  <c r="BB443" i="71"/>
  <c r="BB441" i="71"/>
  <c r="BB437" i="71"/>
  <c r="BB435" i="71"/>
  <c r="BB433" i="71"/>
  <c r="BB431" i="71"/>
  <c r="BB429" i="71"/>
  <c r="BB427" i="71"/>
  <c r="BB425" i="71"/>
  <c r="BB423" i="71"/>
  <c r="BB421" i="71"/>
  <c r="BB419" i="71"/>
  <c r="BB417" i="71"/>
  <c r="AY499" i="71"/>
  <c r="AY491" i="71"/>
  <c r="AY487" i="71"/>
  <c r="AY459" i="71"/>
  <c r="AY451" i="71"/>
  <c r="AY447" i="71"/>
  <c r="AY439" i="71"/>
  <c r="BB444" i="71"/>
  <c r="BB442" i="71"/>
  <c r="BB440" i="71"/>
  <c r="BB434" i="71"/>
  <c r="BB432" i="71"/>
  <c r="BB430" i="71"/>
  <c r="BB428" i="71"/>
  <c r="BB426" i="71"/>
  <c r="BB424" i="71"/>
  <c r="BB422" i="71"/>
  <c r="BB420" i="71"/>
  <c r="BB418" i="71"/>
  <c r="BB416" i="71"/>
  <c r="BB414" i="71"/>
  <c r="BD402" i="71"/>
  <c r="BD396" i="71"/>
  <c r="BB415" i="71"/>
  <c r="AY389" i="71"/>
  <c r="AY497" i="71"/>
  <c r="AY489" i="71"/>
  <c r="AY457" i="71"/>
  <c r="AY449" i="71"/>
  <c r="AY436" i="71"/>
  <c r="BB412" i="71"/>
  <c r="BB410" i="71"/>
  <c r="BB408" i="71"/>
  <c r="BB406" i="71"/>
  <c r="BB404" i="71"/>
  <c r="BB400" i="71"/>
  <c r="BB398" i="71"/>
  <c r="BB394" i="71"/>
  <c r="BB392" i="71"/>
  <c r="BB390" i="71"/>
  <c r="BB384" i="71"/>
  <c r="BB382" i="71"/>
  <c r="BB380" i="71"/>
  <c r="BB399" i="71"/>
  <c r="BG373" i="71"/>
  <c r="BG371" i="71"/>
  <c r="BG369" i="71"/>
  <c r="BG367" i="71"/>
  <c r="BG365" i="71"/>
  <c r="BG363" i="71"/>
  <c r="BG361" i="71"/>
  <c r="BG359" i="71"/>
  <c r="BG357" i="71"/>
  <c r="BG355" i="71"/>
  <c r="BG353" i="71"/>
  <c r="BG351" i="71"/>
  <c r="BG349" i="71"/>
  <c r="BG347" i="71"/>
  <c r="BG345" i="71"/>
  <c r="BG343" i="71"/>
  <c r="BG341" i="71"/>
  <c r="BG339" i="71"/>
  <c r="BG337" i="71"/>
  <c r="BG335" i="71"/>
  <c r="BG333" i="71"/>
  <c r="BG331" i="71"/>
  <c r="BG329" i="71"/>
  <c r="BG327" i="71"/>
  <c r="BG325" i="71"/>
  <c r="BG323" i="71"/>
  <c r="BG321" i="71"/>
  <c r="BG319" i="71"/>
  <c r="BG317" i="71"/>
  <c r="BG315" i="71"/>
  <c r="BG313" i="71"/>
  <c r="BG311" i="71"/>
  <c r="BG309" i="71"/>
  <c r="BG307" i="71"/>
  <c r="BG305" i="71"/>
  <c r="BG303" i="71"/>
  <c r="BG301" i="71"/>
  <c r="BG299" i="71"/>
  <c r="BG297" i="71"/>
  <c r="BG295" i="71"/>
  <c r="BG293" i="71"/>
  <c r="BG291" i="71"/>
  <c r="BB413" i="71"/>
  <c r="BB397" i="71"/>
  <c r="BB290" i="71"/>
  <c r="BB411" i="71"/>
  <c r="BB395" i="71"/>
  <c r="AY388" i="71"/>
  <c r="BB385" i="71"/>
  <c r="BB381" i="71"/>
  <c r="BB409" i="71"/>
  <c r="BB393" i="71"/>
  <c r="BB376" i="71"/>
  <c r="AY461" i="71"/>
  <c r="BB407" i="71"/>
  <c r="BB391" i="71"/>
  <c r="BB378" i="71"/>
  <c r="BB377" i="71"/>
  <c r="BG374" i="71"/>
  <c r="BG372" i="71"/>
  <c r="BG370" i="71"/>
  <c r="BG368" i="71"/>
  <c r="BG366" i="71"/>
  <c r="BG364" i="71"/>
  <c r="BG362" i="71"/>
  <c r="BG360" i="71"/>
  <c r="BG358" i="71"/>
  <c r="BG356" i="71"/>
  <c r="BG354" i="71"/>
  <c r="BG352" i="71"/>
  <c r="BG350" i="71"/>
  <c r="BG348" i="71"/>
  <c r="BG346" i="71"/>
  <c r="BG344" i="71"/>
  <c r="BG342" i="71"/>
  <c r="BG340" i="71"/>
  <c r="BG338" i="71"/>
  <c r="BG336" i="71"/>
  <c r="BG334" i="71"/>
  <c r="BG332" i="71"/>
  <c r="BG330" i="71"/>
  <c r="BG328" i="71"/>
  <c r="BG326" i="71"/>
  <c r="BG324" i="71"/>
  <c r="BG322" i="71"/>
  <c r="BG320" i="71"/>
  <c r="BG318" i="71"/>
  <c r="BG316" i="71"/>
  <c r="BG314" i="71"/>
  <c r="BG312" i="71"/>
  <c r="BG310" i="71"/>
  <c r="BG308" i="71"/>
  <c r="BG306" i="71"/>
  <c r="BG304" i="71"/>
  <c r="BG302" i="71"/>
  <c r="BG300" i="71"/>
  <c r="BG298" i="71"/>
  <c r="BG296" i="71"/>
  <c r="BG294" i="71"/>
  <c r="BG292" i="71"/>
  <c r="AY386" i="71"/>
  <c r="BB379" i="71"/>
  <c r="AY286" i="71"/>
  <c r="AY284" i="71"/>
  <c r="AY282" i="71"/>
  <c r="AY274" i="71"/>
  <c r="AY272" i="71"/>
  <c r="AY248" i="71"/>
  <c r="AY246" i="71"/>
  <c r="AY438" i="71"/>
  <c r="BB403" i="71"/>
  <c r="BB375" i="71"/>
  <c r="BB289" i="71"/>
  <c r="BB287" i="71"/>
  <c r="BB279" i="71"/>
  <c r="BB277" i="71"/>
  <c r="BB275" i="71"/>
  <c r="BB269" i="71"/>
  <c r="BB267" i="71"/>
  <c r="BB265" i="71"/>
  <c r="BB263" i="71"/>
  <c r="BB261" i="71"/>
  <c r="BB259" i="71"/>
  <c r="BB257" i="71"/>
  <c r="BB255" i="71"/>
  <c r="BB253" i="71"/>
  <c r="BB245" i="71"/>
  <c r="BB243" i="71"/>
  <c r="BH206" i="71"/>
  <c r="BH204" i="71"/>
  <c r="BH202" i="71"/>
  <c r="BH200" i="71"/>
  <c r="BH198" i="71"/>
  <c r="BH196" i="71"/>
  <c r="BH194" i="71"/>
  <c r="BH192" i="71"/>
  <c r="BH190" i="71"/>
  <c r="BH188" i="71"/>
  <c r="BH186" i="71"/>
  <c r="BH184" i="71"/>
  <c r="BH182" i="71"/>
  <c r="BH180" i="71"/>
  <c r="BH178" i="71"/>
  <c r="BH176" i="71"/>
  <c r="BH174" i="71"/>
  <c r="BH172" i="71"/>
  <c r="BB280" i="71"/>
  <c r="AY271" i="71"/>
  <c r="AY251" i="71"/>
  <c r="AY247" i="71"/>
  <c r="AY170" i="71"/>
  <c r="AY168" i="71"/>
  <c r="AY166" i="71"/>
  <c r="BB401" i="71"/>
  <c r="BB387" i="71"/>
  <c r="BB278" i="71"/>
  <c r="BB268" i="71"/>
  <c r="BB264" i="71"/>
  <c r="BB260" i="71"/>
  <c r="BB256" i="71"/>
  <c r="BB252" i="71"/>
  <c r="BB244" i="71"/>
  <c r="BB239" i="71"/>
  <c r="BB237" i="71"/>
  <c r="BB235" i="71"/>
  <c r="BB233" i="71"/>
  <c r="BB231" i="71"/>
  <c r="BB229" i="71"/>
  <c r="BB227" i="71"/>
  <c r="BB225" i="71"/>
  <c r="BB223" i="71"/>
  <c r="BB221" i="71"/>
  <c r="BB219" i="71"/>
  <c r="BB217" i="71"/>
  <c r="BB215" i="71"/>
  <c r="BB213" i="71"/>
  <c r="BB211" i="71"/>
  <c r="BB209" i="71"/>
  <c r="BB207" i="71"/>
  <c r="BB169" i="71"/>
  <c r="BB288" i="71"/>
  <c r="AY281" i="71"/>
  <c r="AY273" i="71"/>
  <c r="AY249" i="71"/>
  <c r="AY241" i="71"/>
  <c r="AY167" i="71"/>
  <c r="BF497" i="71"/>
  <c r="BJ496" i="71"/>
  <c r="BF493" i="71"/>
  <c r="BJ492" i="71"/>
  <c r="BF483" i="71"/>
  <c r="BJ482" i="71"/>
  <c r="BF469" i="71"/>
  <c r="BJ468" i="71"/>
  <c r="BF467" i="71"/>
  <c r="BF463" i="71"/>
  <c r="BJ462" i="71"/>
  <c r="BF449" i="71"/>
  <c r="BJ448" i="71"/>
  <c r="BF447" i="71"/>
  <c r="BI500" i="71"/>
  <c r="BI498" i="71"/>
  <c r="BI494" i="71"/>
  <c r="BI484" i="71"/>
  <c r="BI464" i="71"/>
  <c r="BF490" i="71"/>
  <c r="BJ489" i="71"/>
  <c r="BF488" i="71"/>
  <c r="BJ487" i="71"/>
  <c r="BF486" i="71"/>
  <c r="BF480" i="71"/>
  <c r="BJ479" i="71"/>
  <c r="BF478" i="71"/>
  <c r="BJ477" i="71"/>
  <c r="BF476" i="71"/>
  <c r="BF474" i="71"/>
  <c r="BJ473" i="71"/>
  <c r="BF472" i="71"/>
  <c r="BJ471" i="71"/>
  <c r="BF470" i="71"/>
  <c r="BF466" i="71"/>
  <c r="BF460" i="71"/>
  <c r="BJ459" i="71"/>
  <c r="BF458" i="71"/>
  <c r="BJ457" i="71"/>
  <c r="BF456" i="71"/>
  <c r="BF454" i="71"/>
  <c r="BJ453" i="71"/>
  <c r="BF452" i="71"/>
  <c r="BJ451" i="71"/>
  <c r="BF450" i="71"/>
  <c r="BF446" i="71"/>
  <c r="BF444" i="71"/>
  <c r="BJ443" i="71"/>
  <c r="BF442" i="71"/>
  <c r="BJ441" i="71"/>
  <c r="BF440" i="71"/>
  <c r="BF436" i="71"/>
  <c r="BF432" i="71"/>
  <c r="BF428" i="71"/>
  <c r="BJ427" i="71"/>
  <c r="BI485" i="71"/>
  <c r="BI481" i="71"/>
  <c r="BI465" i="71"/>
  <c r="BI461" i="71"/>
  <c r="BI445" i="71"/>
  <c r="BI429" i="71"/>
  <c r="BF439" i="71"/>
  <c r="BJ438" i="71"/>
  <c r="BF437" i="71"/>
  <c r="BF435" i="71"/>
  <c r="BJ434" i="71"/>
  <c r="BF433" i="71"/>
  <c r="BF431" i="71"/>
  <c r="BF425" i="71"/>
  <c r="BJ424" i="71"/>
  <c r="BF423" i="71"/>
  <c r="BJ422" i="71"/>
  <c r="BF421" i="71"/>
  <c r="BF419" i="71"/>
  <c r="BJ418" i="71"/>
  <c r="BF417" i="71"/>
  <c r="BJ416" i="71"/>
  <c r="BF415" i="71"/>
  <c r="BF414" i="71"/>
  <c r="BI395" i="71"/>
  <c r="BI499" i="71"/>
  <c r="BI491" i="71"/>
  <c r="BI475" i="71"/>
  <c r="BI430" i="71"/>
  <c r="BI426" i="71"/>
  <c r="BF411" i="71"/>
  <c r="BF409" i="71"/>
  <c r="BJ408" i="71"/>
  <c r="BF407" i="71"/>
  <c r="BJ406" i="71"/>
  <c r="BF405" i="71"/>
  <c r="BF401" i="71"/>
  <c r="BF397" i="71"/>
  <c r="BF389" i="71"/>
  <c r="BJ388" i="71"/>
  <c r="BF387" i="71"/>
  <c r="BF385" i="71"/>
  <c r="BJ384" i="71"/>
  <c r="BF383" i="71"/>
  <c r="BF381" i="71"/>
  <c r="BI410" i="71"/>
  <c r="BI455" i="71"/>
  <c r="BF404" i="71"/>
  <c r="BJ393" i="71"/>
  <c r="BF402" i="71"/>
  <c r="BJ391" i="71"/>
  <c r="BF377" i="71"/>
  <c r="BF376" i="71"/>
  <c r="BF375" i="71"/>
  <c r="BF369" i="71"/>
  <c r="BJ368" i="71"/>
  <c r="BF367" i="71"/>
  <c r="BJ366" i="71"/>
  <c r="BF365" i="71"/>
  <c r="BF363" i="71"/>
  <c r="BJ362" i="71"/>
  <c r="BF361" i="71"/>
  <c r="BJ360" i="71"/>
  <c r="BF359" i="71"/>
  <c r="BF355" i="71"/>
  <c r="BF353" i="71"/>
  <c r="BJ352" i="71"/>
  <c r="BF351" i="71"/>
  <c r="BJ350" i="71"/>
  <c r="BF349" i="71"/>
  <c r="BF345" i="71"/>
  <c r="BF341" i="71"/>
  <c r="BF333" i="71"/>
  <c r="BJ332" i="71"/>
  <c r="BF331" i="71"/>
  <c r="BF329" i="71"/>
  <c r="BJ328" i="71"/>
  <c r="BF327" i="71"/>
  <c r="BF325" i="71"/>
  <c r="BF321" i="71"/>
  <c r="BF319" i="71"/>
  <c r="BF317" i="71"/>
  <c r="BJ316" i="71"/>
  <c r="BF315" i="71"/>
  <c r="BJ314" i="71"/>
  <c r="BF313" i="71"/>
  <c r="BF309" i="71"/>
  <c r="BF305" i="71"/>
  <c r="BF303" i="71"/>
  <c r="BJ302" i="71"/>
  <c r="BF301" i="71"/>
  <c r="BF299" i="71"/>
  <c r="BF297" i="71"/>
  <c r="BJ296" i="71"/>
  <c r="BF295" i="71"/>
  <c r="BF293" i="71"/>
  <c r="BF291" i="71"/>
  <c r="BI420" i="71"/>
  <c r="BF400" i="71"/>
  <c r="BF386" i="71"/>
  <c r="BF382" i="71"/>
  <c r="BJ379" i="71"/>
  <c r="BF378" i="71"/>
  <c r="BI374" i="71"/>
  <c r="BI370" i="71"/>
  <c r="BI364" i="71"/>
  <c r="BI354" i="71"/>
  <c r="BI318" i="71"/>
  <c r="BI290" i="71"/>
  <c r="BI495" i="71"/>
  <c r="BJ403" i="71"/>
  <c r="BF398" i="71"/>
  <c r="BF412" i="71"/>
  <c r="BF396" i="71"/>
  <c r="BJ399" i="71"/>
  <c r="BJ343" i="71"/>
  <c r="BF338" i="71"/>
  <c r="BF322" i="71"/>
  <c r="BJ311" i="71"/>
  <c r="BF306" i="71"/>
  <c r="BI286" i="71"/>
  <c r="BI280" i="71"/>
  <c r="BI270" i="71"/>
  <c r="BJ413" i="71"/>
  <c r="BF394" i="71"/>
  <c r="BF390" i="71"/>
  <c r="BJ357" i="71"/>
  <c r="BF336" i="71"/>
  <c r="BF320" i="71"/>
  <c r="BF304" i="71"/>
  <c r="BI373" i="71"/>
  <c r="BJ371" i="71"/>
  <c r="BF334" i="71"/>
  <c r="BJ323" i="71"/>
  <c r="BJ307" i="71"/>
  <c r="BF348" i="71"/>
  <c r="BI339" i="71"/>
  <c r="BJ337" i="71"/>
  <c r="BF300" i="71"/>
  <c r="BF288" i="71"/>
  <c r="BJ287" i="71"/>
  <c r="BF274" i="71"/>
  <c r="BJ273" i="71"/>
  <c r="BF272" i="71"/>
  <c r="BF264" i="71"/>
  <c r="BJ263" i="71"/>
  <c r="BF262" i="71"/>
  <c r="BF260" i="71"/>
  <c r="BJ259" i="71"/>
  <c r="BF258" i="71"/>
  <c r="BF256" i="71"/>
  <c r="BF254" i="71"/>
  <c r="BJ253" i="71"/>
  <c r="BF252" i="71"/>
  <c r="BJ251" i="71"/>
  <c r="BF250" i="71"/>
  <c r="BF246" i="71"/>
  <c r="BF242" i="71"/>
  <c r="BF392" i="71"/>
  <c r="BF380" i="71"/>
  <c r="BF344" i="71"/>
  <c r="BF312" i="71"/>
  <c r="BF340" i="71"/>
  <c r="BF330" i="71"/>
  <c r="BJ276" i="71"/>
  <c r="BF358" i="71"/>
  <c r="BF292" i="71"/>
  <c r="BF285" i="71"/>
  <c r="BF372" i="71"/>
  <c r="BF310" i="71"/>
  <c r="BF283" i="71"/>
  <c r="BF269" i="71"/>
  <c r="BJ266" i="71"/>
  <c r="BF265" i="71"/>
  <c r="BF261" i="71"/>
  <c r="BF257" i="71"/>
  <c r="BF249" i="71"/>
  <c r="BF245" i="71"/>
  <c r="BF240" i="71"/>
  <c r="BJ239" i="71"/>
  <c r="BF238" i="71"/>
  <c r="BF236" i="71"/>
  <c r="BF228" i="71"/>
  <c r="BJ227" i="71"/>
  <c r="BF226" i="71"/>
  <c r="BF224" i="71"/>
  <c r="BJ223" i="71"/>
  <c r="BF222" i="71"/>
  <c r="BF220" i="71"/>
  <c r="BF216" i="71"/>
  <c r="BF214" i="71"/>
  <c r="BF210" i="71"/>
  <c r="BF208" i="71"/>
  <c r="BF200" i="71"/>
  <c r="BJ199" i="71"/>
  <c r="BF198" i="71"/>
  <c r="BF196" i="71"/>
  <c r="BJ195" i="71"/>
  <c r="BF194" i="71"/>
  <c r="BF192" i="71"/>
  <c r="BF188" i="71"/>
  <c r="BF186" i="71"/>
  <c r="BF182" i="71"/>
  <c r="BF180" i="71"/>
  <c r="BF178" i="71"/>
  <c r="BJ177" i="71"/>
  <c r="BF176" i="71"/>
  <c r="BF174" i="71"/>
  <c r="BF172" i="71"/>
  <c r="BF168" i="71"/>
  <c r="BJ167" i="71"/>
  <c r="BF356" i="71"/>
  <c r="BF346" i="71"/>
  <c r="BF294" i="71"/>
  <c r="BI289" i="71"/>
  <c r="BJ282" i="71"/>
  <c r="BF277" i="71"/>
  <c r="BE16" i="71"/>
  <c r="BE17" i="71"/>
  <c r="BA18" i="71"/>
  <c r="BI18" i="71"/>
  <c r="BD34" i="71"/>
  <c r="AY35" i="71"/>
  <c r="BG35" i="71"/>
  <c r="BC36" i="71"/>
  <c r="AY37" i="71"/>
  <c r="BG37" i="71"/>
  <c r="AY39" i="71"/>
  <c r="BG39" i="71"/>
  <c r="AY41" i="71"/>
  <c r="BG41" i="71"/>
  <c r="BC42" i="71"/>
  <c r="AY43" i="71"/>
  <c r="BG43" i="71"/>
  <c r="AY45" i="71"/>
  <c r="BG45" i="71"/>
  <c r="BB47" i="71"/>
  <c r="BJ47" i="71"/>
  <c r="BF48" i="71"/>
  <c r="BF49" i="71"/>
  <c r="BB50" i="71"/>
  <c r="BJ50" i="71"/>
  <c r="BB51" i="71"/>
  <c r="BJ51" i="71"/>
  <c r="BF52" i="71"/>
  <c r="BF53" i="71"/>
  <c r="BB54" i="71"/>
  <c r="BF55" i="71"/>
  <c r="BB56" i="71"/>
  <c r="BI57" i="71"/>
  <c r="BE58" i="71"/>
  <c r="BE59" i="71"/>
  <c r="BI60" i="71"/>
  <c r="BE61" i="71"/>
  <c r="BI62" i="71"/>
  <c r="BH63" i="71"/>
  <c r="BD64" i="71"/>
  <c r="BH65" i="71"/>
  <c r="BE67" i="71"/>
  <c r="BI68" i="71"/>
  <c r="BH70" i="71"/>
  <c r="BH72" i="71"/>
  <c r="BD73" i="71"/>
  <c r="AZ74" i="71"/>
  <c r="BH74" i="71"/>
  <c r="BD75" i="71"/>
  <c r="BH76" i="71"/>
  <c r="BD77" i="71"/>
  <c r="BH78" i="71"/>
  <c r="BD79" i="71"/>
  <c r="BH80" i="71"/>
  <c r="BD81" i="71"/>
  <c r="BH82" i="71"/>
  <c r="BD83" i="71"/>
  <c r="BH84" i="71"/>
  <c r="BD85" i="71"/>
  <c r="BH86" i="71"/>
  <c r="BH88" i="71"/>
  <c r="BD89" i="71"/>
  <c r="BH90" i="71"/>
  <c r="BD91" i="71"/>
  <c r="BH92" i="71"/>
  <c r="BD93" i="71"/>
  <c r="BH94" i="71"/>
  <c r="BH96" i="71"/>
  <c r="BH98" i="71"/>
  <c r="BH100" i="71"/>
  <c r="BD101" i="71"/>
  <c r="AZ102" i="71"/>
  <c r="BH102" i="71"/>
  <c r="BD103" i="71"/>
  <c r="BH104" i="71"/>
  <c r="BD105" i="71"/>
  <c r="BH106" i="71"/>
  <c r="BD107" i="71"/>
  <c r="BH108" i="71"/>
  <c r="BD109" i="71"/>
  <c r="BH110" i="71"/>
  <c r="BD111" i="71"/>
  <c r="BH112" i="71"/>
  <c r="BD113" i="71"/>
  <c r="BH114" i="71"/>
  <c r="BD115" i="71"/>
  <c r="BH116" i="71"/>
  <c r="BD117" i="71"/>
  <c r="BH118" i="71"/>
  <c r="BD119" i="71"/>
  <c r="BH120" i="71"/>
  <c r="BD121" i="71"/>
  <c r="BH122" i="71"/>
  <c r="BD123" i="71"/>
  <c r="BH124" i="71"/>
  <c r="BD125" i="71"/>
  <c r="BH126" i="71"/>
  <c r="BD127" i="71"/>
  <c r="BH128" i="71"/>
  <c r="BD129" i="71"/>
  <c r="BH130" i="71"/>
  <c r="BD131" i="71"/>
  <c r="BH132" i="71"/>
  <c r="BD133" i="71"/>
  <c r="BH134" i="71"/>
  <c r="BD135" i="71"/>
  <c r="BH136" i="71"/>
  <c r="BD137" i="71"/>
  <c r="AZ138" i="71"/>
  <c r="BH138" i="71"/>
  <c r="BD139" i="71"/>
  <c r="BH140" i="71"/>
  <c r="BD141" i="71"/>
  <c r="BH142" i="71"/>
  <c r="BD143" i="71"/>
  <c r="BH144" i="71"/>
  <c r="BD145" i="71"/>
  <c r="BH146" i="71"/>
  <c r="BD147" i="71"/>
  <c r="BH148" i="71"/>
  <c r="BD149" i="71"/>
  <c r="BH150" i="71"/>
  <c r="BD151" i="71"/>
  <c r="AZ152" i="71"/>
  <c r="BD153" i="71"/>
  <c r="BD155" i="71"/>
  <c r="BD157" i="71"/>
  <c r="AZ158" i="71"/>
  <c r="BD159" i="71"/>
  <c r="BD161" i="71"/>
  <c r="BD163" i="71"/>
  <c r="BD165" i="71"/>
  <c r="BB166" i="71"/>
  <c r="BE167" i="71"/>
  <c r="BE171" i="71"/>
  <c r="BI172" i="71"/>
  <c r="BA174" i="71"/>
  <c r="BE175" i="71"/>
  <c r="BI176" i="71"/>
  <c r="BE179" i="71"/>
  <c r="BI180" i="71"/>
  <c r="BE183" i="71"/>
  <c r="BI184" i="71"/>
  <c r="BA186" i="71"/>
  <c r="BE187" i="71"/>
  <c r="BI188" i="71"/>
  <c r="BE191" i="71"/>
  <c r="BA194" i="71"/>
  <c r="BE195" i="71"/>
  <c r="BA198" i="71"/>
  <c r="BE199" i="71"/>
  <c r="BE203" i="71"/>
  <c r="BE207" i="71"/>
  <c r="BI208" i="71"/>
  <c r="BE211" i="71"/>
  <c r="BI212" i="71"/>
  <c r="BA214" i="71"/>
  <c r="BE215" i="71"/>
  <c r="BI216" i="71"/>
  <c r="BE219" i="71"/>
  <c r="BA222" i="71"/>
  <c r="BE223" i="71"/>
  <c r="BA226" i="71"/>
  <c r="BE227" i="71"/>
  <c r="BE231" i="71"/>
  <c r="BE235" i="71"/>
  <c r="BI236" i="71"/>
  <c r="BA238" i="71"/>
  <c r="BE239" i="71"/>
  <c r="BI240" i="71"/>
  <c r="BB242" i="71"/>
  <c r="BE244" i="71"/>
  <c r="BA247" i="71"/>
  <c r="BE252" i="71"/>
  <c r="BE260" i="71"/>
  <c r="BI265" i="71"/>
  <c r="BA271" i="71"/>
  <c r="BE280" i="71"/>
  <c r="BB284" i="71"/>
  <c r="BB293" i="71"/>
  <c r="BB303" i="71"/>
  <c r="BE312" i="71"/>
  <c r="BI321" i="71"/>
  <c r="BD360" i="71"/>
  <c r="BB369" i="71"/>
  <c r="BB405" i="71"/>
  <c r="BB498" i="71"/>
  <c r="BB496" i="71"/>
  <c r="BB490" i="71"/>
  <c r="BB488" i="71"/>
  <c r="BB486" i="71"/>
  <c r="BB462" i="71"/>
  <c r="BB460" i="71"/>
  <c r="BB458" i="71"/>
  <c r="BB456" i="71"/>
  <c r="BB448" i="71"/>
  <c r="BB446" i="71"/>
  <c r="BE495" i="71"/>
  <c r="BE493" i="71"/>
  <c r="BE465" i="71"/>
  <c r="BE463" i="71"/>
  <c r="BE455" i="71"/>
  <c r="BB499" i="71"/>
  <c r="BB497" i="71"/>
  <c r="BB491" i="71"/>
  <c r="BB489" i="71"/>
  <c r="BB487" i="71"/>
  <c r="BB461" i="71"/>
  <c r="BB459" i="71"/>
  <c r="BB457" i="71"/>
  <c r="BB451" i="71"/>
  <c r="BB449" i="71"/>
  <c r="BB447" i="71"/>
  <c r="BD483" i="71"/>
  <c r="BD479" i="71"/>
  <c r="BD475" i="71"/>
  <c r="BD471" i="71"/>
  <c r="BD467" i="71"/>
  <c r="BB439" i="71"/>
  <c r="BE500" i="71"/>
  <c r="BE464" i="71"/>
  <c r="BE452" i="71"/>
  <c r="BG429" i="71"/>
  <c r="BG427" i="71"/>
  <c r="BG425" i="71"/>
  <c r="BG423" i="71"/>
  <c r="BG421" i="71"/>
  <c r="BG419" i="71"/>
  <c r="BG417" i="71"/>
  <c r="BG415" i="71"/>
  <c r="BD485" i="71"/>
  <c r="BD481" i="71"/>
  <c r="BD477" i="71"/>
  <c r="BD473" i="71"/>
  <c r="BD469" i="71"/>
  <c r="BD453" i="71"/>
  <c r="BD445" i="71"/>
  <c r="BB438" i="71"/>
  <c r="BB436" i="71"/>
  <c r="BD492" i="71"/>
  <c r="BD484" i="71"/>
  <c r="BD476" i="71"/>
  <c r="BD468" i="71"/>
  <c r="BD444" i="71"/>
  <c r="BD440" i="71"/>
  <c r="BD432" i="71"/>
  <c r="BE494" i="71"/>
  <c r="BD478" i="71"/>
  <c r="BD470" i="71"/>
  <c r="BD454" i="71"/>
  <c r="BD441" i="71"/>
  <c r="BD437" i="71"/>
  <c r="BD433" i="71"/>
  <c r="BG413" i="71"/>
  <c r="BG411" i="71"/>
  <c r="BG409" i="71"/>
  <c r="BG407" i="71"/>
  <c r="BG405" i="71"/>
  <c r="BG403" i="71"/>
  <c r="BG401" i="71"/>
  <c r="BG399" i="71"/>
  <c r="BG397" i="71"/>
  <c r="BG395" i="71"/>
  <c r="BG393" i="71"/>
  <c r="BG391" i="71"/>
  <c r="BG389" i="71"/>
  <c r="BG387" i="71"/>
  <c r="BG430" i="71"/>
  <c r="BG426" i="71"/>
  <c r="BG422" i="71"/>
  <c r="BG418" i="71"/>
  <c r="BD480" i="71"/>
  <c r="BD472" i="71"/>
  <c r="BD442" i="71"/>
  <c r="BD434" i="71"/>
  <c r="BD443" i="71"/>
  <c r="BG402" i="71"/>
  <c r="BG377" i="71"/>
  <c r="BG376" i="71"/>
  <c r="BG375" i="71"/>
  <c r="BG400" i="71"/>
  <c r="BG386" i="71"/>
  <c r="BG382" i="71"/>
  <c r="BG378" i="71"/>
  <c r="BB374" i="71"/>
  <c r="BB372" i="71"/>
  <c r="BB370" i="71"/>
  <c r="BB368" i="71"/>
  <c r="BB366" i="71"/>
  <c r="BB364" i="71"/>
  <c r="BB362" i="71"/>
  <c r="BB360" i="71"/>
  <c r="BB358" i="71"/>
  <c r="BB356" i="71"/>
  <c r="BB354" i="71"/>
  <c r="BB352" i="71"/>
  <c r="BB350" i="71"/>
  <c r="BB348" i="71"/>
  <c r="BB344" i="71"/>
  <c r="BB342" i="71"/>
  <c r="BB338" i="71"/>
  <c r="BB336" i="71"/>
  <c r="BB334" i="71"/>
  <c r="BB332" i="71"/>
  <c r="BB330" i="71"/>
  <c r="BB328" i="71"/>
  <c r="BB326" i="71"/>
  <c r="BB324" i="71"/>
  <c r="BB322" i="71"/>
  <c r="BB320" i="71"/>
  <c r="BD435" i="71"/>
  <c r="BG428" i="71"/>
  <c r="BG398" i="71"/>
  <c r="BD482" i="71"/>
  <c r="BD431" i="71"/>
  <c r="BG424" i="71"/>
  <c r="BG414" i="71"/>
  <c r="BG412" i="71"/>
  <c r="BG396" i="71"/>
  <c r="BG383" i="71"/>
  <c r="BG379" i="71"/>
  <c r="BH318" i="71"/>
  <c r="BH316" i="71"/>
  <c r="BH314" i="71"/>
  <c r="BH312" i="71"/>
  <c r="BH310" i="71"/>
  <c r="BH308" i="71"/>
  <c r="BH306" i="71"/>
  <c r="BH304" i="71"/>
  <c r="BH302" i="71"/>
  <c r="BH300" i="71"/>
  <c r="BH298" i="71"/>
  <c r="BH296" i="71"/>
  <c r="BH294" i="71"/>
  <c r="BH292" i="71"/>
  <c r="BD474" i="71"/>
  <c r="BG420" i="71"/>
  <c r="BG410" i="71"/>
  <c r="BG394" i="71"/>
  <c r="BG390" i="71"/>
  <c r="BB365" i="71"/>
  <c r="BB349" i="71"/>
  <c r="BB333" i="71"/>
  <c r="BH315" i="71"/>
  <c r="BH299" i="71"/>
  <c r="BE289" i="71"/>
  <c r="BE277" i="71"/>
  <c r="BE255" i="71"/>
  <c r="BG408" i="71"/>
  <c r="BG404" i="71"/>
  <c r="BB363" i="71"/>
  <c r="BB347" i="71"/>
  <c r="BD340" i="71"/>
  <c r="BB331" i="71"/>
  <c r="BH313" i="71"/>
  <c r="BH297" i="71"/>
  <c r="BE290" i="71"/>
  <c r="BD287" i="71"/>
  <c r="BD279" i="71"/>
  <c r="BD275" i="71"/>
  <c r="BD269" i="71"/>
  <c r="BD267" i="71"/>
  <c r="BD265" i="71"/>
  <c r="BD263" i="71"/>
  <c r="BD261" i="71"/>
  <c r="BD259" i="71"/>
  <c r="BD257" i="71"/>
  <c r="BD253" i="71"/>
  <c r="BD245" i="71"/>
  <c r="BD243" i="71"/>
  <c r="BG385" i="71"/>
  <c r="BB361" i="71"/>
  <c r="BB345" i="71"/>
  <c r="BB329" i="71"/>
  <c r="BH311" i="71"/>
  <c r="BH295" i="71"/>
  <c r="BG384" i="71"/>
  <c r="BG381" i="71"/>
  <c r="BB359" i="71"/>
  <c r="BB343" i="71"/>
  <c r="BB327" i="71"/>
  <c r="BH309" i="71"/>
  <c r="BH293" i="71"/>
  <c r="BB285" i="71"/>
  <c r="BB283" i="71"/>
  <c r="BB281" i="71"/>
  <c r="BB273" i="71"/>
  <c r="BB271" i="71"/>
  <c r="BB251" i="71"/>
  <c r="BB249" i="71"/>
  <c r="BB247" i="71"/>
  <c r="BG416" i="71"/>
  <c r="BG406" i="71"/>
  <c r="BB371" i="71"/>
  <c r="BB355" i="71"/>
  <c r="BB339" i="71"/>
  <c r="BB323" i="71"/>
  <c r="BH305" i="71"/>
  <c r="BD278" i="71"/>
  <c r="BD276" i="71"/>
  <c r="BB373" i="71"/>
  <c r="BB321" i="71"/>
  <c r="BB282" i="71"/>
  <c r="BD268" i="71"/>
  <c r="BD264" i="71"/>
  <c r="BD260" i="71"/>
  <c r="BD256" i="71"/>
  <c r="BD244" i="71"/>
  <c r="BD239" i="71"/>
  <c r="BD237" i="71"/>
  <c r="BD235" i="71"/>
  <c r="BH234" i="71"/>
  <c r="BH232" i="71"/>
  <c r="BH230" i="71"/>
  <c r="BH228" i="71"/>
  <c r="BH226" i="71"/>
  <c r="BH224" i="71"/>
  <c r="BH222" i="71"/>
  <c r="BH220" i="71"/>
  <c r="BH218" i="71"/>
  <c r="BH216" i="71"/>
  <c r="BH214" i="71"/>
  <c r="BH212" i="71"/>
  <c r="BH210" i="71"/>
  <c r="BH208" i="71"/>
  <c r="BG388" i="71"/>
  <c r="BB335" i="71"/>
  <c r="BB325" i="71"/>
  <c r="BB353" i="71"/>
  <c r="BH301" i="71"/>
  <c r="BH291" i="71"/>
  <c r="BB272" i="71"/>
  <c r="BB248" i="71"/>
  <c r="BB241" i="71"/>
  <c r="BB205" i="71"/>
  <c r="BB203" i="71"/>
  <c r="BB201" i="71"/>
  <c r="BB199" i="71"/>
  <c r="BB197" i="71"/>
  <c r="BB195" i="71"/>
  <c r="BB193" i="71"/>
  <c r="BB191" i="71"/>
  <c r="BB189" i="71"/>
  <c r="BB187" i="71"/>
  <c r="BB185" i="71"/>
  <c r="BB183" i="71"/>
  <c r="BB181" i="71"/>
  <c r="BB179" i="71"/>
  <c r="BB167" i="71"/>
  <c r="BB337" i="71"/>
  <c r="BD242" i="71"/>
  <c r="BJ500" i="71"/>
  <c r="BJ498" i="71"/>
  <c r="BJ494" i="71"/>
  <c r="BJ490" i="71"/>
  <c r="BJ488" i="71"/>
  <c r="BJ484" i="71"/>
  <c r="BJ480" i="71"/>
  <c r="BJ478" i="71"/>
  <c r="BJ474" i="71"/>
  <c r="BJ472" i="71"/>
  <c r="BJ464" i="71"/>
  <c r="BJ460" i="71"/>
  <c r="BJ458" i="71"/>
  <c r="BJ454" i="71"/>
  <c r="BJ452" i="71"/>
  <c r="BJ444" i="71"/>
  <c r="BE489" i="71"/>
  <c r="BE487" i="71"/>
  <c r="BE479" i="71"/>
  <c r="BE477" i="71"/>
  <c r="BE473" i="71"/>
  <c r="BE471" i="71"/>
  <c r="BE467" i="71"/>
  <c r="BE459" i="71"/>
  <c r="BE457" i="71"/>
  <c r="BE453" i="71"/>
  <c r="BE451" i="71"/>
  <c r="BE447" i="71"/>
  <c r="BJ499" i="71"/>
  <c r="BJ497" i="71"/>
  <c r="BJ495" i="71"/>
  <c r="BJ493" i="71"/>
  <c r="BJ491" i="71"/>
  <c r="BJ485" i="71"/>
  <c r="BJ483" i="71"/>
  <c r="BJ481" i="71"/>
  <c r="BJ475" i="71"/>
  <c r="BJ469" i="71"/>
  <c r="BJ465" i="71"/>
  <c r="BJ463" i="71"/>
  <c r="BJ461" i="71"/>
  <c r="BJ455" i="71"/>
  <c r="BJ449" i="71"/>
  <c r="BJ445" i="71"/>
  <c r="BJ439" i="71"/>
  <c r="BJ435" i="71"/>
  <c r="BJ429" i="71"/>
  <c r="BJ425" i="71"/>
  <c r="BJ423" i="71"/>
  <c r="BJ419" i="71"/>
  <c r="BJ417" i="71"/>
  <c r="BE496" i="71"/>
  <c r="BE492" i="71"/>
  <c r="BE476" i="71"/>
  <c r="BE468" i="71"/>
  <c r="BE456" i="71"/>
  <c r="BE448" i="71"/>
  <c r="BE440" i="71"/>
  <c r="BE438" i="71"/>
  <c r="BE436" i="71"/>
  <c r="BE434" i="71"/>
  <c r="BE432" i="71"/>
  <c r="BE424" i="71"/>
  <c r="BE422" i="71"/>
  <c r="BE418" i="71"/>
  <c r="BE416" i="71"/>
  <c r="BJ442" i="71"/>
  <c r="BJ430" i="71"/>
  <c r="BJ428" i="71"/>
  <c r="BJ426" i="71"/>
  <c r="BJ420" i="71"/>
  <c r="BJ414" i="71"/>
  <c r="BE412" i="71"/>
  <c r="BE408" i="71"/>
  <c r="BE406" i="71"/>
  <c r="BE402" i="71"/>
  <c r="BE398" i="71"/>
  <c r="BE396" i="71"/>
  <c r="BE390" i="71"/>
  <c r="BE388" i="71"/>
  <c r="BE386" i="71"/>
  <c r="BE384" i="71"/>
  <c r="BE382" i="71"/>
  <c r="BE378" i="71"/>
  <c r="BE376" i="71"/>
  <c r="BE486" i="71"/>
  <c r="BE470" i="71"/>
  <c r="BE462" i="71"/>
  <c r="BE446" i="71"/>
  <c r="BE441" i="71"/>
  <c r="BE437" i="71"/>
  <c r="BE433" i="71"/>
  <c r="BE421" i="71"/>
  <c r="BJ410" i="71"/>
  <c r="BJ404" i="71"/>
  <c r="BJ400" i="71"/>
  <c r="BJ394" i="71"/>
  <c r="BJ392" i="71"/>
  <c r="BJ380" i="71"/>
  <c r="BE413" i="71"/>
  <c r="BE411" i="71"/>
  <c r="BE405" i="71"/>
  <c r="BE403" i="71"/>
  <c r="BE401" i="71"/>
  <c r="BE399" i="71"/>
  <c r="BE397" i="71"/>
  <c r="BE393" i="71"/>
  <c r="BE391" i="71"/>
  <c r="BE387" i="71"/>
  <c r="BE383" i="71"/>
  <c r="BE381" i="71"/>
  <c r="BE379" i="71"/>
  <c r="BE377" i="71"/>
  <c r="BE415" i="71"/>
  <c r="BJ409" i="71"/>
  <c r="BJ407" i="71"/>
  <c r="BJ374" i="71"/>
  <c r="BJ372" i="71"/>
  <c r="BJ370" i="71"/>
  <c r="BJ364" i="71"/>
  <c r="BJ358" i="71"/>
  <c r="BJ354" i="71"/>
  <c r="BJ348" i="71"/>
  <c r="BJ344" i="71"/>
  <c r="BJ338" i="71"/>
  <c r="BJ336" i="71"/>
  <c r="BJ324" i="71"/>
  <c r="BJ318" i="71"/>
  <c r="BJ312" i="71"/>
  <c r="BJ308" i="71"/>
  <c r="BJ290" i="71"/>
  <c r="BE482" i="71"/>
  <c r="BE431" i="71"/>
  <c r="BJ389" i="71"/>
  <c r="BE375" i="71"/>
  <c r="BE371" i="71"/>
  <c r="BE365" i="71"/>
  <c r="BE359" i="71"/>
  <c r="BE357" i="71"/>
  <c r="BE355" i="71"/>
  <c r="BE349" i="71"/>
  <c r="BE347" i="71"/>
  <c r="BE345" i="71"/>
  <c r="BE343" i="71"/>
  <c r="BE341" i="71"/>
  <c r="BE337" i="71"/>
  <c r="BE335" i="71"/>
  <c r="BE331" i="71"/>
  <c r="BE327" i="71"/>
  <c r="BE325" i="71"/>
  <c r="BE323" i="71"/>
  <c r="BE321" i="71"/>
  <c r="BE319" i="71"/>
  <c r="BE313" i="71"/>
  <c r="BE311" i="71"/>
  <c r="BE309" i="71"/>
  <c r="BE307" i="71"/>
  <c r="BE305" i="71"/>
  <c r="BE301" i="71"/>
  <c r="BE299" i="71"/>
  <c r="BE295" i="71"/>
  <c r="BE293" i="71"/>
  <c r="BE291" i="71"/>
  <c r="BE427" i="71"/>
  <c r="BE466" i="71"/>
  <c r="BJ395" i="71"/>
  <c r="BE356" i="71"/>
  <c r="BE340" i="71"/>
  <c r="BE292" i="71"/>
  <c r="BE287" i="71"/>
  <c r="BE281" i="71"/>
  <c r="BE275" i="71"/>
  <c r="BE273" i="71"/>
  <c r="BE271" i="71"/>
  <c r="BE265" i="71"/>
  <c r="BE263" i="71"/>
  <c r="BE261" i="71"/>
  <c r="BE259" i="71"/>
  <c r="BE257" i="71"/>
  <c r="BE253" i="71"/>
  <c r="BE251" i="71"/>
  <c r="BE247" i="71"/>
  <c r="BE243" i="71"/>
  <c r="BJ385" i="71"/>
  <c r="BJ373" i="71"/>
  <c r="BE322" i="71"/>
  <c r="BE306" i="71"/>
  <c r="BE368" i="71"/>
  <c r="BE352" i="71"/>
  <c r="BJ339" i="71"/>
  <c r="BE320" i="71"/>
  <c r="BE304" i="71"/>
  <c r="BE450" i="71"/>
  <c r="BJ369" i="71"/>
  <c r="BE366" i="71"/>
  <c r="BJ353" i="71"/>
  <c r="BE350" i="71"/>
  <c r="BE334" i="71"/>
  <c r="BE302" i="71"/>
  <c r="BJ289" i="71"/>
  <c r="BJ285" i="71"/>
  <c r="BJ283" i="71"/>
  <c r="BJ279" i="71"/>
  <c r="BJ277" i="71"/>
  <c r="BJ269" i="71"/>
  <c r="BJ267" i="71"/>
  <c r="BJ255" i="71"/>
  <c r="BJ249" i="71"/>
  <c r="BJ245" i="71"/>
  <c r="BE362" i="71"/>
  <c r="BE346" i="71"/>
  <c r="BJ333" i="71"/>
  <c r="BE330" i="71"/>
  <c r="BJ317" i="71"/>
  <c r="BE314" i="71"/>
  <c r="BE298" i="71"/>
  <c r="BE443" i="71"/>
  <c r="BJ363" i="71"/>
  <c r="BE326" i="71"/>
  <c r="BE316" i="71"/>
  <c r="BJ297" i="71"/>
  <c r="BE278" i="71"/>
  <c r="BJ367" i="71"/>
  <c r="BJ315" i="71"/>
  <c r="BE276" i="71"/>
  <c r="BJ329" i="71"/>
  <c r="BE296" i="71"/>
  <c r="BJ288" i="71"/>
  <c r="BJ274" i="71"/>
  <c r="BJ270" i="71"/>
  <c r="BJ254" i="71"/>
  <c r="BJ233" i="71"/>
  <c r="BJ231" i="71"/>
  <c r="BJ219" i="71"/>
  <c r="BJ213" i="71"/>
  <c r="BJ205" i="71"/>
  <c r="BJ203" i="71"/>
  <c r="BJ191" i="71"/>
  <c r="BJ185" i="71"/>
  <c r="BJ169" i="71"/>
  <c r="BE342" i="71"/>
  <c r="BE332" i="71"/>
  <c r="BJ303" i="71"/>
  <c r="BE284" i="71"/>
  <c r="BF16" i="71"/>
  <c r="BF17" i="71"/>
  <c r="BB18" i="71"/>
  <c r="BE34" i="71"/>
  <c r="BD36" i="71"/>
  <c r="BD38" i="71"/>
  <c r="BD40" i="71"/>
  <c r="BD42" i="71"/>
  <c r="BD44" i="71"/>
  <c r="BD46" i="71"/>
  <c r="AY48" i="71"/>
  <c r="BG48" i="71"/>
  <c r="AY49" i="71"/>
  <c r="BG49" i="71"/>
  <c r="BC51" i="71"/>
  <c r="AY52" i="71"/>
  <c r="BG52" i="71"/>
  <c r="AY53" i="71"/>
  <c r="BG53" i="71"/>
  <c r="BC54" i="71"/>
  <c r="AY55" i="71"/>
  <c r="BG55" i="71"/>
  <c r="BC56" i="71"/>
  <c r="BB57" i="71"/>
  <c r="BJ57" i="71"/>
  <c r="BF58" i="71"/>
  <c r="BF59" i="71"/>
  <c r="BB60" i="71"/>
  <c r="BF61" i="71"/>
  <c r="BB62" i="71"/>
  <c r="BJ62" i="71"/>
  <c r="BI63" i="71"/>
  <c r="BE64" i="71"/>
  <c r="BI65" i="71"/>
  <c r="BE66" i="71"/>
  <c r="BF67" i="71"/>
  <c r="BB68" i="71"/>
  <c r="BJ68" i="71"/>
  <c r="BE69" i="71"/>
  <c r="BI70" i="71"/>
  <c r="BE71" i="71"/>
  <c r="BE73" i="71"/>
  <c r="BE75" i="71"/>
  <c r="BE77" i="71"/>
  <c r="BE79" i="71"/>
  <c r="BE81" i="71"/>
  <c r="BI82" i="71"/>
  <c r="BE83" i="71"/>
  <c r="BE85" i="71"/>
  <c r="BI86" i="71"/>
  <c r="BE87" i="71"/>
  <c r="BI88" i="71"/>
  <c r="BE89" i="71"/>
  <c r="BI90" i="71"/>
  <c r="BE91" i="71"/>
  <c r="BI92" i="71"/>
  <c r="BE93" i="71"/>
  <c r="BI94" i="71"/>
  <c r="BE95" i="71"/>
  <c r="BI96" i="71"/>
  <c r="BE97" i="71"/>
  <c r="BI98" i="71"/>
  <c r="BE99" i="71"/>
  <c r="BE101" i="71"/>
  <c r="BE103" i="71"/>
  <c r="BE105" i="71"/>
  <c r="BE107" i="71"/>
  <c r="BE109" i="71"/>
  <c r="BI110" i="71"/>
  <c r="BE111" i="71"/>
  <c r="BE113" i="71"/>
  <c r="BI114" i="71"/>
  <c r="BE115" i="71"/>
  <c r="BI116" i="71"/>
  <c r="BE117" i="71"/>
  <c r="BI118" i="71"/>
  <c r="BE119" i="71"/>
  <c r="BI120" i="71"/>
  <c r="BE121" i="71"/>
  <c r="BE123" i="71"/>
  <c r="BE125" i="71"/>
  <c r="BE127" i="71"/>
  <c r="BE129" i="71"/>
  <c r="BI130" i="71"/>
  <c r="BE131" i="71"/>
  <c r="BI132" i="71"/>
  <c r="BE133" i="71"/>
  <c r="BE135" i="71"/>
  <c r="BE137" i="71"/>
  <c r="BE139" i="71"/>
  <c r="BE141" i="71"/>
  <c r="BE143" i="71"/>
  <c r="BE145" i="71"/>
  <c r="BI146" i="71"/>
  <c r="BE147" i="71"/>
  <c r="BE149" i="71"/>
  <c r="BI150" i="71"/>
  <c r="BE151" i="71"/>
  <c r="BE153" i="71"/>
  <c r="BE155" i="71"/>
  <c r="BI156" i="71"/>
  <c r="BE157" i="71"/>
  <c r="BE159" i="71"/>
  <c r="BI160" i="71"/>
  <c r="BE161" i="71"/>
  <c r="BI162" i="71"/>
  <c r="BE163" i="71"/>
  <c r="BE165" i="71"/>
  <c r="BF167" i="71"/>
  <c r="BJ168" i="71"/>
  <c r="BB170" i="71"/>
  <c r="BF171" i="71"/>
  <c r="BJ172" i="71"/>
  <c r="BB174" i="71"/>
  <c r="BF175" i="71"/>
  <c r="BB178" i="71"/>
  <c r="BF179" i="71"/>
  <c r="BB182" i="71"/>
  <c r="BF183" i="71"/>
  <c r="BJ184" i="71"/>
  <c r="BB186" i="71"/>
  <c r="BF187" i="71"/>
  <c r="BJ188" i="71"/>
  <c r="BB190" i="71"/>
  <c r="BF191" i="71"/>
  <c r="BB194" i="71"/>
  <c r="BF195" i="71"/>
  <c r="BJ196" i="71"/>
  <c r="BB198" i="71"/>
  <c r="BF199" i="71"/>
  <c r="BJ200" i="71"/>
  <c r="BB202" i="71"/>
  <c r="BF203" i="71"/>
  <c r="BJ204" i="71"/>
  <c r="BB206" i="71"/>
  <c r="BF207" i="71"/>
  <c r="BB210" i="71"/>
  <c r="BF211" i="71"/>
  <c r="BJ212" i="71"/>
  <c r="BB214" i="71"/>
  <c r="BF215" i="71"/>
  <c r="BJ216" i="71"/>
  <c r="BB218" i="71"/>
  <c r="BF219" i="71"/>
  <c r="BB222" i="71"/>
  <c r="BF223" i="71"/>
  <c r="BJ224" i="71"/>
  <c r="BB226" i="71"/>
  <c r="BF227" i="71"/>
  <c r="BJ228" i="71"/>
  <c r="BB230" i="71"/>
  <c r="BF231" i="71"/>
  <c r="BJ232" i="71"/>
  <c r="BB234" i="71"/>
  <c r="BF235" i="71"/>
  <c r="BB238" i="71"/>
  <c r="BF239" i="71"/>
  <c r="BJ240" i="71"/>
  <c r="BC242" i="71"/>
  <c r="BJ244" i="71"/>
  <c r="BF247" i="71"/>
  <c r="BB250" i="71"/>
  <c r="BJ252" i="71"/>
  <c r="BF255" i="71"/>
  <c r="BB258" i="71"/>
  <c r="BJ260" i="71"/>
  <c r="BF263" i="71"/>
  <c r="BB266" i="71"/>
  <c r="BJ268" i="71"/>
  <c r="BF271" i="71"/>
  <c r="BB274" i="71"/>
  <c r="BA277" i="71"/>
  <c r="BJ280" i="71"/>
  <c r="BC284" i="71"/>
  <c r="BE294" i="71"/>
  <c r="BH303" i="71"/>
  <c r="BB341" i="71"/>
  <c r="BB351" i="71"/>
  <c r="BE360" i="71"/>
  <c r="BB383" i="71"/>
  <c r="BD450" i="71"/>
  <c r="BG14" i="71"/>
  <c r="BG15" i="71"/>
  <c r="BF487" i="71"/>
  <c r="BF471" i="71"/>
  <c r="BE499" i="71"/>
  <c r="BE497" i="71"/>
  <c r="BE491" i="71"/>
  <c r="BE485" i="71"/>
  <c r="BE483" i="71"/>
  <c r="BE475" i="71"/>
  <c r="AY480" i="71"/>
  <c r="AY478" i="71"/>
  <c r="AY476" i="71"/>
  <c r="AY468" i="71"/>
  <c r="AY466" i="71"/>
  <c r="BG464" i="71"/>
  <c r="BG462" i="71"/>
  <c r="BG460" i="71"/>
  <c r="BG458" i="71"/>
  <c r="BG456" i="71"/>
  <c r="BG454" i="71"/>
  <c r="BG452" i="71"/>
  <c r="BG450" i="71"/>
  <c r="BG448" i="71"/>
  <c r="BG446" i="71"/>
  <c r="BG444" i="71"/>
  <c r="BF500" i="71"/>
  <c r="BF496" i="71"/>
  <c r="BF494" i="71"/>
  <c r="BF492" i="71"/>
  <c r="BF482" i="71"/>
  <c r="AZ490" i="71"/>
  <c r="AZ486" i="71"/>
  <c r="AZ474" i="71"/>
  <c r="AZ470" i="71"/>
  <c r="BF416" i="71"/>
  <c r="BE488" i="71"/>
  <c r="BE484" i="71"/>
  <c r="BE472" i="71"/>
  <c r="BE430" i="71"/>
  <c r="BE428" i="71"/>
  <c r="BE420" i="71"/>
  <c r="AY479" i="71"/>
  <c r="AY467" i="71"/>
  <c r="BG465" i="71"/>
  <c r="BG461" i="71"/>
  <c r="BG457" i="71"/>
  <c r="BG453" i="71"/>
  <c r="BG449" i="71"/>
  <c r="BG445" i="71"/>
  <c r="BG443" i="71"/>
  <c r="BG441" i="71"/>
  <c r="BG439" i="71"/>
  <c r="BG437" i="71"/>
  <c r="BG435" i="71"/>
  <c r="BG433" i="71"/>
  <c r="BG431" i="71"/>
  <c r="AY425" i="71"/>
  <c r="AY423" i="71"/>
  <c r="AY421" i="71"/>
  <c r="BF427" i="71"/>
  <c r="AZ495" i="71"/>
  <c r="AZ419" i="71"/>
  <c r="BE410" i="71"/>
  <c r="BE429" i="71"/>
  <c r="BE417" i="71"/>
  <c r="BH395" i="71"/>
  <c r="BH393" i="71"/>
  <c r="BH391" i="71"/>
  <c r="BH389" i="71"/>
  <c r="BH387" i="71"/>
  <c r="BH385" i="71"/>
  <c r="BH383" i="71"/>
  <c r="BH381" i="71"/>
  <c r="BH379" i="71"/>
  <c r="BH377" i="71"/>
  <c r="AZ489" i="71"/>
  <c r="AZ473" i="71"/>
  <c r="AY413" i="71"/>
  <c r="AY411" i="71"/>
  <c r="AY409" i="71"/>
  <c r="AY405" i="71"/>
  <c r="AY403" i="71"/>
  <c r="AY401" i="71"/>
  <c r="AY399" i="71"/>
  <c r="AY397" i="71"/>
  <c r="AY481" i="71"/>
  <c r="BG459" i="71"/>
  <c r="BG451" i="71"/>
  <c r="BG442" i="71"/>
  <c r="BG438" i="71"/>
  <c r="BG434" i="71"/>
  <c r="AY424" i="71"/>
  <c r="AZ415" i="71"/>
  <c r="BE407" i="71"/>
  <c r="BE498" i="71"/>
  <c r="BG436" i="71"/>
  <c r="AY426" i="71"/>
  <c r="AY408" i="71"/>
  <c r="BH386" i="71"/>
  <c r="BH382" i="71"/>
  <c r="BH378" i="71"/>
  <c r="AY369" i="71"/>
  <c r="AY367" i="71"/>
  <c r="AY365" i="71"/>
  <c r="AY357" i="71"/>
  <c r="AY355" i="71"/>
  <c r="AY353" i="71"/>
  <c r="AY349" i="71"/>
  <c r="AY347" i="71"/>
  <c r="AY345" i="71"/>
  <c r="AY343" i="71"/>
  <c r="AY341" i="71"/>
  <c r="AY317" i="71"/>
  <c r="AY313" i="71"/>
  <c r="AY311" i="71"/>
  <c r="AY309" i="71"/>
  <c r="AY307" i="71"/>
  <c r="AY305" i="71"/>
  <c r="AY303" i="71"/>
  <c r="AY301" i="71"/>
  <c r="AY299" i="71"/>
  <c r="BG463" i="71"/>
  <c r="BG432" i="71"/>
  <c r="AY422" i="71"/>
  <c r="AZ418" i="71"/>
  <c r="BF371" i="71"/>
  <c r="AY477" i="71"/>
  <c r="BG455" i="71"/>
  <c r="AY404" i="71"/>
  <c r="BE373" i="71"/>
  <c r="BE361" i="71"/>
  <c r="BE351" i="71"/>
  <c r="BE315" i="71"/>
  <c r="BI296" i="71"/>
  <c r="BI294" i="71"/>
  <c r="BI292" i="71"/>
  <c r="BA290" i="71"/>
  <c r="AY469" i="71"/>
  <c r="BG447" i="71"/>
  <c r="AY402" i="71"/>
  <c r="BH394" i="71"/>
  <c r="AZ362" i="71"/>
  <c r="BH338" i="71"/>
  <c r="BH336" i="71"/>
  <c r="BH334" i="71"/>
  <c r="BH332" i="71"/>
  <c r="BH330" i="71"/>
  <c r="BH328" i="71"/>
  <c r="BH326" i="71"/>
  <c r="BH324" i="71"/>
  <c r="BH322" i="71"/>
  <c r="BH320" i="71"/>
  <c r="AY400" i="71"/>
  <c r="BH392" i="71"/>
  <c r="BH384" i="71"/>
  <c r="BH380" i="71"/>
  <c r="AY370" i="71"/>
  <c r="AY368" i="71"/>
  <c r="AY366" i="71"/>
  <c r="AY358" i="71"/>
  <c r="AY356" i="71"/>
  <c r="AY352" i="71"/>
  <c r="AY348" i="71"/>
  <c r="AY346" i="71"/>
  <c r="AY344" i="71"/>
  <c r="AY342" i="71"/>
  <c r="AY340" i="71"/>
  <c r="AY316" i="71"/>
  <c r="AY312" i="71"/>
  <c r="AY310" i="71"/>
  <c r="AY308" i="71"/>
  <c r="AY306" i="71"/>
  <c r="AY304" i="71"/>
  <c r="AY302" i="71"/>
  <c r="AY300" i="71"/>
  <c r="AY298" i="71"/>
  <c r="AY414" i="71"/>
  <c r="BE372" i="71"/>
  <c r="BH331" i="71"/>
  <c r="BI297" i="71"/>
  <c r="BA288" i="71"/>
  <c r="BA284" i="71"/>
  <c r="BE283" i="71"/>
  <c r="BA280" i="71"/>
  <c r="BA274" i="71"/>
  <c r="BA268" i="71"/>
  <c r="BE267" i="71"/>
  <c r="BA260" i="71"/>
  <c r="BE354" i="71"/>
  <c r="BH329" i="71"/>
  <c r="BI295" i="71"/>
  <c r="AZ278" i="71"/>
  <c r="AZ272" i="71"/>
  <c r="AZ258" i="71"/>
  <c r="BH254" i="71"/>
  <c r="BH252" i="71"/>
  <c r="BH250" i="71"/>
  <c r="BH248" i="71"/>
  <c r="BH246" i="71"/>
  <c r="BH244" i="71"/>
  <c r="BH242" i="71"/>
  <c r="AZ493" i="71"/>
  <c r="BG440" i="71"/>
  <c r="BH375" i="71"/>
  <c r="BF350" i="71"/>
  <c r="BH327" i="71"/>
  <c r="BI293" i="71"/>
  <c r="AY264" i="71"/>
  <c r="AY262" i="71"/>
  <c r="AY256" i="71"/>
  <c r="AY398" i="71"/>
  <c r="BH388" i="71"/>
  <c r="AZ363" i="71"/>
  <c r="BH325" i="71"/>
  <c r="BE318" i="71"/>
  <c r="BI291" i="71"/>
  <c r="BF282" i="71"/>
  <c r="BF276" i="71"/>
  <c r="BF266" i="71"/>
  <c r="BF360" i="71"/>
  <c r="AZ359" i="71"/>
  <c r="BH337" i="71"/>
  <c r="BH321" i="71"/>
  <c r="AZ279" i="71"/>
  <c r="BH390" i="71"/>
  <c r="BH335" i="71"/>
  <c r="BF287" i="71"/>
  <c r="AZ275" i="71"/>
  <c r="BH253" i="71"/>
  <c r="BH249" i="71"/>
  <c r="BH245" i="71"/>
  <c r="BH240" i="71"/>
  <c r="BH238" i="71"/>
  <c r="BH236" i="71"/>
  <c r="AZ222" i="71"/>
  <c r="AZ194" i="71"/>
  <c r="BH339" i="71"/>
  <c r="AY263" i="71"/>
  <c r="AY228" i="71"/>
  <c r="AY226" i="71"/>
  <c r="AY220" i="71"/>
  <c r="AY218" i="71"/>
  <c r="AY216" i="71"/>
  <c r="AY214" i="71"/>
  <c r="AY200" i="71"/>
  <c r="AY198" i="71"/>
  <c r="AY192" i="71"/>
  <c r="AY190" i="71"/>
  <c r="AY188" i="71"/>
  <c r="AY186" i="71"/>
  <c r="AY178" i="71"/>
  <c r="AY176" i="71"/>
  <c r="AY174" i="71"/>
  <c r="AY172" i="71"/>
  <c r="AY412" i="71"/>
  <c r="BA285" i="71"/>
  <c r="BF230" i="71"/>
  <c r="BF202" i="71"/>
  <c r="BJ171" i="71"/>
  <c r="AY396" i="71"/>
  <c r="AY261" i="71"/>
  <c r="AY227" i="71"/>
  <c r="AY225" i="71"/>
  <c r="AY219" i="71"/>
  <c r="AY217" i="71"/>
  <c r="AY215" i="71"/>
  <c r="AY199" i="71"/>
  <c r="AY197" i="71"/>
  <c r="AY191" i="71"/>
  <c r="AY189" i="71"/>
  <c r="AY187" i="71"/>
  <c r="AY177" i="71"/>
  <c r="AY175" i="71"/>
  <c r="AY173" i="71"/>
  <c r="AY16" i="71"/>
  <c r="BG16" i="71"/>
  <c r="AY17" i="71"/>
  <c r="BG17" i="71"/>
  <c r="BF34" i="71"/>
  <c r="BI35" i="71"/>
  <c r="BE36" i="71"/>
  <c r="BA37" i="71"/>
  <c r="BE38" i="71"/>
  <c r="BA39" i="71"/>
  <c r="BE40" i="71"/>
  <c r="BA41" i="71"/>
  <c r="BE42" i="71"/>
  <c r="BA43" i="71"/>
  <c r="BE44" i="71"/>
  <c r="BA45" i="71"/>
  <c r="BI45" i="71"/>
  <c r="BE46" i="71"/>
  <c r="BD47" i="71"/>
  <c r="BD50" i="71"/>
  <c r="BH52" i="71"/>
  <c r="BH53" i="71"/>
  <c r="BH55" i="71"/>
  <c r="AY58" i="71"/>
  <c r="BG58" i="71"/>
  <c r="BG59" i="71"/>
  <c r="BC60" i="71"/>
  <c r="AY61" i="71"/>
  <c r="BG61" i="71"/>
  <c r="BB63" i="71"/>
  <c r="BF64" i="71"/>
  <c r="BB65" i="71"/>
  <c r="BJ65" i="71"/>
  <c r="BF66" i="71"/>
  <c r="AY67" i="71"/>
  <c r="BG67" i="71"/>
  <c r="BF69" i="71"/>
  <c r="BB70" i="71"/>
  <c r="BJ70" i="71"/>
  <c r="BF71" i="71"/>
  <c r="BB72" i="71"/>
  <c r="BF73" i="71"/>
  <c r="BB74" i="71"/>
  <c r="BF75" i="71"/>
  <c r="BB76" i="71"/>
  <c r="BJ76" i="71"/>
  <c r="BF77" i="71"/>
  <c r="BB78" i="71"/>
  <c r="BF79" i="71"/>
  <c r="BB80" i="71"/>
  <c r="BJ80" i="71"/>
  <c r="BF81" i="71"/>
  <c r="BB82" i="71"/>
  <c r="BJ82" i="71"/>
  <c r="BF83" i="71"/>
  <c r="BB84" i="71"/>
  <c r="BJ84" i="71"/>
  <c r="BF85" i="71"/>
  <c r="BB86" i="71"/>
  <c r="BJ86" i="71"/>
  <c r="BF87" i="71"/>
  <c r="BB88" i="71"/>
  <c r="BF89" i="71"/>
  <c r="BB90" i="71"/>
  <c r="BJ90" i="71"/>
  <c r="BF91" i="71"/>
  <c r="BB92" i="71"/>
  <c r="BJ92" i="71"/>
  <c r="BF93" i="71"/>
  <c r="BB94" i="71"/>
  <c r="BF95" i="71"/>
  <c r="BB96" i="71"/>
  <c r="BJ96" i="71"/>
  <c r="BF97" i="71"/>
  <c r="BB98" i="71"/>
  <c r="BJ98" i="71"/>
  <c r="BF99" i="71"/>
  <c r="BB100" i="71"/>
  <c r="BF101" i="71"/>
  <c r="BB102" i="71"/>
  <c r="BF103" i="71"/>
  <c r="BB104" i="71"/>
  <c r="BJ104" i="71"/>
  <c r="BF105" i="71"/>
  <c r="BB106" i="71"/>
  <c r="BF107" i="71"/>
  <c r="BB108" i="71"/>
  <c r="BJ108" i="71"/>
  <c r="BF109" i="71"/>
  <c r="BB110" i="71"/>
  <c r="BJ110" i="71"/>
  <c r="BF111" i="71"/>
  <c r="BB112" i="71"/>
  <c r="BJ112" i="71"/>
  <c r="BF113" i="71"/>
  <c r="BB114" i="71"/>
  <c r="BJ114" i="71"/>
  <c r="BF115" i="71"/>
  <c r="BB116" i="71"/>
  <c r="BF117" i="71"/>
  <c r="BB118" i="71"/>
  <c r="BF119" i="71"/>
  <c r="BB120" i="71"/>
  <c r="BJ120" i="71"/>
  <c r="BF121" i="71"/>
  <c r="BB122" i="71"/>
  <c r="BJ122" i="71"/>
  <c r="BF123" i="71"/>
  <c r="BB124" i="71"/>
  <c r="BJ124" i="71"/>
  <c r="BF125" i="71"/>
  <c r="BB126" i="71"/>
  <c r="BJ126" i="71"/>
  <c r="BF127" i="71"/>
  <c r="BB128" i="71"/>
  <c r="BJ128" i="71"/>
  <c r="BF129" i="71"/>
  <c r="BB130" i="71"/>
  <c r="BB132" i="71"/>
  <c r="BJ132" i="71"/>
  <c r="BF133" i="71"/>
  <c r="BB134" i="71"/>
  <c r="BJ134" i="71"/>
  <c r="BF135" i="71"/>
  <c r="BB136" i="71"/>
  <c r="BF137" i="71"/>
  <c r="BB138" i="71"/>
  <c r="BF139" i="71"/>
  <c r="BB140" i="71"/>
  <c r="BJ140" i="71"/>
  <c r="BF141" i="71"/>
  <c r="BB142" i="71"/>
  <c r="BF143" i="71"/>
  <c r="BB144" i="71"/>
  <c r="BJ144" i="71"/>
  <c r="BF145" i="71"/>
  <c r="BB146" i="71"/>
  <c r="BJ146" i="71"/>
  <c r="BF147" i="71"/>
  <c r="BB148" i="71"/>
  <c r="BJ148" i="71"/>
  <c r="BF149" i="71"/>
  <c r="BB150" i="71"/>
  <c r="BJ150" i="71"/>
  <c r="BF151" i="71"/>
  <c r="BB152" i="71"/>
  <c r="BF153" i="71"/>
  <c r="BB154" i="71"/>
  <c r="BJ154" i="71"/>
  <c r="BF155" i="71"/>
  <c r="BB156" i="71"/>
  <c r="BJ156" i="71"/>
  <c r="BF157" i="71"/>
  <c r="BB158" i="71"/>
  <c r="BJ158" i="71"/>
  <c r="BF159" i="71"/>
  <c r="BB160" i="71"/>
  <c r="BJ160" i="71"/>
  <c r="BF161" i="71"/>
  <c r="BB162" i="71"/>
  <c r="BJ162" i="71"/>
  <c r="BF163" i="71"/>
  <c r="BB164" i="71"/>
  <c r="BJ164" i="71"/>
  <c r="BF165" i="71"/>
  <c r="BD166" i="71"/>
  <c r="BH167" i="71"/>
  <c r="BD170" i="71"/>
  <c r="BH171" i="71"/>
  <c r="BH175" i="71"/>
  <c r="BH179" i="71"/>
  <c r="BD182" i="71"/>
  <c r="BH183" i="71"/>
  <c r="BH187" i="71"/>
  <c r="BH191" i="71"/>
  <c r="BD194" i="71"/>
  <c r="BH195" i="71"/>
  <c r="BD198" i="71"/>
  <c r="BH199" i="71"/>
  <c r="BD202" i="71"/>
  <c r="BH203" i="71"/>
  <c r="BD206" i="71"/>
  <c r="BH207" i="71"/>
  <c r="BD210" i="71"/>
  <c r="BH211" i="71"/>
  <c r="BH215" i="71"/>
  <c r="BH219" i="71"/>
  <c r="BD222" i="71"/>
  <c r="BH223" i="71"/>
  <c r="BD226" i="71"/>
  <c r="BH227" i="71"/>
  <c r="BD230" i="71"/>
  <c r="BH231" i="71"/>
  <c r="BD234" i="71"/>
  <c r="BH235" i="71"/>
  <c r="BD238" i="71"/>
  <c r="BH239" i="71"/>
  <c r="BE242" i="71"/>
  <c r="BH247" i="71"/>
  <c r="BD250" i="71"/>
  <c r="BH255" i="71"/>
  <c r="BD258" i="71"/>
  <c r="BH263" i="71"/>
  <c r="BD266" i="71"/>
  <c r="BA281" i="71"/>
  <c r="BJ284" i="71"/>
  <c r="G29" i="71" s="1"/>
  <c r="BC288" i="71"/>
  <c r="BH323" i="71"/>
  <c r="BH333" i="71"/>
  <c r="BF342" i="71"/>
  <c r="BJ351" i="71"/>
  <c r="BJ361" i="71"/>
  <c r="BF384" i="71"/>
  <c r="BG484" i="71"/>
  <c r="BG482" i="71"/>
  <c r="BG480" i="71"/>
  <c r="BG478" i="71"/>
  <c r="BG476" i="71"/>
  <c r="BG474" i="71"/>
  <c r="BG472" i="71"/>
  <c r="BG470" i="71"/>
  <c r="BG468" i="71"/>
  <c r="BG466" i="71"/>
  <c r="BD499" i="71"/>
  <c r="BD495" i="71"/>
  <c r="BD491" i="71"/>
  <c r="BD487" i="71"/>
  <c r="BD463" i="71"/>
  <c r="BD459" i="71"/>
  <c r="BD455" i="71"/>
  <c r="AZ454" i="71"/>
  <c r="BD451" i="71"/>
  <c r="AZ450" i="71"/>
  <c r="BD447" i="71"/>
  <c r="BH444" i="71"/>
  <c r="BG485" i="71"/>
  <c r="BG481" i="71"/>
  <c r="BG477" i="71"/>
  <c r="BG473" i="71"/>
  <c r="BG469" i="71"/>
  <c r="BD497" i="71"/>
  <c r="BD493" i="71"/>
  <c r="AZ492" i="71"/>
  <c r="BD489" i="71"/>
  <c r="BD465" i="71"/>
  <c r="BD461" i="71"/>
  <c r="BD457" i="71"/>
  <c r="BD449" i="71"/>
  <c r="BD500" i="71"/>
  <c r="BD460" i="71"/>
  <c r="BD452" i="71"/>
  <c r="BH441" i="71"/>
  <c r="BH437" i="71"/>
  <c r="BH433" i="71"/>
  <c r="BD428" i="71"/>
  <c r="BD424" i="71"/>
  <c r="BD420" i="71"/>
  <c r="BD416" i="71"/>
  <c r="BD415" i="71"/>
  <c r="BI379" i="71"/>
  <c r="BI377" i="71"/>
  <c r="BI375" i="71"/>
  <c r="BD412" i="71"/>
  <c r="BH409" i="71"/>
  <c r="BH407" i="71"/>
  <c r="BH405" i="71"/>
  <c r="BH403" i="71"/>
  <c r="BH401" i="71"/>
  <c r="BH399" i="71"/>
  <c r="BH397" i="71"/>
  <c r="BD394" i="71"/>
  <c r="BD392" i="71"/>
  <c r="BD390" i="71"/>
  <c r="BD384" i="71"/>
  <c r="BD382" i="71"/>
  <c r="BD494" i="71"/>
  <c r="BD486" i="71"/>
  <c r="BD462" i="71"/>
  <c r="BD446" i="71"/>
  <c r="BH442" i="71"/>
  <c r="BH438" i="71"/>
  <c r="BH434" i="71"/>
  <c r="BD429" i="71"/>
  <c r="BD425" i="71"/>
  <c r="BD421" i="71"/>
  <c r="BD417" i="71"/>
  <c r="BD414" i="71"/>
  <c r="BG483" i="71"/>
  <c r="BG475" i="71"/>
  <c r="BG467" i="71"/>
  <c r="BB388" i="71"/>
  <c r="BB386" i="71"/>
  <c r="BD496" i="71"/>
  <c r="BD488" i="71"/>
  <c r="BD464" i="71"/>
  <c r="BD456" i="71"/>
  <c r="BD448" i="71"/>
  <c r="BH445" i="71"/>
  <c r="BH443" i="71"/>
  <c r="BH439" i="71"/>
  <c r="BH435" i="71"/>
  <c r="BH431" i="71"/>
  <c r="BD430" i="71"/>
  <c r="BD426" i="71"/>
  <c r="BD422" i="71"/>
  <c r="BD418" i="71"/>
  <c r="BI380" i="71"/>
  <c r="BI378" i="71"/>
  <c r="BI376" i="71"/>
  <c r="BG471" i="71"/>
  <c r="BH432" i="71"/>
  <c r="BD411" i="71"/>
  <c r="BH400" i="71"/>
  <c r="BD395" i="71"/>
  <c r="BD385" i="71"/>
  <c r="BD381" i="71"/>
  <c r="AY333" i="71"/>
  <c r="BD498" i="71"/>
  <c r="BH398" i="71"/>
  <c r="BD393" i="71"/>
  <c r="BB318" i="71"/>
  <c r="BB316" i="71"/>
  <c r="BB314" i="71"/>
  <c r="BB312" i="71"/>
  <c r="BB308" i="71"/>
  <c r="BB306" i="71"/>
  <c r="BB296" i="71"/>
  <c r="BB294" i="71"/>
  <c r="BD490" i="71"/>
  <c r="BH396" i="71"/>
  <c r="BD391" i="71"/>
  <c r="BI324" i="71"/>
  <c r="BI322" i="71"/>
  <c r="BI320" i="71"/>
  <c r="BI302" i="71"/>
  <c r="BI300" i="71"/>
  <c r="BI298" i="71"/>
  <c r="BH410" i="71"/>
  <c r="BD373" i="71"/>
  <c r="BD371" i="71"/>
  <c r="BD369" i="71"/>
  <c r="BD367" i="71"/>
  <c r="BD365" i="71"/>
  <c r="BD363" i="71"/>
  <c r="BD361" i="71"/>
  <c r="BD359" i="71"/>
  <c r="BD357" i="71"/>
  <c r="BD355" i="71"/>
  <c r="BH354" i="71"/>
  <c r="BH352" i="71"/>
  <c r="BH350" i="71"/>
  <c r="BH348" i="71"/>
  <c r="BH346" i="71"/>
  <c r="BH344" i="71"/>
  <c r="BH342" i="71"/>
  <c r="BH340" i="71"/>
  <c r="BD339" i="71"/>
  <c r="BD337" i="71"/>
  <c r="BD335" i="71"/>
  <c r="BD331" i="71"/>
  <c r="BD329" i="71"/>
  <c r="BD327" i="71"/>
  <c r="BD325" i="71"/>
  <c r="BD295" i="71"/>
  <c r="AZ453" i="71"/>
  <c r="BD427" i="71"/>
  <c r="BH408" i="71"/>
  <c r="BD387" i="71"/>
  <c r="BD383" i="71"/>
  <c r="AY332" i="71"/>
  <c r="AY330" i="71"/>
  <c r="BG479" i="71"/>
  <c r="BD458" i="71"/>
  <c r="BH404" i="71"/>
  <c r="BD374" i="71"/>
  <c r="BD358" i="71"/>
  <c r="BH347" i="71"/>
  <c r="BD326" i="71"/>
  <c r="BB317" i="71"/>
  <c r="BD310" i="71"/>
  <c r="BA278" i="71"/>
  <c r="BA276" i="71"/>
  <c r="BA254" i="71"/>
  <c r="BA250" i="71"/>
  <c r="BA244" i="71"/>
  <c r="BH440" i="71"/>
  <c r="BD372" i="71"/>
  <c r="BD356" i="71"/>
  <c r="BH345" i="71"/>
  <c r="BB315" i="71"/>
  <c r="BD292" i="71"/>
  <c r="BD289" i="71"/>
  <c r="BD285" i="71"/>
  <c r="BD283" i="71"/>
  <c r="BD281" i="71"/>
  <c r="BD277" i="71"/>
  <c r="BD273" i="71"/>
  <c r="BD271" i="71"/>
  <c r="BH270" i="71"/>
  <c r="BH268" i="71"/>
  <c r="BH266" i="71"/>
  <c r="BH264" i="71"/>
  <c r="BH262" i="71"/>
  <c r="BH260" i="71"/>
  <c r="BH258" i="71"/>
  <c r="BH256" i="71"/>
  <c r="BD255" i="71"/>
  <c r="BD251" i="71"/>
  <c r="BD249" i="71"/>
  <c r="BD247" i="71"/>
  <c r="BD413" i="71"/>
  <c r="BB389" i="71"/>
  <c r="BD370" i="71"/>
  <c r="BH343" i="71"/>
  <c r="BD338" i="71"/>
  <c r="BB313" i="71"/>
  <c r="BB297" i="71"/>
  <c r="BJ291" i="71"/>
  <c r="BD290" i="71"/>
  <c r="BD419" i="71"/>
  <c r="BD368" i="71"/>
  <c r="BH341" i="71"/>
  <c r="BD336" i="71"/>
  <c r="BI323" i="71"/>
  <c r="BB311" i="71"/>
  <c r="BD304" i="71"/>
  <c r="BH436" i="71"/>
  <c r="BD364" i="71"/>
  <c r="BH353" i="71"/>
  <c r="BI319" i="71"/>
  <c r="BB307" i="71"/>
  <c r="BI303" i="71"/>
  <c r="BD288" i="71"/>
  <c r="BD286" i="71"/>
  <c r="BD284" i="71"/>
  <c r="BD282" i="71"/>
  <c r="BD280" i="71"/>
  <c r="BH402" i="71"/>
  <c r="BD272" i="71"/>
  <c r="BH269" i="71"/>
  <c r="BH265" i="71"/>
  <c r="BH261" i="71"/>
  <c r="BH257" i="71"/>
  <c r="BD252" i="71"/>
  <c r="BD248" i="71"/>
  <c r="AZ243" i="71"/>
  <c r="BA242" i="71"/>
  <c r="BD241" i="71"/>
  <c r="BD233" i="71"/>
  <c r="BD231" i="71"/>
  <c r="BD229" i="71"/>
  <c r="BD227" i="71"/>
  <c r="BD225" i="71"/>
  <c r="BD223" i="71"/>
  <c r="BD221" i="71"/>
  <c r="BD213" i="71"/>
  <c r="BD211" i="71"/>
  <c r="BD209" i="71"/>
  <c r="BD205" i="71"/>
  <c r="BD203" i="71"/>
  <c r="BD201" i="71"/>
  <c r="BD199" i="71"/>
  <c r="BD197" i="71"/>
  <c r="BD195" i="71"/>
  <c r="BD193" i="71"/>
  <c r="BD185" i="71"/>
  <c r="BD183" i="71"/>
  <c r="BD181" i="71"/>
  <c r="BD169" i="71"/>
  <c r="BD167" i="71"/>
  <c r="BH349" i="71"/>
  <c r="BI301" i="71"/>
  <c r="BA287" i="71"/>
  <c r="BD334" i="71"/>
  <c r="BJ207" i="71"/>
  <c r="BJ179" i="71"/>
  <c r="BB177" i="71"/>
  <c r="BB175" i="71"/>
  <c r="BB173" i="71"/>
  <c r="BB171" i="71"/>
  <c r="BH406" i="71"/>
  <c r="BH351" i="71"/>
  <c r="BD328" i="71"/>
  <c r="BI299" i="71"/>
  <c r="BA279" i="71"/>
  <c r="BD18" i="71"/>
  <c r="AY34" i="71"/>
  <c r="BG34" i="71"/>
  <c r="BB35" i="71"/>
  <c r="BJ35" i="71"/>
  <c r="BF36" i="71"/>
  <c r="BB37" i="71"/>
  <c r="BJ37" i="71"/>
  <c r="BF38" i="71"/>
  <c r="BB39" i="71"/>
  <c r="BJ39" i="71"/>
  <c r="BF40" i="71"/>
  <c r="BB41" i="71"/>
  <c r="BJ41" i="71"/>
  <c r="BF42" i="71"/>
  <c r="BB43" i="71"/>
  <c r="BJ43" i="71"/>
  <c r="BF44" i="71"/>
  <c r="BB45" i="71"/>
  <c r="BF46" i="71"/>
  <c r="BE47" i="71"/>
  <c r="BA48" i="71"/>
  <c r="BA49" i="71"/>
  <c r="BE50" i="71"/>
  <c r="BE51" i="71"/>
  <c r="BA52" i="71"/>
  <c r="BI52" i="71"/>
  <c r="BI53" i="71"/>
  <c r="BE54" i="71"/>
  <c r="BI55" i="71"/>
  <c r="BE56" i="71"/>
  <c r="BH58" i="71"/>
  <c r="BH59" i="71"/>
  <c r="BD60" i="71"/>
  <c r="BH61" i="71"/>
  <c r="BD62" i="71"/>
  <c r="BC63" i="71"/>
  <c r="BG64" i="71"/>
  <c r="AY66" i="71"/>
  <c r="BG66" i="71"/>
  <c r="BH67" i="71"/>
  <c r="AY69" i="71"/>
  <c r="BG69" i="71"/>
  <c r="AY71" i="71"/>
  <c r="BG71" i="71"/>
  <c r="BC72" i="71"/>
  <c r="AY73" i="71"/>
  <c r="BG73" i="71"/>
  <c r="AY75" i="71"/>
  <c r="BG75" i="71"/>
  <c r="AY77" i="71"/>
  <c r="BG77" i="71"/>
  <c r="BC78" i="71"/>
  <c r="AY79" i="71"/>
  <c r="BG79" i="71"/>
  <c r="AY81" i="71"/>
  <c r="BG81" i="71"/>
  <c r="BG83" i="71"/>
  <c r="AY85" i="71"/>
  <c r="BG85" i="71"/>
  <c r="BG87" i="71"/>
  <c r="BC88" i="71"/>
  <c r="AY89" i="71"/>
  <c r="BG89" i="71"/>
  <c r="BG91" i="71"/>
  <c r="BG93" i="71"/>
  <c r="BC94" i="71"/>
  <c r="AY95" i="71"/>
  <c r="BG95" i="71"/>
  <c r="AY97" i="71"/>
  <c r="BG97" i="71"/>
  <c r="AY99" i="71"/>
  <c r="BG99" i="71"/>
  <c r="BC100" i="71"/>
  <c r="AY101" i="71"/>
  <c r="BG101" i="71"/>
  <c r="AY103" i="71"/>
  <c r="BG103" i="71"/>
  <c r="AY105" i="71"/>
  <c r="BG105" i="71"/>
  <c r="BC106" i="71"/>
  <c r="AY107" i="71"/>
  <c r="BG107" i="71"/>
  <c r="AY109" i="71"/>
  <c r="BG109" i="71"/>
  <c r="BG111" i="71"/>
  <c r="AY113" i="71"/>
  <c r="BG113" i="71"/>
  <c r="BG115" i="71"/>
  <c r="BG117" i="71"/>
  <c r="BC118" i="71"/>
  <c r="BG119" i="71"/>
  <c r="AY121" i="71"/>
  <c r="BG121" i="71"/>
  <c r="AY123" i="71"/>
  <c r="BG123" i="71"/>
  <c r="AY125" i="71"/>
  <c r="BG125" i="71"/>
  <c r="AY127" i="71"/>
  <c r="BG127" i="71"/>
  <c r="AY129" i="71"/>
  <c r="BG129" i="71"/>
  <c r="AY131" i="71"/>
  <c r="BG131" i="71"/>
  <c r="AY133" i="71"/>
  <c r="BG133" i="71"/>
  <c r="BG135" i="71"/>
  <c r="BC136" i="71"/>
  <c r="AY137" i="71"/>
  <c r="BG137" i="71"/>
  <c r="AY139" i="71"/>
  <c r="BG139" i="71"/>
  <c r="AY141" i="71"/>
  <c r="BG141" i="71"/>
  <c r="BC142" i="71"/>
  <c r="AY143" i="71"/>
  <c r="BG143" i="71"/>
  <c r="AY145" i="71"/>
  <c r="BG145" i="71"/>
  <c r="BG147" i="71"/>
  <c r="AY149" i="71"/>
  <c r="BG149" i="71"/>
  <c r="AY151" i="71"/>
  <c r="BG151" i="71"/>
  <c r="BC152" i="71"/>
  <c r="AY153" i="71"/>
  <c r="BG153" i="71"/>
  <c r="BC154" i="71"/>
  <c r="AY155" i="71"/>
  <c r="BG155" i="71"/>
  <c r="AY157" i="71"/>
  <c r="BG157" i="71"/>
  <c r="AY159" i="71"/>
  <c r="BG159" i="71"/>
  <c r="AY161" i="71"/>
  <c r="BG161" i="71"/>
  <c r="AY163" i="71"/>
  <c r="BG163" i="71"/>
  <c r="BC164" i="71"/>
  <c r="AY165" i="71"/>
  <c r="BG165" i="71"/>
  <c r="BE166" i="71"/>
  <c r="BE170" i="71"/>
  <c r="BI171" i="71"/>
  <c r="BA173" i="71"/>
  <c r="BE174" i="71"/>
  <c r="BI175" i="71"/>
  <c r="BE178" i="71"/>
  <c r="BI179" i="71"/>
  <c r="BE182" i="71"/>
  <c r="BI183" i="71"/>
  <c r="BE186" i="71"/>
  <c r="BI187" i="71"/>
  <c r="BA189" i="71"/>
  <c r="BE190" i="71"/>
  <c r="BI191" i="71"/>
  <c r="BA193" i="71"/>
  <c r="BE194" i="71"/>
  <c r="BE198" i="71"/>
  <c r="BA201" i="71"/>
  <c r="BE202" i="71"/>
  <c r="BI203" i="71"/>
  <c r="BA205" i="71"/>
  <c r="BE206" i="71"/>
  <c r="BI207" i="71"/>
  <c r="BE210" i="71"/>
  <c r="BI211" i="71"/>
  <c r="BE214" i="71"/>
  <c r="BI215" i="71"/>
  <c r="BA217" i="71"/>
  <c r="BE218" i="71"/>
  <c r="BI219" i="71"/>
  <c r="BA221" i="71"/>
  <c r="BE222" i="71"/>
  <c r="BE226" i="71"/>
  <c r="BA229" i="71"/>
  <c r="BE230" i="71"/>
  <c r="BI231" i="71"/>
  <c r="BA233" i="71"/>
  <c r="BE234" i="71"/>
  <c r="BI235" i="71"/>
  <c r="BE238" i="71"/>
  <c r="BI239" i="71"/>
  <c r="BA241" i="71"/>
  <c r="BA245" i="71"/>
  <c r="BE250" i="71"/>
  <c r="BA253" i="71"/>
  <c r="BI255" i="71"/>
  <c r="BE258" i="71"/>
  <c r="BE266" i="71"/>
  <c r="BA269" i="71"/>
  <c r="BE274" i="71"/>
  <c r="BI277" i="71"/>
  <c r="BF281" i="71"/>
  <c r="AY285" i="71"/>
  <c r="BE288" i="71"/>
  <c r="BB305" i="71"/>
  <c r="BF314" i="71"/>
  <c r="BF324" i="71"/>
  <c r="BD362" i="71"/>
  <c r="BH371" i="71"/>
  <c r="AY387" i="71"/>
  <c r="BF410" i="71"/>
  <c r="BD466" i="71"/>
  <c r="G26" i="71" l="1"/>
  <c r="G27" i="71"/>
  <c r="K53" i="71"/>
  <c r="J53" i="71" s="1"/>
  <c r="P39" i="71"/>
  <c r="V51" i="71"/>
  <c r="X51" i="71" s="1"/>
  <c r="R45" i="71"/>
  <c r="V55" i="71"/>
  <c r="X55" i="71" s="1"/>
  <c r="Z45" i="71"/>
  <c r="S53" i="71"/>
  <c r="S61" i="71" s="1"/>
  <c r="V65" i="71" s="1"/>
  <c r="Z39" i="71"/>
  <c r="V49" i="71"/>
  <c r="X49" i="71" s="1"/>
  <c r="X41" i="71"/>
  <c r="B41" i="71"/>
  <c r="N53" i="71"/>
  <c r="J41" i="71"/>
  <c r="N55" i="71"/>
  <c r="J45" i="71"/>
  <c r="N51" i="71"/>
  <c r="B45" i="71"/>
  <c r="K49" i="71"/>
  <c r="J49" i="71" s="1"/>
  <c r="B39" i="71"/>
  <c r="V53" i="71"/>
  <c r="X53" i="71" s="1"/>
  <c r="Z41" i="71"/>
  <c r="K55" i="71"/>
  <c r="J55" i="71" s="1"/>
  <c r="J43" i="71"/>
  <c r="S49" i="71"/>
  <c r="R39" i="71"/>
  <c r="S55" i="71"/>
  <c r="R55" i="71" s="1"/>
  <c r="Z43" i="71"/>
  <c r="S51" i="71"/>
  <c r="R51" i="71" s="1"/>
  <c r="R43" i="71"/>
  <c r="K51" i="71"/>
  <c r="J51" i="71" s="1"/>
  <c r="B43" i="71"/>
  <c r="K32" i="71"/>
  <c r="AD45" i="71" s="1"/>
  <c r="AF45" i="71" s="1"/>
  <c r="K26" i="71"/>
  <c r="V43" i="71" s="1"/>
  <c r="X43" i="71" s="1"/>
  <c r="K27" i="71"/>
  <c r="AD43" i="71" s="1"/>
  <c r="AF43" i="71" s="1"/>
  <c r="K30" i="71"/>
  <c r="N45" i="71" s="1"/>
  <c r="P45" i="71" s="1"/>
  <c r="K31" i="71"/>
  <c r="F41" i="71" s="1"/>
  <c r="H41" i="71" s="1"/>
  <c r="K28" i="71"/>
  <c r="N43" i="71" s="1"/>
  <c r="P43" i="71" s="1"/>
  <c r="K29" i="71"/>
  <c r="F39" i="71" s="1"/>
  <c r="H39" i="71" s="1"/>
  <c r="K33" i="71"/>
  <c r="V45" i="71" s="1"/>
  <c r="X45" i="71" s="1"/>
  <c r="H19" i="71"/>
  <c r="H37" i="71" l="1"/>
  <c r="N49" i="71"/>
  <c r="P49" i="71" s="1"/>
  <c r="V59" i="71"/>
  <c r="X59" i="71" s="1"/>
  <c r="K59" i="71"/>
  <c r="J59" i="71" s="1"/>
  <c r="N61" i="71"/>
  <c r="P61" i="71" s="1"/>
  <c r="N59" i="71"/>
  <c r="P59" i="71" s="1"/>
  <c r="R53" i="71"/>
  <c r="V61" i="71"/>
  <c r="X61" i="71" s="1"/>
  <c r="X65" i="71"/>
  <c r="P55" i="71"/>
  <c r="R61" i="71"/>
  <c r="K61" i="71"/>
  <c r="P53" i="71"/>
  <c r="P51" i="71"/>
  <c r="S59" i="71"/>
  <c r="R59" i="71" s="1"/>
  <c r="R49" i="71"/>
  <c r="J65" i="71" l="1"/>
  <c r="S65" i="71"/>
  <c r="R65" i="71" s="1"/>
  <c r="H49" i="71"/>
  <c r="N65" i="71"/>
  <c r="J61" i="71"/>
  <c r="H59" i="71" s="1"/>
  <c r="U69" i="71" l="1"/>
  <c r="P65" i="71"/>
  <c r="H65" i="71" s="1"/>
  <c r="M69" i="71" l="1"/>
  <c r="H69" i="71" l="1"/>
  <c r="H72" i="71" s="1"/>
  <c r="H2" i="71" s="1"/>
</calcChain>
</file>

<file path=xl/sharedStrings.xml><?xml version="1.0" encoding="utf-8"?>
<sst xmlns="http://schemas.openxmlformats.org/spreadsheetml/2006/main" count="787" uniqueCount="618">
  <si>
    <t>pkt</t>
  </si>
  <si>
    <t>Francja</t>
  </si>
  <si>
    <t>Anglia</t>
  </si>
  <si>
    <t>Niemcy</t>
  </si>
  <si>
    <t>Hiszpania</t>
  </si>
  <si>
    <t>Portugalia</t>
  </si>
  <si>
    <t>Szwajcaria</t>
  </si>
  <si>
    <t>1/8 FINAŁU</t>
  </si>
  <si>
    <t>ĆWIERĆFINAŁY</t>
  </si>
  <si>
    <t>PÓŁFINAŁY</t>
  </si>
  <si>
    <t>FINAŁ</t>
  </si>
  <si>
    <t>konkurs II - typowanie generalnych rozstrzygnięć</t>
  </si>
  <si>
    <t>za każdą drużynę na swoim miejscu w grupie</t>
  </si>
  <si>
    <t>1 pkt</t>
  </si>
  <si>
    <t>za miejsca drużyn w drabince nie przyznaje się dodatkowych punktów</t>
  </si>
  <si>
    <t>za każdą drużynę w 1/8 finału</t>
  </si>
  <si>
    <t>2 pkt</t>
  </si>
  <si>
    <t>za każdą drużynę w ćwierćfinale</t>
  </si>
  <si>
    <t>4 pkt</t>
  </si>
  <si>
    <t>za każdą drużynę w półfinale</t>
  </si>
  <si>
    <t>6 pkt</t>
  </si>
  <si>
    <t>za każdą drużynę w finale</t>
  </si>
  <si>
    <t>8 pkt</t>
  </si>
  <si>
    <t>10 pkt</t>
  </si>
  <si>
    <t>druzyna</t>
  </si>
  <si>
    <t>1/8</t>
  </si>
  <si>
    <t>Grupa A</t>
  </si>
  <si>
    <t>Grupa B</t>
  </si>
  <si>
    <t>Grupa C</t>
  </si>
  <si>
    <t>Grupa D</t>
  </si>
  <si>
    <t>Grupa E</t>
  </si>
  <si>
    <t>Grupa F</t>
  </si>
  <si>
    <t>Chorwacja</t>
  </si>
  <si>
    <t>Belgia</t>
  </si>
  <si>
    <t>w przypadku tej samej liczby punktów, o wyższym miejscu w tabeli końcowej konkursu</t>
  </si>
  <si>
    <t>decyduje wieksza liczba zdobytów punktów w poźniejszej fazie mistrzostw</t>
  </si>
  <si>
    <t>1/4</t>
  </si>
  <si>
    <t>1/2</t>
  </si>
  <si>
    <t>fin</t>
  </si>
  <si>
    <t>:</t>
  </si>
  <si>
    <t>Holandia</t>
  </si>
  <si>
    <t>za mistrza swiata</t>
  </si>
  <si>
    <t>Szkocja</t>
  </si>
  <si>
    <t>Austria</t>
  </si>
  <si>
    <t>Turcja</t>
  </si>
  <si>
    <t>Czechy</t>
  </si>
  <si>
    <t>za każdą drużynę w 1/16 finału</t>
  </si>
  <si>
    <t>MW</t>
  </si>
  <si>
    <t>1/16</t>
  </si>
  <si>
    <t>1/16 FINAŁU</t>
  </si>
  <si>
    <t>Grupa G</t>
  </si>
  <si>
    <t>Grupa H</t>
  </si>
  <si>
    <t>Meksyk</t>
  </si>
  <si>
    <t>RPA</t>
  </si>
  <si>
    <t>Korea Płd.</t>
  </si>
  <si>
    <t>Kanada</t>
  </si>
  <si>
    <t>Qatar</t>
  </si>
  <si>
    <t>Brazylia</t>
  </si>
  <si>
    <t>Haiti</t>
  </si>
  <si>
    <t>Maroko</t>
  </si>
  <si>
    <t>Paragwaj</t>
  </si>
  <si>
    <t>USA</t>
  </si>
  <si>
    <t>Australia</t>
  </si>
  <si>
    <t>Ekwador</t>
  </si>
  <si>
    <t>Wybrzeże Kości Sł.</t>
  </si>
  <si>
    <t>Curacao</t>
  </si>
  <si>
    <t>Szwecja</t>
  </si>
  <si>
    <t>Tunezja</t>
  </si>
  <si>
    <t>Japonia</t>
  </si>
  <si>
    <t>Iran</t>
  </si>
  <si>
    <t>Egipt</t>
  </si>
  <si>
    <t>Nowa Zelandia</t>
  </si>
  <si>
    <t>Urugwaj</t>
  </si>
  <si>
    <t>Rep. Ziel. Przylądka</t>
  </si>
  <si>
    <t>Arabia Saudyjska</t>
  </si>
  <si>
    <t>Norwegia</t>
  </si>
  <si>
    <t>Senegal</t>
  </si>
  <si>
    <t>Irak</t>
  </si>
  <si>
    <t>Argentyna</t>
  </si>
  <si>
    <t>Jordania</t>
  </si>
  <si>
    <t>Algieria</t>
  </si>
  <si>
    <t>Kolumbia</t>
  </si>
  <si>
    <t>DR Kongo</t>
  </si>
  <si>
    <t>Uzbekistan</t>
  </si>
  <si>
    <t>Ghana</t>
  </si>
  <si>
    <t>Panama</t>
  </si>
  <si>
    <t>Bośnia i Hercegowina</t>
  </si>
  <si>
    <t>Grupa I</t>
  </si>
  <si>
    <t>Grupa J</t>
  </si>
  <si>
    <t>Grupa K</t>
  </si>
  <si>
    <t>Grupa L</t>
  </si>
  <si>
    <t>drużyny z 3go miejsca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</si>
  <si>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</si>
  <si>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</si>
  <si>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</si>
  <si>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</si>
  <si>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</si>
  <si>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</si>
  <si>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</si>
  <si>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</si>
  <si>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</si>
  <si>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</si>
  <si>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</si>
  <si>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</si>
  <si>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Punktów Ogółem</t>
  </si>
  <si>
    <t>ABCD</t>
  </si>
  <si>
    <t>ABCE</t>
  </si>
  <si>
    <t>ABCF</t>
  </si>
  <si>
    <t>ABCG</t>
  </si>
  <si>
    <t>ABCH</t>
  </si>
  <si>
    <t>TWOJE TYPY:</t>
  </si>
  <si>
    <t>ABCI</t>
  </si>
  <si>
    <t>ABCJ</t>
  </si>
  <si>
    <t>ABCK</t>
  </si>
  <si>
    <t>ABCL</t>
  </si>
  <si>
    <t>ABDE</t>
  </si>
  <si>
    <t>ABDF</t>
  </si>
  <si>
    <t>ABDG</t>
  </si>
  <si>
    <t>ABDH</t>
  </si>
  <si>
    <t>Punkty za faze grupowa</t>
  </si>
  <si>
    <t>Ustal, z których grup nie awansują cztery (4) zespoły z trzecich miejsc (zaznaczone u góry na pomarańczowo). Pozostałe 8 drużyn awansuje.</t>
  </si>
  <si>
    <t>ABDI</t>
  </si>
  <si>
    <t>ABDJ</t>
  </si>
  <si>
    <t>ABDK</t>
  </si>
  <si>
    <t>ABDL</t>
  </si>
  <si>
    <t>odpadną 4 drużyny:</t>
  </si>
  <si>
    <t>awansuje 8 drużyn:</t>
  </si>
  <si>
    <t>ABEF</t>
  </si>
  <si>
    <t>ABEG</t>
  </si>
  <si>
    <t>ABEH</t>
  </si>
  <si>
    <t>ABEI</t>
  </si>
  <si>
    <t>ABEJ</t>
  </si>
  <si>
    <t>ABEK</t>
  </si>
  <si>
    <t>ABEL</t>
  </si>
  <si>
    <t>ABFG</t>
  </si>
  <si>
    <t>ABFH</t>
  </si>
  <si>
    <t>ABFI</t>
  </si>
  <si>
    <t>ABFJ</t>
  </si>
  <si>
    <t>ABFK</t>
  </si>
  <si>
    <t>Punkty za fazę the last 32</t>
  </si>
  <si>
    <t>ABFL</t>
  </si>
  <si>
    <t>ABGH</t>
  </si>
  <si>
    <t>ABGI</t>
  </si>
  <si>
    <t>ABGJ</t>
  </si>
  <si>
    <t>ABGK</t>
  </si>
  <si>
    <t>ABGL</t>
  </si>
  <si>
    <t>ABHI</t>
  </si>
  <si>
    <t>ABHJ</t>
  </si>
  <si>
    <t>ABHK</t>
  </si>
  <si>
    <t>ABHL</t>
  </si>
  <si>
    <t>ABIJ</t>
  </si>
  <si>
    <t>ABIK</t>
  </si>
  <si>
    <t>Punkty za fazę the last 16</t>
  </si>
  <si>
    <t>ABIL</t>
  </si>
  <si>
    <t>ABJK</t>
  </si>
  <si>
    <t>ABJL</t>
  </si>
  <si>
    <t>ABKL</t>
  </si>
  <si>
    <t>ACDE</t>
  </si>
  <si>
    <t>ACDF</t>
  </si>
  <si>
    <t>ACDG</t>
  </si>
  <si>
    <t>ACDH</t>
  </si>
  <si>
    <t>ACDI</t>
  </si>
  <si>
    <t>ACDJ</t>
  </si>
  <si>
    <t>Punkty za ćwierćfinały</t>
  </si>
  <si>
    <t>ACDK</t>
  </si>
  <si>
    <t>ACDL</t>
  </si>
  <si>
    <t>ACEF</t>
  </si>
  <si>
    <t>ACEG</t>
  </si>
  <si>
    <t>ACEH</t>
  </si>
  <si>
    <t>ACEI</t>
  </si>
  <si>
    <t>Punkty za fazę półfinałową</t>
  </si>
  <si>
    <t>ACEJ</t>
  </si>
  <si>
    <t>ACEK</t>
  </si>
  <si>
    <t>ACEL</t>
  </si>
  <si>
    <t>ACFG</t>
  </si>
  <si>
    <t>Punkty za fazę finałową</t>
  </si>
  <si>
    <t>ACFH</t>
  </si>
  <si>
    <t>ACFI</t>
  </si>
  <si>
    <t>Punktów ogółem</t>
  </si>
  <si>
    <t>ACFJ</t>
  </si>
  <si>
    <t>ACFK</t>
  </si>
  <si>
    <t>ACFL</t>
  </si>
  <si>
    <t>ACGH</t>
  </si>
  <si>
    <t>ACGI</t>
  </si>
  <si>
    <t>ACGJ</t>
  </si>
  <si>
    <t>ACGK</t>
  </si>
  <si>
    <t>ACGL</t>
  </si>
  <si>
    <t>ACHI</t>
  </si>
  <si>
    <t>ACHJ</t>
  </si>
  <si>
    <t>ACHK</t>
  </si>
  <si>
    <t>ACHL</t>
  </si>
  <si>
    <t>ACIJ</t>
  </si>
  <si>
    <t>ACIK</t>
  </si>
  <si>
    <t>ACIL</t>
  </si>
  <si>
    <t>ACJK</t>
  </si>
  <si>
    <t>ACJL</t>
  </si>
  <si>
    <t>ACKL</t>
  </si>
  <si>
    <t>ADEF</t>
  </si>
  <si>
    <t>ADEG</t>
  </si>
  <si>
    <t>ADEH</t>
  </si>
  <si>
    <t>ADEI</t>
  </si>
  <si>
    <t>ADEJ</t>
  </si>
  <si>
    <t>ADEK</t>
  </si>
  <si>
    <t>ADEL</t>
  </si>
  <si>
    <t>ADFG</t>
  </si>
  <si>
    <t>ADFH</t>
  </si>
  <si>
    <t>ADFI</t>
  </si>
  <si>
    <t>ADFJ</t>
  </si>
  <si>
    <t>ADFK</t>
  </si>
  <si>
    <t>ADFL</t>
  </si>
  <si>
    <t>ADGH</t>
  </si>
  <si>
    <t>ADGI</t>
  </si>
  <si>
    <t>ADGJ</t>
  </si>
  <si>
    <t>ADGK</t>
  </si>
  <si>
    <t>ADGL</t>
  </si>
  <si>
    <t>ADHI</t>
  </si>
  <si>
    <t>ADHJ</t>
  </si>
  <si>
    <t>ADHK</t>
  </si>
  <si>
    <t>ADHL</t>
  </si>
  <si>
    <t>ADIJ</t>
  </si>
  <si>
    <t>ADIK</t>
  </si>
  <si>
    <t>ADIL</t>
  </si>
  <si>
    <t>ADJK</t>
  </si>
  <si>
    <t>ADJL</t>
  </si>
  <si>
    <t>ADKL</t>
  </si>
  <si>
    <t>AEFG</t>
  </si>
  <si>
    <t>AEFH</t>
  </si>
  <si>
    <t>AEFI</t>
  </si>
  <si>
    <t>AEFJ</t>
  </si>
  <si>
    <t>AEFK</t>
  </si>
  <si>
    <t>AEFL</t>
  </si>
  <si>
    <t>AEGH</t>
  </si>
  <si>
    <t>AEGI</t>
  </si>
  <si>
    <t>AEGJ</t>
  </si>
  <si>
    <t>AEGK</t>
  </si>
  <si>
    <t>AEGL</t>
  </si>
  <si>
    <t>AEHI</t>
  </si>
  <si>
    <t>AEHJ</t>
  </si>
  <si>
    <t>AEHK</t>
  </si>
  <si>
    <t>AEHL</t>
  </si>
  <si>
    <t>AEIJ</t>
  </si>
  <si>
    <t>AEIK</t>
  </si>
  <si>
    <t>AEIL</t>
  </si>
  <si>
    <t>AEJK</t>
  </si>
  <si>
    <t>AEJL</t>
  </si>
  <si>
    <t>AEKL</t>
  </si>
  <si>
    <t>AFGH</t>
  </si>
  <si>
    <t>AFGI</t>
  </si>
  <si>
    <t>AFGJ</t>
  </si>
  <si>
    <t>AFGK</t>
  </si>
  <si>
    <t>AFGL</t>
  </si>
  <si>
    <t>AFHI</t>
  </si>
  <si>
    <t>AFHJ</t>
  </si>
  <si>
    <t>AFHK</t>
  </si>
  <si>
    <t>AFHL</t>
  </si>
  <si>
    <t>AFIJ</t>
  </si>
  <si>
    <t>AFIK</t>
  </si>
  <si>
    <t>AFIL</t>
  </si>
  <si>
    <t>AFJK</t>
  </si>
  <si>
    <t>AFJL</t>
  </si>
  <si>
    <t>AFKL</t>
  </si>
  <si>
    <t>AGHI</t>
  </si>
  <si>
    <t>AGHJ</t>
  </si>
  <si>
    <t>AGHK</t>
  </si>
  <si>
    <t>AGHL</t>
  </si>
  <si>
    <t>AGIJ</t>
  </si>
  <si>
    <t>AGIK</t>
  </si>
  <si>
    <t>AGIL</t>
  </si>
  <si>
    <t>AGJK</t>
  </si>
  <si>
    <t>AGJL</t>
  </si>
  <si>
    <t>AGKL</t>
  </si>
  <si>
    <t>AHIJ</t>
  </si>
  <si>
    <t>AHIK</t>
  </si>
  <si>
    <t>AHIL</t>
  </si>
  <si>
    <t>AHJK</t>
  </si>
  <si>
    <t>AHJL</t>
  </si>
  <si>
    <t>AHKL</t>
  </si>
  <si>
    <t>AIJK</t>
  </si>
  <si>
    <t>AIJL</t>
  </si>
  <si>
    <t>AIKL</t>
  </si>
  <si>
    <t>AJKL</t>
  </si>
  <si>
    <t>BCDE</t>
  </si>
  <si>
    <t>BCDF</t>
  </si>
  <si>
    <t>BCDG</t>
  </si>
  <si>
    <t>BCDH</t>
  </si>
  <si>
    <t>BCDI</t>
  </si>
  <si>
    <t>BCDJ</t>
  </si>
  <si>
    <t>BCDK</t>
  </si>
  <si>
    <t>BCDL</t>
  </si>
  <si>
    <t>BCEF</t>
  </si>
  <si>
    <t>BCEG</t>
  </si>
  <si>
    <t>BCEH</t>
  </si>
  <si>
    <t>BCEI</t>
  </si>
  <si>
    <t>BCEJ</t>
  </si>
  <si>
    <t>BCEK</t>
  </si>
  <si>
    <t>BCEL</t>
  </si>
  <si>
    <t>BCFG</t>
  </si>
  <si>
    <t>BCFH</t>
  </si>
  <si>
    <t>BCFI</t>
  </si>
  <si>
    <t>BCFJ</t>
  </si>
  <si>
    <t>BCFK</t>
  </si>
  <si>
    <t>BCFL</t>
  </si>
  <si>
    <t>BCGH</t>
  </si>
  <si>
    <t>BCGI</t>
  </si>
  <si>
    <t>BCGJ</t>
  </si>
  <si>
    <t>BCGK</t>
  </si>
  <si>
    <t>BCGL</t>
  </si>
  <si>
    <t>BCHI</t>
  </si>
  <si>
    <t>BCHJ</t>
  </si>
  <si>
    <t>BCHK</t>
  </si>
  <si>
    <t>BCHL</t>
  </si>
  <si>
    <t>BCIJ</t>
  </si>
  <si>
    <t>BCIK</t>
  </si>
  <si>
    <t>BCIL</t>
  </si>
  <si>
    <t>BCJK</t>
  </si>
  <si>
    <t>BCJL</t>
  </si>
  <si>
    <t>BCKL</t>
  </si>
  <si>
    <t>BDEF</t>
  </si>
  <si>
    <t>BDEG</t>
  </si>
  <si>
    <t>BDEH</t>
  </si>
  <si>
    <t>BDEI</t>
  </si>
  <si>
    <t>BDEJ</t>
  </si>
  <si>
    <t>BDEK</t>
  </si>
  <si>
    <t>BDEL</t>
  </si>
  <si>
    <t>BDFG</t>
  </si>
  <si>
    <t>BDFH</t>
  </si>
  <si>
    <t>BDFI</t>
  </si>
  <si>
    <t>BDFJ</t>
  </si>
  <si>
    <t>BDFK</t>
  </si>
  <si>
    <t>BDFL</t>
  </si>
  <si>
    <t>BDGH</t>
  </si>
  <si>
    <t>BDGI</t>
  </si>
  <si>
    <t>BDGJ</t>
  </si>
  <si>
    <t>BDGK</t>
  </si>
  <si>
    <t>BDGL</t>
  </si>
  <si>
    <t>BDHI</t>
  </si>
  <si>
    <t>BDHJ</t>
  </si>
  <si>
    <t>BDHK</t>
  </si>
  <si>
    <t>BDHL</t>
  </si>
  <si>
    <t>BDIJ</t>
  </si>
  <si>
    <t>BDIK</t>
  </si>
  <si>
    <t>BDIL</t>
  </si>
  <si>
    <t>BDJK</t>
  </si>
  <si>
    <t>BDJL</t>
  </si>
  <si>
    <t>BDKL</t>
  </si>
  <si>
    <t>BEFG</t>
  </si>
  <si>
    <t>BEFH</t>
  </si>
  <si>
    <t>BEFI</t>
  </si>
  <si>
    <t>BEFJ</t>
  </si>
  <si>
    <t>BEFK</t>
  </si>
  <si>
    <t>BEFL</t>
  </si>
  <si>
    <t>BEGH</t>
  </si>
  <si>
    <t>BEGI</t>
  </si>
  <si>
    <t>BEGJ</t>
  </si>
  <si>
    <t>BEGK</t>
  </si>
  <si>
    <t>BEGL</t>
  </si>
  <si>
    <t>BEHI</t>
  </si>
  <si>
    <t>BEHJ</t>
  </si>
  <si>
    <t>BEHK</t>
  </si>
  <si>
    <t>BEHL</t>
  </si>
  <si>
    <t>BEIJ</t>
  </si>
  <si>
    <t>BEIK</t>
  </si>
  <si>
    <t>BEIL</t>
  </si>
  <si>
    <t>BEJK</t>
  </si>
  <si>
    <t>BEJL</t>
  </si>
  <si>
    <t>BEKL</t>
  </si>
  <si>
    <t>BFGH</t>
  </si>
  <si>
    <t>BFGI</t>
  </si>
  <si>
    <t>BFGJ</t>
  </si>
  <si>
    <t>BFGK</t>
  </si>
  <si>
    <t>BFGL</t>
  </si>
  <si>
    <t>BFHI</t>
  </si>
  <si>
    <t>BFHJ</t>
  </si>
  <si>
    <t>BFHK</t>
  </si>
  <si>
    <t>BFHL</t>
  </si>
  <si>
    <t>BFIJ</t>
  </si>
  <si>
    <t>BFIK</t>
  </si>
  <si>
    <t>BFIL</t>
  </si>
  <si>
    <t>BFJK</t>
  </si>
  <si>
    <t>BFJL</t>
  </si>
  <si>
    <t>BFKL</t>
  </si>
  <si>
    <t>BGHI</t>
  </si>
  <si>
    <t>BGHJ</t>
  </si>
  <si>
    <t>BGHK</t>
  </si>
  <si>
    <t>BGHL</t>
  </si>
  <si>
    <t>BGIJ</t>
  </si>
  <si>
    <t>BGIK</t>
  </si>
  <si>
    <t>BGIL</t>
  </si>
  <si>
    <t>BGJK</t>
  </si>
  <si>
    <t>BGJL</t>
  </si>
  <si>
    <t>BGKL</t>
  </si>
  <si>
    <t>BHIJ</t>
  </si>
  <si>
    <t>BHIK</t>
  </si>
  <si>
    <t>BHIL</t>
  </si>
  <si>
    <t>BHJK</t>
  </si>
  <si>
    <t>BHJL</t>
  </si>
  <si>
    <t>BHKL</t>
  </si>
  <si>
    <t>BIJK</t>
  </si>
  <si>
    <t>BIJL</t>
  </si>
  <si>
    <t>BIKL</t>
  </si>
  <si>
    <t>BJKL</t>
  </si>
  <si>
    <t>CDEF</t>
  </si>
  <si>
    <t>CDEG</t>
  </si>
  <si>
    <t>CDEH</t>
  </si>
  <si>
    <t>CDEI</t>
  </si>
  <si>
    <t>CDEJ</t>
  </si>
  <si>
    <t>CDEK</t>
  </si>
  <si>
    <t>CDEL</t>
  </si>
  <si>
    <t>CDFG</t>
  </si>
  <si>
    <t>CDFH</t>
  </si>
  <si>
    <t>CDFI</t>
  </si>
  <si>
    <t>CDFJ</t>
  </si>
  <si>
    <t>CDFK</t>
  </si>
  <si>
    <t>CDFL</t>
  </si>
  <si>
    <t>CDGH</t>
  </si>
  <si>
    <t>CDGI</t>
  </si>
  <si>
    <t>CDGJ</t>
  </si>
  <si>
    <t>CDGK</t>
  </si>
  <si>
    <t>CDGL</t>
  </si>
  <si>
    <t>CDHI</t>
  </si>
  <si>
    <t>CDHJ</t>
  </si>
  <si>
    <t>CDHK</t>
  </si>
  <si>
    <t>CDHL</t>
  </si>
  <si>
    <t>CDIJ</t>
  </si>
  <si>
    <t>CDIK</t>
  </si>
  <si>
    <t>CDIL</t>
  </si>
  <si>
    <t>CDJK</t>
  </si>
  <si>
    <t>CDJL</t>
  </si>
  <si>
    <t>CDKL</t>
  </si>
  <si>
    <t>CEFG</t>
  </si>
  <si>
    <t>CEFH</t>
  </si>
  <si>
    <t>CEFI</t>
  </si>
  <si>
    <t>CEFJ</t>
  </si>
  <si>
    <t>CEFK</t>
  </si>
  <si>
    <t>CEFL</t>
  </si>
  <si>
    <t>CEGH</t>
  </si>
  <si>
    <t>CEGI</t>
  </si>
  <si>
    <t>CEGJ</t>
  </si>
  <si>
    <t>CEGK</t>
  </si>
  <si>
    <t>CEGL</t>
  </si>
  <si>
    <t>CEHI</t>
  </si>
  <si>
    <t>CEHJ</t>
  </si>
  <si>
    <t>CEHK</t>
  </si>
  <si>
    <t>CEHL</t>
  </si>
  <si>
    <t>CEIJ</t>
  </si>
  <si>
    <t>CEIK</t>
  </si>
  <si>
    <t>CEIL</t>
  </si>
  <si>
    <t>CEJK</t>
  </si>
  <si>
    <t>CEJL</t>
  </si>
  <si>
    <t>CEKL</t>
  </si>
  <si>
    <t>CFGH</t>
  </si>
  <si>
    <t>CFGI</t>
  </si>
  <si>
    <t>CFGJ</t>
  </si>
  <si>
    <t>CFGK</t>
  </si>
  <si>
    <t>CFGL</t>
  </si>
  <si>
    <t>CFHI</t>
  </si>
  <si>
    <t>CFHJ</t>
  </si>
  <si>
    <t>CFHK</t>
  </si>
  <si>
    <t>CFHL</t>
  </si>
  <si>
    <t>CFIJ</t>
  </si>
  <si>
    <t>CFIK</t>
  </si>
  <si>
    <t>CFIL</t>
  </si>
  <si>
    <t>CFJK</t>
  </si>
  <si>
    <t>CFJL</t>
  </si>
  <si>
    <t>CFKL</t>
  </si>
  <si>
    <t>CGHI</t>
  </si>
  <si>
    <t>CGHJ</t>
  </si>
  <si>
    <t>CGHK</t>
  </si>
  <si>
    <t>CGHL</t>
  </si>
  <si>
    <t>CGIJ</t>
  </si>
  <si>
    <t>CGIK</t>
  </si>
  <si>
    <t>CGIL</t>
  </si>
  <si>
    <t>CGJK</t>
  </si>
  <si>
    <t>CGJL</t>
  </si>
  <si>
    <t>CGKL</t>
  </si>
  <si>
    <t>CHIJ</t>
  </si>
  <si>
    <t>CHIK</t>
  </si>
  <si>
    <t>CHIL</t>
  </si>
  <si>
    <t>CHJK</t>
  </si>
  <si>
    <t>CHJL</t>
  </si>
  <si>
    <t>CHKL</t>
  </si>
  <si>
    <t>CIJK</t>
  </si>
  <si>
    <t>CIJL</t>
  </si>
  <si>
    <t>CIKL</t>
  </si>
  <si>
    <t>CJKL</t>
  </si>
  <si>
    <t>DEFG</t>
  </si>
  <si>
    <t>DEFH</t>
  </si>
  <si>
    <t>DEFI</t>
  </si>
  <si>
    <t>DEFJ</t>
  </si>
  <si>
    <t>DEFK</t>
  </si>
  <si>
    <t>DEFL</t>
  </si>
  <si>
    <t>DEGH</t>
  </si>
  <si>
    <t>DEGI</t>
  </si>
  <si>
    <t>DEGJ</t>
  </si>
  <si>
    <t>DEGK</t>
  </si>
  <si>
    <t>DEGL</t>
  </si>
  <si>
    <t>DEHI</t>
  </si>
  <si>
    <t>DEHJ</t>
  </si>
  <si>
    <t>DEHK</t>
  </si>
  <si>
    <t>DEHL</t>
  </si>
  <si>
    <t>DEIJ</t>
  </si>
  <si>
    <t>DEIK</t>
  </si>
  <si>
    <t>DEIL</t>
  </si>
  <si>
    <t>DEJK</t>
  </si>
  <si>
    <t>DEJL</t>
  </si>
  <si>
    <t>DEKL</t>
  </si>
  <si>
    <t>DFGH</t>
  </si>
  <si>
    <t>DFGI</t>
  </si>
  <si>
    <t>DFGJ</t>
  </si>
  <si>
    <t>DFGK</t>
  </si>
  <si>
    <t>DFGL</t>
  </si>
  <si>
    <t>DFHI</t>
  </si>
  <si>
    <t>DFHJ</t>
  </si>
  <si>
    <t>DFHK</t>
  </si>
  <si>
    <t>DFHL</t>
  </si>
  <si>
    <t>DFIJ</t>
  </si>
  <si>
    <t>DFIK</t>
  </si>
  <si>
    <t>DFIL</t>
  </si>
  <si>
    <t>DFJK</t>
  </si>
  <si>
    <t>DFJL</t>
  </si>
  <si>
    <t>DFKL</t>
  </si>
  <si>
    <t>DGHI</t>
  </si>
  <si>
    <t>DGHJ</t>
  </si>
  <si>
    <t>DGHK</t>
  </si>
  <si>
    <t>DGHL</t>
  </si>
  <si>
    <t>DGIJ</t>
  </si>
  <si>
    <t>DGIK</t>
  </si>
  <si>
    <t>DGIL</t>
  </si>
  <si>
    <t>DGJK</t>
  </si>
  <si>
    <t>DGJL</t>
  </si>
  <si>
    <t>DGKL</t>
  </si>
  <si>
    <t>DHIJ</t>
  </si>
  <si>
    <t>DHIK</t>
  </si>
  <si>
    <t>DHIL</t>
  </si>
  <si>
    <t>DHJK</t>
  </si>
  <si>
    <t>DHJL</t>
  </si>
  <si>
    <t>DHKL</t>
  </si>
  <si>
    <t>DIJK</t>
  </si>
  <si>
    <t>DIJL</t>
  </si>
  <si>
    <t>DIKL</t>
  </si>
  <si>
    <t>DJKL</t>
  </si>
  <si>
    <t>EFGH</t>
  </si>
  <si>
    <t>EFGI</t>
  </si>
  <si>
    <t>EFGJ</t>
  </si>
  <si>
    <t>EFGK</t>
  </si>
  <si>
    <t>EFGL</t>
  </si>
  <si>
    <t>EFHI</t>
  </si>
  <si>
    <t>EFHJ</t>
  </si>
  <si>
    <t>EFHK</t>
  </si>
  <si>
    <t>EFHL</t>
  </si>
  <si>
    <t>EFIJ</t>
  </si>
  <si>
    <t>EFIK</t>
  </si>
  <si>
    <t>EFIL</t>
  </si>
  <si>
    <t>EFJK</t>
  </si>
  <si>
    <t>EFJL</t>
  </si>
  <si>
    <t>EFKL</t>
  </si>
  <si>
    <t>EGHI</t>
  </si>
  <si>
    <t>EGHJ</t>
  </si>
  <si>
    <t>EGHK</t>
  </si>
  <si>
    <t>EGHL</t>
  </si>
  <si>
    <t>EGIJ</t>
  </si>
  <si>
    <t>EGIK</t>
  </si>
  <si>
    <t>EGIL</t>
  </si>
  <si>
    <t>EGJK</t>
  </si>
  <si>
    <t>EGJL</t>
  </si>
  <si>
    <t>EGKL</t>
  </si>
  <si>
    <t>EHIJ</t>
  </si>
  <si>
    <t>EHIK</t>
  </si>
  <si>
    <t>EHIL</t>
  </si>
  <si>
    <t>EHJK</t>
  </si>
  <si>
    <t>EHJL</t>
  </si>
  <si>
    <t>EHKL</t>
  </si>
  <si>
    <t>EIJK</t>
  </si>
  <si>
    <t>EIJL</t>
  </si>
  <si>
    <t>EIKL</t>
  </si>
  <si>
    <t>EJKL</t>
  </si>
  <si>
    <t>FGHI</t>
  </si>
  <si>
    <t>FGHJ</t>
  </si>
  <si>
    <t>FGHK</t>
  </si>
  <si>
    <t>FGHL</t>
  </si>
  <si>
    <t>FGIJ</t>
  </si>
  <si>
    <t>FGIK</t>
  </si>
  <si>
    <t>FGIL</t>
  </si>
  <si>
    <t>FGJK</t>
  </si>
  <si>
    <t>FGJL</t>
  </si>
  <si>
    <t>FGKL</t>
  </si>
  <si>
    <t>FHIJ</t>
  </si>
  <si>
    <t>FHIK</t>
  </si>
  <si>
    <t>FHIL</t>
  </si>
  <si>
    <t>FHJK</t>
  </si>
  <si>
    <t>FHJL</t>
  </si>
  <si>
    <t>FHKL</t>
  </si>
  <si>
    <t>FIJK</t>
  </si>
  <si>
    <t>FIJL</t>
  </si>
  <si>
    <t>FIKL</t>
  </si>
  <si>
    <t>FJKL</t>
  </si>
  <si>
    <t>GHIJ</t>
  </si>
  <si>
    <t>GHIK</t>
  </si>
  <si>
    <t>GHIL</t>
  </si>
  <si>
    <t>GHJK</t>
  </si>
  <si>
    <t>GHJL</t>
  </si>
  <si>
    <t>GHKL</t>
  </si>
  <si>
    <t>GIJK</t>
  </si>
  <si>
    <t>GIJL</t>
  </si>
  <si>
    <t>GIKL</t>
  </si>
  <si>
    <t>GJKL</t>
  </si>
  <si>
    <t>HIJK</t>
  </si>
  <si>
    <t>HIJL</t>
  </si>
  <si>
    <t>HIKL</t>
  </si>
  <si>
    <t>HJKL</t>
  </si>
  <si>
    <t>IJKL</t>
  </si>
  <si>
    <t>12 pkt</t>
  </si>
  <si>
    <t xml:space="preserve">1. Faza grupowa: w żółtych polach, przy kazdym z krajów wstaw cyfry od 1-4 ustalając kolejność w grupach. </t>
  </si>
  <si>
    <t>2. Kliknij na granatowe pole "ABCD" i wybierz swój wariant z listy rozwijanej</t>
  </si>
  <si>
    <t>3. Runda pucharowa. Wstaw 1 lub 2 w żóltych polach ustalając drużynę która przechodzi do kolejnej rundy</t>
  </si>
  <si>
    <t>4. Podaj wynik meczu finałowego:</t>
  </si>
  <si>
    <t>wstaw swoje imię</t>
  </si>
  <si>
    <t>Twój typ na mistrza świata: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</si>
</sst>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0"/>
      <name val="Arial CE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sz val="10"/>
      <color theme="1"/>
      <name val="Czcionka tekstu podstawowego"/>
      <family val="2"/>
      <charset val="238"/>
    </font>
    <font>
      <sz val="10"/>
      <color theme="0"/>
      <name val="Czcionka tekstu podstawowego"/>
      <family val="2"/>
      <charset val="238"/>
    </font>
    <font>
      <sz val="10"/>
      <color rgb="FF3F3F76"/>
      <name val="Czcionka tekstu podstawowego"/>
      <family val="2"/>
      <charset val="238"/>
    </font>
    <font>
      <b/>
      <sz val="10"/>
      <color rgb="FF3F3F3F"/>
      <name val="Czcionka tekstu podstawowego"/>
      <family val="2"/>
      <charset val="238"/>
    </font>
    <font>
      <sz val="10"/>
      <color rgb="FF006100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0"/>
      <color rgb="FFFA7D00"/>
      <name val="Czcionka tekstu podstawowego"/>
      <family val="2"/>
      <charset val="238"/>
    </font>
    <font>
      <b/>
      <sz val="10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0"/>
      <color rgb="FF9C6500"/>
      <name val="Czcionka tekstu podstawowego"/>
      <family val="2"/>
      <charset val="238"/>
    </font>
    <font>
      <b/>
      <sz val="10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0"/>
      <color theme="1"/>
      <name val="Czcionka tekstu podstawowego"/>
      <family val="2"/>
      <charset val="238"/>
    </font>
    <font>
      <i/>
      <sz val="10"/>
      <color rgb="FF7F7F7F"/>
      <name val="Czcionka tekstu podstawowego"/>
      <family val="2"/>
      <charset val="238"/>
    </font>
    <font>
      <sz val="10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0"/>
      <color rgb="FF9C0006"/>
      <name val="Czcionka tekstu podstawowego"/>
      <family val="2"/>
      <charset val="238"/>
    </font>
    <font>
      <b/>
      <sz val="14"/>
      <color rgb="FFFFFFFF"/>
      <name val="Arial CE"/>
      <family val="2"/>
      <charset val="238"/>
    </font>
    <font>
      <sz val="10"/>
      <color theme="0"/>
      <name val="Arial CE"/>
      <charset val="238"/>
    </font>
    <font>
      <b/>
      <sz val="10"/>
      <color theme="0"/>
      <name val="Arial CE"/>
      <charset val="238"/>
    </font>
    <font>
      <b/>
      <sz val="10"/>
      <color rgb="FFFFFFFF"/>
      <name val="Arial CE"/>
      <family val="2"/>
      <charset val="238"/>
    </font>
    <font>
      <b/>
      <sz val="10"/>
      <color theme="0"/>
      <name val="Arial CE"/>
      <family val="2"/>
      <charset val="238"/>
    </font>
    <font>
      <sz val="10"/>
      <name val="Arial"/>
      <family val="2"/>
      <charset val="238"/>
    </font>
    <font>
      <sz val="10"/>
      <color rgb="FFFFFFFF"/>
      <name val="Arial CE"/>
      <family val="2"/>
      <charset val="238"/>
    </font>
    <font>
      <sz val="10"/>
      <color theme="0"/>
      <name val="Arial CE"/>
      <family val="2"/>
      <charset val="238"/>
    </font>
    <font>
      <b/>
      <sz val="11"/>
      <color theme="0"/>
      <name val="Arial CE"/>
      <family val="2"/>
      <charset val="238"/>
    </font>
    <font>
      <b/>
      <sz val="11"/>
      <name val="Arial CE"/>
      <family val="2"/>
      <charset val="238"/>
    </font>
    <font>
      <b/>
      <sz val="11"/>
      <color rgb="FFFFFFFF"/>
      <name val="Arial CE"/>
      <family val="2"/>
      <charset val="238"/>
    </font>
    <font>
      <b/>
      <sz val="20"/>
      <name val="Arial CE"/>
      <charset val="238"/>
    </font>
    <font>
      <sz val="20"/>
      <name val="Arial CE"/>
      <charset val="238"/>
    </font>
    <font>
      <b/>
      <sz val="11"/>
      <color theme="1"/>
      <name val="Arial CE"/>
      <family val="2"/>
      <charset val="238"/>
    </font>
    <font>
      <b/>
      <sz val="10"/>
      <color theme="1"/>
      <name val="Arial CE"/>
      <family val="2"/>
      <charset val="238"/>
    </font>
    <font>
      <sz val="11"/>
      <color theme="1"/>
      <name val="Calibri"/>
      <family val="2"/>
      <scheme val="minor"/>
    </font>
    <font>
      <b/>
      <sz val="10"/>
      <name val="Arial CE"/>
      <charset val="238"/>
    </font>
    <font>
      <b/>
      <sz val="14"/>
      <color theme="0"/>
      <name val="Arial CE"/>
      <family val="2"/>
      <charset val="238"/>
    </font>
    <font>
      <b/>
      <sz val="14"/>
      <name val="Arial CE"/>
      <family val="2"/>
      <charset val="238"/>
    </font>
    <font>
      <b/>
      <sz val="12"/>
      <name val="Arial CE"/>
      <family val="2"/>
      <charset val="238"/>
    </font>
    <font>
      <sz val="12"/>
      <name val="Arial CE"/>
      <family val="2"/>
      <charset val="238"/>
    </font>
    <font>
      <sz val="12"/>
      <name val="Arial"/>
      <family val="2"/>
      <charset val="238"/>
    </font>
    <font>
      <b/>
      <sz val="8"/>
      <name val="Arial CE"/>
    </font>
    <font>
      <b/>
      <sz val="12"/>
      <color theme="0"/>
      <name val="Arial CE"/>
      <family val="2"/>
      <charset val="238"/>
    </font>
    <font>
      <b/>
      <sz val="18"/>
      <color theme="0"/>
      <name val="Arial CE"/>
      <charset val="238"/>
    </font>
    <font>
      <b/>
      <sz val="24"/>
      <color theme="0"/>
      <name val="Arial CE"/>
      <family val="2"/>
      <charset val="238"/>
    </font>
    <font>
      <b/>
      <sz val="12"/>
      <color rgb="FFFFFFFF"/>
      <name val="Arial CE"/>
      <family val="2"/>
      <charset val="238"/>
    </font>
    <font>
      <b/>
      <sz val="16"/>
      <color rgb="FFFFFFFF"/>
      <name val="Arial CE"/>
      <family val="2"/>
      <charset val="238"/>
    </font>
    <font>
      <b/>
      <sz val="14"/>
      <color theme="1"/>
      <name val="Arial CE"/>
      <family val="2"/>
      <charset val="238"/>
    </font>
    <font>
      <b/>
      <sz val="11"/>
      <color rgb="FFFFFFFF"/>
      <name val="Arial CE"/>
      <charset val="238"/>
    </font>
    <font>
      <sz val="11"/>
      <name val="Arial CE"/>
      <charset val="238"/>
    </font>
    <font>
      <b/>
      <sz val="11"/>
      <name val="Arial CE"/>
      <charset val="238"/>
    </font>
    <font>
      <b/>
      <sz val="11"/>
      <color theme="0"/>
      <name val="Arial CE"/>
      <charset val="238"/>
    </font>
    <font>
      <b/>
      <sz val="20"/>
      <color rgb="FFFFFFFF"/>
      <name val="Arial CE"/>
      <charset val="238"/>
    </font>
    <font>
      <b/>
      <sz val="12"/>
      <color theme="1"/>
      <name val="Arial CE"/>
      <family val="2"/>
      <charset val="238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5" applyNumberFormat="0" applyAlignment="0" applyProtection="0"/>
    <xf numFmtId="0" fontId="6" fillId="27" borderId="6" applyNumberFormat="0" applyAlignment="0" applyProtection="0"/>
    <xf numFmtId="0" fontId="7" fillId="28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29" borderId="8" applyNumberFormat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31" borderId="13" applyNumberFormat="0" applyFont="0" applyAlignment="0" applyProtection="0"/>
    <xf numFmtId="0" fontId="21" fillId="32" borderId="0" applyNumberFormat="0" applyBorder="0" applyAlignment="0" applyProtection="0"/>
    <xf numFmtId="0" fontId="27" fillId="0" borderId="0"/>
    <xf numFmtId="0" fontId="37" fillId="0" borderId="0"/>
  </cellStyleXfs>
  <cellXfs count="107">
    <xf numFmtId="0" fontId="0" fillId="0" borderId="0" xfId="0"/>
    <xf numFmtId="0" fontId="1" fillId="33" borderId="0" xfId="0" applyFont="1" applyFill="1"/>
    <xf numFmtId="0" fontId="23" fillId="33" borderId="0" xfId="0" applyFont="1" applyFill="1"/>
    <xf numFmtId="0" fontId="24" fillId="33" borderId="0" xfId="0" applyFont="1" applyFill="1" applyAlignment="1">
      <alignment horizontal="left"/>
    </xf>
    <xf numFmtId="0" fontId="25" fillId="33" borderId="0" xfId="0" applyFont="1" applyFill="1" applyAlignment="1">
      <alignment horizontal="left"/>
    </xf>
    <xf numFmtId="0" fontId="26" fillId="34" borderId="2" xfId="0" applyFont="1" applyFill="1" applyBorder="1" applyAlignment="1" applyProtection="1">
      <alignment horizontal="left"/>
      <protection locked="0"/>
    </xf>
    <xf numFmtId="0" fontId="25" fillId="33" borderId="0" xfId="0" applyFont="1" applyFill="1" applyAlignment="1">
      <alignment horizontal="right"/>
    </xf>
    <xf numFmtId="0" fontId="2" fillId="33" borderId="0" xfId="0" applyFont="1" applyFill="1"/>
    <xf numFmtId="0" fontId="26" fillId="36" borderId="2" xfId="0" applyFont="1" applyFill="1" applyBorder="1" applyAlignment="1" applyProtection="1">
      <alignment horizontal="left"/>
      <protection locked="0"/>
    </xf>
    <xf numFmtId="0" fontId="25" fillId="33" borderId="0" xfId="0" applyFont="1" applyFill="1" applyAlignment="1">
      <alignment horizontal="center"/>
    </xf>
    <xf numFmtId="0" fontId="28" fillId="33" borderId="0" xfId="0" applyFont="1" applyFill="1"/>
    <xf numFmtId="49" fontId="28" fillId="33" borderId="0" xfId="0" applyNumberFormat="1" applyFont="1" applyFill="1" applyAlignment="1">
      <alignment horizontal="center"/>
    </xf>
    <xf numFmtId="0" fontId="25" fillId="33" borderId="0" xfId="0" applyFont="1" applyFill="1" applyAlignment="1">
      <alignment horizontal="centerContinuous"/>
    </xf>
    <xf numFmtId="0" fontId="1" fillId="33" borderId="0" xfId="0" applyFont="1" applyFill="1" applyAlignment="1">
      <alignment horizontal="center"/>
    </xf>
    <xf numFmtId="0" fontId="25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left" vertical="center"/>
    </xf>
    <xf numFmtId="0" fontId="29" fillId="34" borderId="4" xfId="0" applyFont="1" applyFill="1" applyBorder="1"/>
    <xf numFmtId="0" fontId="29" fillId="34" borderId="14" xfId="0" applyFont="1" applyFill="1" applyBorder="1"/>
    <xf numFmtId="0" fontId="2" fillId="38" borderId="1" xfId="0" applyFont="1" applyFill="1" applyBorder="1" applyAlignment="1" applyProtection="1">
      <alignment horizontal="center"/>
      <protection locked="0"/>
    </xf>
    <xf numFmtId="0" fontId="2" fillId="38" borderId="3" xfId="0" applyFont="1" applyFill="1" applyBorder="1" applyAlignment="1" applyProtection="1">
      <alignment horizontal="center" vertical="center"/>
      <protection locked="0"/>
    </xf>
    <xf numFmtId="0" fontId="26" fillId="35" borderId="1" xfId="0" applyFont="1" applyFill="1" applyBorder="1" applyAlignment="1" applyProtection="1">
      <alignment horizontal="center" vertical="center"/>
      <protection locked="0"/>
    </xf>
    <xf numFmtId="0" fontId="26" fillId="37" borderId="1" xfId="0" applyFont="1" applyFill="1" applyBorder="1" applyAlignment="1" applyProtection="1">
      <alignment horizontal="center" vertical="center"/>
      <protection locked="0"/>
    </xf>
    <xf numFmtId="0" fontId="2" fillId="38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 applyProtection="1">
      <alignment horizontal="center" vertical="center"/>
      <protection locked="0"/>
    </xf>
    <xf numFmtId="0" fontId="30" fillId="35" borderId="1" xfId="0" applyFont="1" applyFill="1" applyBorder="1" applyAlignment="1" applyProtection="1">
      <alignment horizontal="center" vertical="center"/>
      <protection locked="0"/>
    </xf>
    <xf numFmtId="0" fontId="32" fillId="33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 vertical="center"/>
    </xf>
    <xf numFmtId="0" fontId="23" fillId="40" borderId="0" xfId="0" applyFont="1" applyFill="1"/>
    <xf numFmtId="0" fontId="24" fillId="40" borderId="0" xfId="0" applyFont="1" applyFill="1"/>
    <xf numFmtId="0" fontId="35" fillId="35" borderId="1" xfId="0" applyFont="1" applyFill="1" applyBorder="1" applyAlignment="1" applyProtection="1">
      <alignment horizontal="center" vertical="center"/>
      <protection locked="0"/>
    </xf>
    <xf numFmtId="0" fontId="35" fillId="37" borderId="1" xfId="0" applyFont="1" applyFill="1" applyBorder="1" applyAlignment="1" applyProtection="1">
      <alignment horizontal="center" vertical="center"/>
      <protection locked="0"/>
    </xf>
    <xf numFmtId="0" fontId="36" fillId="34" borderId="1" xfId="0" applyFont="1" applyFill="1" applyBorder="1" applyAlignment="1" applyProtection="1">
      <alignment horizontal="left"/>
      <protection locked="0"/>
    </xf>
    <xf numFmtId="0" fontId="36" fillId="38" borderId="1" xfId="0" applyFont="1" applyFill="1" applyBorder="1" applyAlignment="1" applyProtection="1">
      <alignment horizontal="center"/>
      <protection locked="0"/>
    </xf>
    <xf numFmtId="0" fontId="30" fillId="41" borderId="1" xfId="0" applyFont="1" applyFill="1" applyBorder="1" applyAlignment="1" applyProtection="1">
      <alignment horizontal="center" vertical="center"/>
      <protection locked="0"/>
    </xf>
    <xf numFmtId="0" fontId="26" fillId="41" borderId="1" xfId="0" applyFont="1" applyFill="1" applyBorder="1" applyAlignment="1" applyProtection="1">
      <alignment horizontal="left"/>
      <protection locked="0"/>
    </xf>
    <xf numFmtId="0" fontId="44" fillId="42" borderId="1" xfId="44" applyFont="1" applyFill="1" applyBorder="1" applyAlignment="1" applyProtection="1">
      <alignment horizontal="center"/>
      <protection locked="0"/>
    </xf>
    <xf numFmtId="0" fontId="50" fillId="42" borderId="0" xfId="0" applyFont="1" applyFill="1" applyAlignment="1" applyProtection="1">
      <alignment horizontal="centerContinuous"/>
      <protection locked="0"/>
    </xf>
    <xf numFmtId="0" fontId="25" fillId="33" borderId="0" xfId="0" applyFont="1" applyFill="1" applyAlignment="1" applyProtection="1">
      <alignment horizontal="centerContinuous"/>
      <protection locked="0"/>
    </xf>
    <xf numFmtId="0" fontId="25" fillId="33" borderId="0" xfId="0" applyFont="1" applyFill="1" applyAlignment="1" applyProtection="1">
      <alignment horizontal="left"/>
      <protection locked="0"/>
    </xf>
    <xf numFmtId="0" fontId="29" fillId="34" borderId="4" xfId="0" applyFont="1" applyFill="1" applyBorder="1" applyAlignment="1">
      <alignment horizontal="center"/>
    </xf>
    <xf numFmtId="0" fontId="1" fillId="39" borderId="0" xfId="0" applyFont="1" applyFill="1"/>
    <xf numFmtId="0" fontId="38" fillId="39" borderId="0" xfId="0" applyFont="1" applyFill="1" applyAlignment="1">
      <alignment horizontal="center"/>
    </xf>
    <xf numFmtId="0" fontId="22" fillId="37" borderId="1" xfId="0" applyFont="1" applyFill="1" applyBorder="1" applyAlignment="1">
      <alignment horizontal="center"/>
    </xf>
    <xf numFmtId="0" fontId="41" fillId="42" borderId="0" xfId="44" applyFont="1" applyFill="1" applyAlignment="1">
      <alignment horizontal="left"/>
    </xf>
    <xf numFmtId="0" fontId="42" fillId="42" borderId="0" xfId="0" applyFont="1" applyFill="1"/>
    <xf numFmtId="0" fontId="41" fillId="42" borderId="0" xfId="44" applyFont="1" applyFill="1" applyAlignment="1">
      <alignment horizontal="center"/>
    </xf>
    <xf numFmtId="0" fontId="43" fillId="42" borderId="0" xfId="44" applyFont="1" applyFill="1"/>
    <xf numFmtId="0" fontId="38" fillId="33" borderId="0" xfId="0" applyFont="1" applyFill="1" applyAlignment="1">
      <alignment horizontal="center"/>
    </xf>
    <xf numFmtId="0" fontId="26" fillId="34" borderId="2" xfId="0" applyFont="1" applyFill="1" applyBorder="1" applyAlignment="1">
      <alignment horizontal="left"/>
    </xf>
    <xf numFmtId="0" fontId="38" fillId="42" borderId="0" xfId="0" applyFont="1" applyFill="1" applyAlignment="1">
      <alignment horizontal="center"/>
    </xf>
    <xf numFmtId="0" fontId="0" fillId="39" borderId="0" xfId="0" applyFill="1"/>
    <xf numFmtId="0" fontId="45" fillId="33" borderId="0" xfId="44" applyFont="1" applyFill="1" applyAlignment="1">
      <alignment horizontal="left"/>
    </xf>
    <xf numFmtId="0" fontId="46" fillId="33" borderId="0" xfId="0" applyFont="1" applyFill="1" applyAlignment="1">
      <alignment horizontal="center"/>
    </xf>
    <xf numFmtId="0" fontId="36" fillId="39" borderId="2" xfId="0" applyFont="1" applyFill="1" applyBorder="1" applyAlignment="1">
      <alignment horizontal="left"/>
    </xf>
    <xf numFmtId="0" fontId="26" fillId="36" borderId="2" xfId="0" applyFont="1" applyFill="1" applyBorder="1" applyAlignment="1">
      <alignment horizontal="left"/>
    </xf>
    <xf numFmtId="0" fontId="25" fillId="37" borderId="1" xfId="0" applyFont="1" applyFill="1" applyBorder="1" applyAlignment="1">
      <alignment horizontal="center"/>
    </xf>
    <xf numFmtId="0" fontId="48" fillId="33" borderId="0" xfId="0" applyFont="1" applyFill="1" applyAlignment="1">
      <alignment horizontal="center"/>
    </xf>
    <xf numFmtId="0" fontId="25" fillId="39" borderId="0" xfId="0" applyFont="1" applyFill="1" applyAlignment="1">
      <alignment horizontal="centerContinuous"/>
    </xf>
    <xf numFmtId="0" fontId="45" fillId="43" borderId="2" xfId="0" applyFont="1" applyFill="1" applyBorder="1" applyAlignment="1">
      <alignment horizontal="left"/>
    </xf>
    <xf numFmtId="0" fontId="49" fillId="33" borderId="1" xfId="0" applyFont="1" applyFill="1" applyBorder="1" applyAlignment="1">
      <alignment horizontal="centerContinuous"/>
    </xf>
    <xf numFmtId="0" fontId="45" fillId="41" borderId="1" xfId="0" applyFont="1" applyFill="1" applyBorder="1" applyAlignment="1">
      <alignment horizontal="center"/>
    </xf>
    <xf numFmtId="0" fontId="45" fillId="41" borderId="2" xfId="0" applyFont="1" applyFill="1" applyBorder="1" applyAlignment="1">
      <alignment horizontal="center"/>
    </xf>
    <xf numFmtId="0" fontId="51" fillId="33" borderId="0" xfId="0" applyFont="1" applyFill="1" applyAlignment="1">
      <alignment horizontal="left"/>
    </xf>
    <xf numFmtId="0" fontId="51" fillId="33" borderId="0" xfId="0" applyFont="1" applyFill="1" applyAlignment="1">
      <alignment horizontal="left" vertical="center"/>
    </xf>
    <xf numFmtId="0" fontId="52" fillId="33" borderId="0" xfId="0" applyFont="1" applyFill="1"/>
    <xf numFmtId="0" fontId="53" fillId="42" borderId="0" xfId="0" applyFont="1" applyFill="1" applyAlignment="1">
      <alignment horizontal="center"/>
    </xf>
    <xf numFmtId="0" fontId="52" fillId="0" borderId="0" xfId="0" applyFont="1"/>
    <xf numFmtId="0" fontId="52" fillId="39" borderId="0" xfId="0" applyFont="1" applyFill="1"/>
    <xf numFmtId="0" fontId="51" fillId="33" borderId="0" xfId="0" applyFont="1" applyFill="1" applyAlignment="1">
      <alignment horizontal="center"/>
    </xf>
    <xf numFmtId="0" fontId="55" fillId="33" borderId="0" xfId="0" applyFont="1" applyFill="1" applyAlignment="1">
      <alignment horizontal="left"/>
    </xf>
    <xf numFmtId="0" fontId="55" fillId="33" borderId="0" xfId="0" applyFont="1" applyFill="1" applyAlignment="1">
      <alignment horizontal="center"/>
    </xf>
    <xf numFmtId="0" fontId="33" fillId="33" borderId="0" xfId="0" applyFont="1" applyFill="1"/>
    <xf numFmtId="0" fontId="55" fillId="34" borderId="1" xfId="0" applyFont="1" applyFill="1" applyBorder="1" applyAlignment="1">
      <alignment horizontal="left"/>
    </xf>
    <xf numFmtId="0" fontId="34" fillId="33" borderId="0" xfId="0" applyFont="1" applyFill="1"/>
    <xf numFmtId="0" fontId="38" fillId="42" borderId="1" xfId="0" applyFont="1" applyFill="1" applyBorder="1" applyAlignment="1">
      <alignment horizontal="center"/>
    </xf>
    <xf numFmtId="0" fontId="25" fillId="33" borderId="0" xfId="0" applyFont="1" applyFill="1" applyAlignment="1" applyProtection="1">
      <alignment horizontal="center"/>
      <protection locked="0"/>
    </xf>
    <xf numFmtId="0" fontId="25" fillId="33" borderId="0" xfId="0" applyFont="1" applyFill="1" applyAlignment="1" applyProtection="1">
      <alignment horizontal="right"/>
      <protection locked="0"/>
    </xf>
    <xf numFmtId="0" fontId="53" fillId="42" borderId="1" xfId="0" applyFont="1" applyFill="1" applyBorder="1" applyAlignment="1" applyProtection="1">
      <alignment horizontal="center" vertical="center"/>
      <protection locked="0"/>
    </xf>
    <xf numFmtId="0" fontId="40" fillId="39" borderId="4" xfId="0" applyFont="1" applyFill="1" applyBorder="1" applyAlignment="1">
      <alignment horizontal="center"/>
    </xf>
    <xf numFmtId="0" fontId="2" fillId="39" borderId="4" xfId="0" applyFont="1" applyFill="1" applyBorder="1" applyAlignment="1">
      <alignment horizontal="center"/>
    </xf>
    <xf numFmtId="0" fontId="33" fillId="39" borderId="4" xfId="0" applyFont="1" applyFill="1" applyBorder="1" applyAlignment="1">
      <alignment horizontal="center"/>
    </xf>
    <xf numFmtId="0" fontId="56" fillId="42" borderId="0" xfId="0" applyFont="1" applyFill="1" applyAlignment="1">
      <alignment horizontal="center" vertical="center"/>
    </xf>
    <xf numFmtId="0" fontId="54" fillId="37" borderId="14" xfId="0" applyFont="1" applyFill="1" applyBorder="1" applyAlignment="1">
      <alignment horizontal="center" vertical="center"/>
    </xf>
    <xf numFmtId="0" fontId="54" fillId="37" borderId="4" xfId="0" applyFont="1" applyFill="1" applyBorder="1" applyAlignment="1">
      <alignment horizontal="center" vertical="center"/>
    </xf>
    <xf numFmtId="0" fontId="54" fillId="35" borderId="14" xfId="0" applyFont="1" applyFill="1" applyBorder="1" applyAlignment="1">
      <alignment horizontal="center" vertical="center"/>
    </xf>
    <xf numFmtId="0" fontId="54" fillId="35" borderId="4" xfId="0" applyFont="1" applyFill="1" applyBorder="1" applyAlignment="1">
      <alignment horizontal="center" vertical="center"/>
    </xf>
    <xf numFmtId="0" fontId="30" fillId="37" borderId="16" xfId="0" applyFont="1" applyFill="1" applyBorder="1" applyAlignment="1">
      <alignment horizontal="center" vertical="center"/>
    </xf>
    <xf numFmtId="0" fontId="30" fillId="37" borderId="0" xfId="0" applyFont="1" applyFill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0" fillId="41" borderId="14" xfId="0" applyFont="1" applyFill="1" applyBorder="1" applyAlignment="1">
      <alignment horizontal="center" vertical="center"/>
    </xf>
    <xf numFmtId="0" fontId="30" fillId="41" borderId="4" xfId="0" applyFont="1" applyFill="1" applyBorder="1" applyAlignment="1">
      <alignment horizontal="center" vertical="center"/>
    </xf>
    <xf numFmtId="0" fontId="30" fillId="35" borderId="14" xfId="0" applyFont="1" applyFill="1" applyBorder="1" applyAlignment="1">
      <alignment horizontal="center" vertical="center"/>
    </xf>
    <xf numFmtId="0" fontId="30" fillId="35" borderId="4" xfId="0" applyFont="1" applyFill="1" applyBorder="1" applyAlignment="1">
      <alignment horizontal="center" vertical="center"/>
    </xf>
    <xf numFmtId="0" fontId="30" fillId="37" borderId="14" xfId="0" applyFont="1" applyFill="1" applyBorder="1" applyAlignment="1">
      <alignment horizontal="center" vertical="center"/>
    </xf>
    <xf numFmtId="0" fontId="30" fillId="37" borderId="4" xfId="0" applyFont="1" applyFill="1" applyBorder="1" applyAlignment="1">
      <alignment horizontal="center" vertical="center"/>
    </xf>
    <xf numFmtId="0" fontId="41" fillId="42" borderId="0" xfId="44" applyFont="1" applyFill="1" applyAlignment="1">
      <alignment horizontal="left"/>
    </xf>
    <xf numFmtId="0" fontId="47" fillId="43" borderId="16" xfId="0" applyFont="1" applyFill="1" applyBorder="1" applyAlignment="1" applyProtection="1">
      <alignment horizontal="center"/>
      <protection locked="0"/>
    </xf>
    <xf numFmtId="0" fontId="47" fillId="43" borderId="0" xfId="0" applyFont="1" applyFill="1" applyAlignment="1" applyProtection="1">
      <alignment horizontal="center"/>
      <protection locked="0"/>
    </xf>
    <xf numFmtId="0" fontId="45" fillId="33" borderId="0" xfId="44" applyFont="1" applyFill="1" applyAlignment="1">
      <alignment horizontal="left"/>
    </xf>
    <xf numFmtId="0" fontId="39" fillId="35" borderId="0" xfId="0" applyFont="1" applyFill="1" applyAlignment="1" applyProtection="1">
      <alignment horizontal="center"/>
      <protection locked="0"/>
    </xf>
    <xf numFmtId="0" fontId="39" fillId="35" borderId="15" xfId="0" applyFont="1" applyFill="1" applyBorder="1" applyAlignment="1" applyProtection="1">
      <alignment horizontal="center"/>
      <protection locked="0"/>
    </xf>
    <xf numFmtId="0" fontId="24" fillId="33" borderId="0" xfId="0" applyFont="1" applyFill="1" applyAlignment="1">
      <alignment horizontal="left" vertical="center"/>
    </xf>
    <xf numFmtId="0" fontId="53" fillId="38" borderId="3" xfId="0" applyFont="1" applyFill="1" applyBorder="1" applyAlignment="1" applyProtection="1">
      <alignment horizontal="center" vertical="center"/>
      <protection locked="0"/>
    </xf>
    <xf numFmtId="0" fontId="22" fillId="44" borderId="0" xfId="0" applyFont="1" applyFill="1" applyAlignment="1">
      <alignment horizontal="center"/>
    </xf>
    <xf numFmtId="0" fontId="24" fillId="33" borderId="0" xfId="0" applyFont="1" applyFill="1" applyAlignment="1">
      <alignment horizontal="center" vertical="center"/>
    </xf>
    <xf numFmtId="0" fontId="0" fillId="0" borderId="0" xfId="0" applyFont="1"/>
    <xf numFmtId="0" fontId="0" fillId="39" borderId="0" xfId="0" applyFont="1" applyFill="1"/>
  </cellXfs>
  <cellStyles count="46">
    <cellStyle name="20% — akcent 1" xfId="1" builtinId="30" customBuiltin="1"/>
    <cellStyle name="20% — akcent 2" xfId="2" builtinId="34" customBuiltin="1"/>
    <cellStyle name="20% — akcent 3" xfId="3" builtinId="38" customBuiltin="1"/>
    <cellStyle name="20% — akcent 4" xfId="4" builtinId="42" customBuiltin="1"/>
    <cellStyle name="20% — akcent 5" xfId="5" builtinId="46" customBuiltin="1"/>
    <cellStyle name="20% — akcent 6" xfId="6" builtinId="50" customBuiltin="1"/>
    <cellStyle name="40% — akcent 1" xfId="7" builtinId="31" customBuiltin="1"/>
    <cellStyle name="40% — akcent 2" xfId="8" builtinId="35" customBuiltin="1"/>
    <cellStyle name="40% — akcent 3" xfId="9" builtinId="39" customBuiltin="1"/>
    <cellStyle name="40% — akcent 4" xfId="10" builtinId="43" customBuiltin="1"/>
    <cellStyle name="40% — akcent 5" xfId="11" builtinId="47" customBuiltin="1"/>
    <cellStyle name="40% — akcent 6" xfId="12" builtinId="51" customBuiltin="1"/>
    <cellStyle name="60% — akcent 1" xfId="13" builtinId="32" customBuiltin="1"/>
    <cellStyle name="60% — akcent 2" xfId="14" builtinId="36" customBuiltin="1"/>
    <cellStyle name="60% — akcent 3" xfId="15" builtinId="40" customBuiltin="1"/>
    <cellStyle name="60% — akcent 4" xfId="16" builtinId="44" customBuiltin="1"/>
    <cellStyle name="60% — akcent 5" xfId="17" builtinId="48" customBuiltin="1"/>
    <cellStyle name="60% — akcent 6" xfId="18" builtinId="52" customBuiltin="1"/>
    <cellStyle name="Akcent 1" xfId="19" builtinId="29" customBuiltin="1"/>
    <cellStyle name="Akcent 2" xfId="20" builtinId="33" customBuiltin="1"/>
    <cellStyle name="Akcent 3" xfId="21" builtinId="37" customBuiltin="1"/>
    <cellStyle name="Akcent 4" xfId="22" builtinId="41" customBuiltin="1"/>
    <cellStyle name="Akcent 5" xfId="23" builtinId="45" customBuiltin="1"/>
    <cellStyle name="Akcent 6" xfId="24" builtinId="49" customBuiltin="1"/>
    <cellStyle name="Dane wejściowe" xfId="25" builtinId="20" customBuiltin="1"/>
    <cellStyle name="Dane wyjściowe" xfId="26" builtinId="21" customBuiltin="1"/>
    <cellStyle name="Dobry" xfId="27" builtinId="26" customBuiltin="1"/>
    <cellStyle name="Hiperłącze" xfId="28" builtinId="8" customBuiltin="1"/>
    <cellStyle name="Komórka połączona" xfId="29" builtinId="24" customBuiltin="1"/>
    <cellStyle name="Komórka zaznaczona" xfId="30" builtinId="23" customBuiltin="1"/>
    <cellStyle name="Nagłówek 1" xfId="31" builtinId="16" customBuiltin="1"/>
    <cellStyle name="Nagłówek 2" xfId="32" builtinId="17" customBuiltin="1"/>
    <cellStyle name="Nagłówek 3" xfId="33" builtinId="18" customBuiltin="1"/>
    <cellStyle name="Nagłówek 4" xfId="34" builtinId="19" customBuiltin="1"/>
    <cellStyle name="Neutralny" xfId="35" builtinId="28" customBuiltin="1"/>
    <cellStyle name="Normalny" xfId="0" builtinId="0"/>
    <cellStyle name="Normalny 2" xfId="44" xr:uid="{00000000-0005-0000-0000-000024000000}"/>
    <cellStyle name="Normalny 3" xfId="45" xr:uid="{EC899BF1-62AE-443A-8D98-F99A4FA8D8A9}"/>
    <cellStyle name="Obliczenia" xfId="36" builtinId="22" customBuiltin="1"/>
    <cellStyle name="Odwiedzone hiperłącze" xfId="37" builtinId="9" customBuiltin="1"/>
    <cellStyle name="Suma" xfId="38" builtinId="25" customBuiltin="1"/>
    <cellStyle name="Tekst objaśnienia" xfId="39" builtinId="53" customBuiltin="1"/>
    <cellStyle name="Tekst ostrzeżenia" xfId="40" builtinId="11" customBuiltin="1"/>
    <cellStyle name="Tytuł" xfId="41" builtinId="15" customBuiltin="1"/>
    <cellStyle name="Uwaga" xfId="42" builtinId="10" customBuiltin="1"/>
    <cellStyle name="Zły" xfId="43" builtinId="27" customBuiltin="1"/>
  </cellStyles>
  <dxfs count="292"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  <dxf>
      <font>
        <i val="0"/>
        <condense val="0"/>
        <extend val="0"/>
        <color rgb="FFFFFFFF"/>
      </font>
      <fill>
        <patternFill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5:BD73"/>
  <sheetViews>
    <sheetView showGridLines="0" zoomScale="90" zoomScaleNormal="90" workbookViewId="0">
      <selection activeCell="E13" sqref="E13"/>
    </sheetView>
  </sheetViews>
  <sheetFormatPr defaultColWidth="9.140625" defaultRowHeight="12.75"/>
  <cols>
    <col min="1" max="1" width="0.85546875" style="1" customWidth="1"/>
    <col min="2" max="2" width="3.7109375" style="13" customWidth="1"/>
    <col min="3" max="3" width="14.7109375" style="1" customWidth="1"/>
    <col min="4" max="6" width="3.7109375" style="1" customWidth="1"/>
    <col min="7" max="7" width="21.140625" style="1" bestFit="1" customWidth="1"/>
    <col min="8" max="10" width="3.7109375" style="1" customWidth="1"/>
    <col min="11" max="11" width="17" style="1" bestFit="1" customWidth="1"/>
    <col min="12" max="14" width="3.7109375" style="1" customWidth="1"/>
    <col min="15" max="15" width="15.7109375" style="1" customWidth="1"/>
    <col min="16" max="18" width="3.7109375" style="1" customWidth="1"/>
    <col min="19" max="19" width="20" style="1" customWidth="1"/>
    <col min="20" max="22" width="3.7109375" style="1" customWidth="1"/>
    <col min="23" max="23" width="16.7109375" style="1" customWidth="1"/>
    <col min="24" max="26" width="3.7109375" style="1" customWidth="1"/>
    <col min="27" max="27" width="16.7109375" style="1" customWidth="1"/>
    <col min="28" max="30" width="3.7109375" style="1" customWidth="1"/>
    <col min="31" max="31" width="19" style="1" customWidth="1"/>
    <col min="32" max="33" width="3.7109375" style="1" customWidth="1"/>
    <col min="34" max="34" width="5.7109375" style="1" customWidth="1"/>
    <col min="35" max="35" width="16.7109375" style="1" customWidth="1"/>
    <col min="36" max="37" width="3.7109375" style="1" customWidth="1"/>
    <col min="38" max="38" width="5.7109375" style="1" customWidth="1"/>
    <col min="39" max="39" width="21.140625" style="1" customWidth="1"/>
    <col min="40" max="41" width="3.7109375" style="1" customWidth="1"/>
    <col min="42" max="42" width="5.7109375" style="1" customWidth="1"/>
    <col min="43" max="43" width="16.7109375" style="1" customWidth="1"/>
    <col min="44" max="45" width="3.7109375" style="1" customWidth="1"/>
    <col min="46" max="46" width="5.7109375" style="1" customWidth="1"/>
    <col min="47" max="47" width="16.7109375" style="1" customWidth="1"/>
    <col min="48" max="48" width="5.7109375" style="1" customWidth="1"/>
    <col min="49" max="49" width="2.140625" style="1" customWidth="1"/>
    <col min="50" max="50" width="20.5703125" style="1" bestFit="1" customWidth="1"/>
    <col min="51" max="56" width="5.7109375" style="1" customWidth="1"/>
    <col min="57" max="16384" width="9.140625" style="1"/>
  </cols>
  <sheetData>
    <row r="5" spans="1:56" ht="20.100000000000001" customHeight="1">
      <c r="A5" s="4"/>
      <c r="B5" s="9"/>
      <c r="C5" s="4" t="s">
        <v>26</v>
      </c>
      <c r="D5" s="4"/>
      <c r="E5" s="4"/>
      <c r="F5" s="4" t="s">
        <v>27</v>
      </c>
      <c r="G5" s="4"/>
      <c r="H5" s="4"/>
      <c r="I5" s="4"/>
      <c r="J5" s="4"/>
      <c r="K5" s="4" t="s">
        <v>28</v>
      </c>
      <c r="L5" s="4"/>
      <c r="M5" s="4"/>
      <c r="N5" s="4"/>
      <c r="O5" s="4" t="s">
        <v>29</v>
      </c>
      <c r="P5" s="4"/>
      <c r="Q5" s="4"/>
      <c r="R5" s="4"/>
      <c r="S5" s="4" t="s">
        <v>30</v>
      </c>
      <c r="T5" s="4"/>
      <c r="U5" s="4"/>
      <c r="V5" s="4"/>
      <c r="W5" s="4" t="s">
        <v>31</v>
      </c>
      <c r="X5" s="4"/>
      <c r="Y5" s="4"/>
      <c r="Z5" s="4"/>
      <c r="AA5" s="4" t="s">
        <v>50</v>
      </c>
      <c r="AB5" s="4"/>
      <c r="AC5" s="12"/>
      <c r="AD5" s="4"/>
      <c r="AE5" s="4" t="s">
        <v>51</v>
      </c>
      <c r="AF5" s="12"/>
      <c r="AG5" s="12"/>
      <c r="AH5" s="4"/>
      <c r="AI5" s="4" t="s">
        <v>87</v>
      </c>
      <c r="AJ5" s="4"/>
      <c r="AK5" s="4"/>
      <c r="AL5" s="4"/>
      <c r="AM5" s="4" t="s">
        <v>88</v>
      </c>
      <c r="AN5" s="4"/>
      <c r="AO5" s="4"/>
      <c r="AP5" s="4"/>
      <c r="AQ5" s="4" t="s">
        <v>89</v>
      </c>
      <c r="AR5" s="4"/>
      <c r="AS5" s="12"/>
      <c r="AT5" s="4"/>
      <c r="AU5" s="4" t="s">
        <v>90</v>
      </c>
      <c r="AV5" s="12"/>
      <c r="AX5" s="10" t="s">
        <v>24</v>
      </c>
      <c r="AY5" s="11" t="s">
        <v>48</v>
      </c>
      <c r="AZ5" s="11" t="s">
        <v>25</v>
      </c>
      <c r="BA5" s="11" t="s">
        <v>36</v>
      </c>
      <c r="BB5" s="11" t="s">
        <v>37</v>
      </c>
      <c r="BC5" s="11" t="s">
        <v>38</v>
      </c>
      <c r="BD5" s="11" t="s">
        <v>47</v>
      </c>
    </row>
    <row r="6" spans="1:56" ht="5.25" customHeight="1">
      <c r="A6" s="4"/>
      <c r="B6" s="9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4"/>
      <c r="Y6" s="12"/>
      <c r="Z6" s="12"/>
      <c r="AA6" s="12"/>
      <c r="AB6" s="4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4"/>
      <c r="AO6" s="12"/>
      <c r="AP6" s="12"/>
      <c r="AQ6" s="12"/>
      <c r="AR6" s="4"/>
      <c r="AS6" s="12"/>
      <c r="AT6" s="12"/>
      <c r="AU6" s="12"/>
      <c r="AV6" s="12"/>
      <c r="AX6" s="10"/>
      <c r="AY6" s="10"/>
    </row>
    <row r="7" spans="1:56" ht="18" customHeight="1">
      <c r="A7" s="4"/>
      <c r="B7" s="18">
        <v>1</v>
      </c>
      <c r="C7" s="5" t="s">
        <v>52</v>
      </c>
      <c r="D7" s="12"/>
      <c r="F7" s="18"/>
      <c r="G7" s="5" t="s">
        <v>55</v>
      </c>
      <c r="H7" s="12"/>
      <c r="I7" s="12"/>
      <c r="J7" s="18"/>
      <c r="K7" s="5" t="s">
        <v>57</v>
      </c>
      <c r="L7" s="12"/>
      <c r="M7" s="12"/>
      <c r="N7" s="18"/>
      <c r="O7" s="5" t="s">
        <v>44</v>
      </c>
      <c r="P7" s="12"/>
      <c r="Q7" s="12"/>
      <c r="R7" s="18"/>
      <c r="S7" s="5" t="s">
        <v>3</v>
      </c>
      <c r="T7" s="12"/>
      <c r="U7" s="12"/>
      <c r="V7" s="18"/>
      <c r="W7" s="5" t="s">
        <v>40</v>
      </c>
      <c r="X7" s="4"/>
      <c r="Y7" s="12"/>
      <c r="Z7" s="18"/>
      <c r="AA7" s="5" t="s">
        <v>33</v>
      </c>
      <c r="AB7" s="4"/>
      <c r="AC7" s="12"/>
      <c r="AD7" s="18"/>
      <c r="AE7" s="5" t="s">
        <v>4</v>
      </c>
      <c r="AF7" s="12"/>
      <c r="AG7" s="12"/>
      <c r="AH7" s="18"/>
      <c r="AI7" s="5" t="s">
        <v>1</v>
      </c>
      <c r="AJ7" s="12"/>
      <c r="AK7" s="12"/>
      <c r="AL7" s="18"/>
      <c r="AM7" s="5" t="s">
        <v>78</v>
      </c>
      <c r="AN7" s="4"/>
      <c r="AO7" s="12"/>
      <c r="AP7" s="18"/>
      <c r="AQ7" s="5" t="s">
        <v>5</v>
      </c>
      <c r="AR7" s="4"/>
      <c r="AS7" s="12"/>
      <c r="AT7" s="18"/>
      <c r="AU7" s="5" t="s">
        <v>2</v>
      </c>
      <c r="AV7" s="12"/>
      <c r="AW7" s="17"/>
      <c r="AX7" s="16" t="s">
        <v>80</v>
      </c>
      <c r="AY7" s="16"/>
      <c r="AZ7" s="39"/>
      <c r="BA7" s="39"/>
      <c r="BB7" s="39"/>
      <c r="BC7" s="39"/>
      <c r="BD7" s="39"/>
    </row>
    <row r="8" spans="1:56" ht="18" customHeight="1">
      <c r="A8" s="4"/>
      <c r="B8" s="18">
        <v>2</v>
      </c>
      <c r="C8" s="31" t="s">
        <v>54</v>
      </c>
      <c r="D8" s="12"/>
      <c r="F8" s="18"/>
      <c r="G8" s="31" t="s">
        <v>6</v>
      </c>
      <c r="H8" s="12"/>
      <c r="I8" s="12"/>
      <c r="J8" s="18"/>
      <c r="K8" s="31" t="s">
        <v>59</v>
      </c>
      <c r="L8" s="12"/>
      <c r="M8" s="12"/>
      <c r="N8" s="18"/>
      <c r="O8" s="31" t="s">
        <v>61</v>
      </c>
      <c r="P8" s="12"/>
      <c r="Q8" s="12"/>
      <c r="R8" s="18"/>
      <c r="S8" s="31" t="s">
        <v>64</v>
      </c>
      <c r="T8" s="12"/>
      <c r="U8" s="12"/>
      <c r="V8" s="18"/>
      <c r="W8" s="31" t="s">
        <v>66</v>
      </c>
      <c r="X8" s="4"/>
      <c r="Y8" s="12"/>
      <c r="Z8" s="32"/>
      <c r="AA8" s="31" t="s">
        <v>70</v>
      </c>
      <c r="AB8" s="4"/>
      <c r="AC8" s="12"/>
      <c r="AD8" s="18"/>
      <c r="AE8" s="31" t="s">
        <v>72</v>
      </c>
      <c r="AF8" s="12"/>
      <c r="AG8" s="12"/>
      <c r="AH8" s="18"/>
      <c r="AI8" s="31" t="s">
        <v>75</v>
      </c>
      <c r="AJ8" s="12"/>
      <c r="AK8" s="12"/>
      <c r="AL8" s="18"/>
      <c r="AM8" s="31" t="s">
        <v>80</v>
      </c>
      <c r="AN8" s="4"/>
      <c r="AO8" s="12"/>
      <c r="AP8" s="18"/>
      <c r="AQ8" s="31" t="s">
        <v>81</v>
      </c>
      <c r="AR8" s="4"/>
      <c r="AS8" s="12"/>
      <c r="AT8" s="18"/>
      <c r="AU8" s="31" t="s">
        <v>84</v>
      </c>
      <c r="AV8" s="12"/>
      <c r="AW8" s="17"/>
      <c r="AX8" s="16" t="s">
        <v>2</v>
      </c>
      <c r="AY8" s="16"/>
      <c r="AZ8" s="39"/>
      <c r="BA8" s="39"/>
      <c r="BB8" s="39"/>
      <c r="BC8" s="39"/>
      <c r="BD8" s="39"/>
    </row>
    <row r="9" spans="1:56" ht="18" customHeight="1">
      <c r="A9" s="4"/>
      <c r="B9" s="18">
        <v>3</v>
      </c>
      <c r="C9" s="34" t="s">
        <v>45</v>
      </c>
      <c r="D9" s="12"/>
      <c r="F9" s="18"/>
      <c r="G9" s="8" t="s">
        <v>86</v>
      </c>
      <c r="H9" s="12"/>
      <c r="I9" s="12"/>
      <c r="J9" s="18"/>
      <c r="K9" s="34" t="s">
        <v>42</v>
      </c>
      <c r="L9" s="12"/>
      <c r="M9" s="12"/>
      <c r="N9" s="18"/>
      <c r="O9" s="34" t="s">
        <v>60</v>
      </c>
      <c r="P9" s="12"/>
      <c r="Q9" s="12"/>
      <c r="R9" s="18"/>
      <c r="S9" s="34" t="s">
        <v>63</v>
      </c>
      <c r="T9" s="12"/>
      <c r="U9" s="12"/>
      <c r="V9" s="18"/>
      <c r="W9" s="34" t="s">
        <v>68</v>
      </c>
      <c r="X9" s="4"/>
      <c r="Y9" s="12"/>
      <c r="Z9" s="18"/>
      <c r="AA9" s="34" t="s">
        <v>69</v>
      </c>
      <c r="AB9" s="4"/>
      <c r="AC9" s="12"/>
      <c r="AD9" s="18"/>
      <c r="AE9" s="8" t="s">
        <v>74</v>
      </c>
      <c r="AF9" s="12"/>
      <c r="AG9" s="12"/>
      <c r="AH9" s="18"/>
      <c r="AI9" s="8" t="s">
        <v>76</v>
      </c>
      <c r="AJ9" s="12"/>
      <c r="AK9" s="12"/>
      <c r="AL9" s="18"/>
      <c r="AM9" s="34" t="s">
        <v>43</v>
      </c>
      <c r="AN9" s="4"/>
      <c r="AO9" s="12"/>
      <c r="AP9" s="18"/>
      <c r="AQ9" s="8" t="s">
        <v>82</v>
      </c>
      <c r="AR9" s="4"/>
      <c r="AS9" s="12"/>
      <c r="AT9" s="18"/>
      <c r="AU9" s="34" t="s">
        <v>32</v>
      </c>
      <c r="AV9" s="12"/>
      <c r="AW9" s="17"/>
      <c r="AX9" s="16" t="s">
        <v>74</v>
      </c>
      <c r="AY9" s="16"/>
      <c r="AZ9" s="39"/>
      <c r="BA9" s="39"/>
      <c r="BB9" s="39"/>
      <c r="BC9" s="39"/>
      <c r="BD9" s="39"/>
    </row>
    <row r="10" spans="1:56" ht="18" customHeight="1">
      <c r="A10" s="4"/>
      <c r="B10" s="18">
        <v>4</v>
      </c>
      <c r="C10" s="8" t="s">
        <v>53</v>
      </c>
      <c r="D10" s="12"/>
      <c r="F10" s="18"/>
      <c r="G10" s="8" t="s">
        <v>56</v>
      </c>
      <c r="H10" s="12"/>
      <c r="I10" s="12"/>
      <c r="J10" s="18"/>
      <c r="K10" s="8" t="s">
        <v>58</v>
      </c>
      <c r="L10" s="12"/>
      <c r="M10" s="12"/>
      <c r="N10" s="18"/>
      <c r="O10" s="8" t="s">
        <v>62</v>
      </c>
      <c r="P10" s="12"/>
      <c r="Q10" s="12"/>
      <c r="R10" s="18"/>
      <c r="S10" s="8" t="s">
        <v>65</v>
      </c>
      <c r="T10" s="12"/>
      <c r="U10" s="12"/>
      <c r="V10" s="18"/>
      <c r="W10" s="8" t="s">
        <v>67</v>
      </c>
      <c r="X10" s="4"/>
      <c r="Y10" s="12"/>
      <c r="Z10" s="18"/>
      <c r="AA10" s="8" t="s">
        <v>71</v>
      </c>
      <c r="AB10" s="4"/>
      <c r="AC10" s="12"/>
      <c r="AD10" s="18"/>
      <c r="AE10" s="8" t="s">
        <v>73</v>
      </c>
      <c r="AF10" s="12"/>
      <c r="AG10" s="12"/>
      <c r="AH10" s="18"/>
      <c r="AI10" s="8" t="s">
        <v>77</v>
      </c>
      <c r="AJ10" s="12"/>
      <c r="AK10" s="12"/>
      <c r="AL10" s="18"/>
      <c r="AM10" s="8" t="s">
        <v>79</v>
      </c>
      <c r="AN10" s="4"/>
      <c r="AO10" s="12"/>
      <c r="AP10" s="18"/>
      <c r="AQ10" s="8" t="s">
        <v>83</v>
      </c>
      <c r="AR10" s="4"/>
      <c r="AS10" s="12"/>
      <c r="AT10" s="18"/>
      <c r="AU10" s="8" t="s">
        <v>85</v>
      </c>
      <c r="AV10" s="12"/>
      <c r="AW10" s="17"/>
      <c r="AX10" s="16" t="s">
        <v>78</v>
      </c>
      <c r="AY10" s="16"/>
      <c r="AZ10" s="39"/>
      <c r="BA10" s="39"/>
      <c r="BB10" s="39"/>
      <c r="BC10" s="39"/>
      <c r="BD10" s="39"/>
    </row>
    <row r="11" spans="1:56" ht="18" customHeight="1">
      <c r="A11" s="4"/>
      <c r="B11" s="9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4"/>
      <c r="Y11" s="12"/>
      <c r="Z11" s="12"/>
      <c r="AA11" s="12"/>
      <c r="AB11" s="4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7"/>
      <c r="AX11" s="16" t="s">
        <v>62</v>
      </c>
      <c r="AY11" s="16"/>
      <c r="AZ11" s="39"/>
      <c r="BA11" s="39"/>
      <c r="BB11" s="39"/>
      <c r="BC11" s="39"/>
      <c r="BD11" s="39"/>
    </row>
    <row r="12" spans="1:56" ht="18" customHeight="1">
      <c r="A12" s="4"/>
      <c r="B12" s="9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4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7"/>
      <c r="AX12" s="16" t="s">
        <v>43</v>
      </c>
      <c r="AY12" s="16"/>
      <c r="AZ12" s="39"/>
      <c r="BA12" s="39"/>
      <c r="BB12" s="39"/>
      <c r="BC12" s="39"/>
      <c r="BD12" s="39"/>
    </row>
    <row r="13" spans="1:56" ht="18" customHeight="1">
      <c r="A13" s="4"/>
      <c r="B13" s="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4" t="s">
        <v>49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7"/>
      <c r="AX13" s="16" t="s">
        <v>33</v>
      </c>
      <c r="AY13" s="16"/>
      <c r="AZ13" s="39"/>
      <c r="BA13" s="39"/>
      <c r="BB13" s="39"/>
      <c r="BC13" s="39"/>
      <c r="BD13" s="39"/>
    </row>
    <row r="14" spans="1:56" ht="18" customHeight="1">
      <c r="A14" s="4"/>
      <c r="B14" s="9"/>
      <c r="C14" s="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7"/>
      <c r="AX14" s="16" t="s">
        <v>86</v>
      </c>
      <c r="AY14" s="16"/>
      <c r="AZ14" s="39"/>
      <c r="BA14" s="39"/>
      <c r="BB14" s="39"/>
      <c r="BC14" s="39"/>
      <c r="BD14" s="39"/>
    </row>
    <row r="15" spans="1:56" ht="18" customHeight="1">
      <c r="A15" s="4"/>
      <c r="B15" s="9"/>
      <c r="C15" s="23"/>
      <c r="D15" s="22"/>
      <c r="E15" s="19" t="s">
        <v>39</v>
      </c>
      <c r="F15" s="22"/>
      <c r="G15" s="33"/>
      <c r="J15" s="12"/>
      <c r="K15" s="30"/>
      <c r="L15" s="22"/>
      <c r="M15" s="19" t="s">
        <v>39</v>
      </c>
      <c r="N15" s="22"/>
      <c r="O15" s="30"/>
      <c r="P15" s="4"/>
      <c r="Q15" s="14"/>
      <c r="R15" s="4"/>
      <c r="S15" s="24"/>
      <c r="T15" s="22"/>
      <c r="U15" s="19" t="s">
        <v>39</v>
      </c>
      <c r="V15" s="22"/>
      <c r="W15" s="29"/>
      <c r="X15" s="12"/>
      <c r="Y15" s="12"/>
      <c r="Z15" s="12"/>
      <c r="AA15" s="24"/>
      <c r="AB15" s="22"/>
      <c r="AC15" s="19" t="s">
        <v>39</v>
      </c>
      <c r="AD15" s="22"/>
      <c r="AE15" s="29"/>
      <c r="AF15" s="12"/>
      <c r="AG15" s="12"/>
      <c r="AH15" s="12"/>
      <c r="AI15" s="12"/>
      <c r="AJ15" s="12"/>
      <c r="AK15" s="12"/>
      <c r="AL15" s="12"/>
      <c r="AM15" s="4" t="s">
        <v>91</v>
      </c>
      <c r="AO15" s="12"/>
      <c r="AP15" s="12"/>
      <c r="AQ15" s="12"/>
      <c r="AR15" s="12"/>
      <c r="AS15" s="12"/>
      <c r="AT15" s="12"/>
      <c r="AU15" s="12"/>
      <c r="AV15" s="12"/>
      <c r="AW15" s="17"/>
      <c r="AX15" s="16" t="s">
        <v>57</v>
      </c>
      <c r="AY15" s="16"/>
      <c r="AZ15" s="39"/>
      <c r="BA15" s="39"/>
      <c r="BB15" s="39"/>
      <c r="BC15" s="39"/>
      <c r="BD15" s="39"/>
    </row>
    <row r="16" spans="1:56" ht="18" customHeight="1">
      <c r="A16" s="4"/>
      <c r="B16" s="9"/>
      <c r="C16" s="14"/>
      <c r="D16" s="14"/>
      <c r="E16" s="14"/>
      <c r="F16" s="14"/>
      <c r="G16" s="14"/>
      <c r="J16" s="12"/>
      <c r="K16" s="14"/>
      <c r="L16" s="14"/>
      <c r="M16" s="14"/>
      <c r="N16" s="14"/>
      <c r="O16" s="14"/>
      <c r="P16" s="4"/>
      <c r="Q16" s="14"/>
      <c r="R16" s="4"/>
      <c r="S16" s="25"/>
      <c r="T16" s="25"/>
      <c r="U16" s="25"/>
      <c r="V16" s="25"/>
      <c r="W16" s="25"/>
      <c r="X16" s="12"/>
      <c r="Y16" s="12"/>
      <c r="Z16" s="12"/>
      <c r="AA16" s="25"/>
      <c r="AB16" s="25"/>
      <c r="AC16" s="25"/>
      <c r="AD16" s="25"/>
      <c r="AE16" s="25"/>
      <c r="AF16" s="12"/>
      <c r="AG16" s="12"/>
      <c r="AH16" s="12"/>
      <c r="AI16" s="12"/>
      <c r="AJ16" s="12"/>
      <c r="AK16" s="12"/>
      <c r="AL16" s="12" t="s">
        <v>92</v>
      </c>
      <c r="AM16" s="34"/>
      <c r="AN16" s="12"/>
      <c r="AO16" s="12"/>
      <c r="AP16" s="12"/>
      <c r="AQ16" s="12"/>
      <c r="AR16" s="12"/>
      <c r="AS16" s="12"/>
      <c r="AT16" s="12"/>
      <c r="AU16" s="12"/>
      <c r="AV16" s="12"/>
      <c r="AW16" s="17"/>
      <c r="AX16" s="16" t="s">
        <v>32</v>
      </c>
      <c r="AY16" s="16"/>
      <c r="AZ16" s="39"/>
      <c r="BA16" s="39"/>
      <c r="BB16" s="39"/>
      <c r="BC16" s="39"/>
      <c r="BD16" s="39"/>
    </row>
    <row r="17" spans="1:56" ht="18" customHeight="1">
      <c r="A17" s="4"/>
      <c r="B17" s="9"/>
      <c r="C17" s="23"/>
      <c r="D17" s="22"/>
      <c r="E17" s="19" t="s">
        <v>39</v>
      </c>
      <c r="F17" s="22"/>
      <c r="G17" s="33"/>
      <c r="J17" s="12"/>
      <c r="K17" s="23"/>
      <c r="L17" s="22"/>
      <c r="M17" s="19" t="s">
        <v>39</v>
      </c>
      <c r="N17" s="22"/>
      <c r="O17" s="30"/>
      <c r="P17" s="4"/>
      <c r="Q17" s="14"/>
      <c r="R17" s="4"/>
      <c r="S17" s="29"/>
      <c r="T17" s="22"/>
      <c r="U17" s="19" t="s">
        <v>39</v>
      </c>
      <c r="V17" s="22"/>
      <c r="W17" s="29"/>
      <c r="X17" s="12"/>
      <c r="Y17" s="12"/>
      <c r="Z17" s="12"/>
      <c r="AA17" s="29"/>
      <c r="AB17" s="22"/>
      <c r="AC17" s="19" t="s">
        <v>39</v>
      </c>
      <c r="AD17" s="22"/>
      <c r="AE17" s="29"/>
      <c r="AF17" s="12"/>
      <c r="AG17" s="12"/>
      <c r="AH17" s="12"/>
      <c r="AI17" s="12"/>
      <c r="AJ17" s="12"/>
      <c r="AK17" s="12"/>
      <c r="AL17" s="12" t="s">
        <v>93</v>
      </c>
      <c r="AM17" s="34"/>
      <c r="AN17" s="12"/>
      <c r="AO17" s="12"/>
      <c r="AP17" s="12"/>
      <c r="AQ17" s="12"/>
      <c r="AR17" s="12"/>
      <c r="AS17" s="12"/>
      <c r="AT17" s="12"/>
      <c r="AU17" s="12"/>
      <c r="AV17" s="12"/>
      <c r="AW17" s="17"/>
      <c r="AX17" s="16" t="s">
        <v>65</v>
      </c>
      <c r="AY17" s="16"/>
      <c r="AZ17" s="39"/>
      <c r="BA17" s="39"/>
      <c r="BB17" s="39"/>
      <c r="BC17" s="39"/>
      <c r="BD17" s="39"/>
    </row>
    <row r="18" spans="1:56" ht="18" customHeight="1">
      <c r="A18" s="4"/>
      <c r="B18" s="9"/>
      <c r="C18" s="14"/>
      <c r="D18" s="14"/>
      <c r="E18" s="14"/>
      <c r="F18" s="14"/>
      <c r="G18" s="14"/>
      <c r="J18" s="12"/>
      <c r="K18" s="14"/>
      <c r="L18" s="14"/>
      <c r="M18" s="14"/>
      <c r="N18" s="14"/>
      <c r="O18" s="14"/>
      <c r="P18" s="4"/>
      <c r="Q18" s="14"/>
      <c r="R18" s="4"/>
      <c r="S18" s="25"/>
      <c r="T18" s="25"/>
      <c r="U18" s="25"/>
      <c r="V18" s="25"/>
      <c r="W18" s="25"/>
      <c r="X18" s="12"/>
      <c r="Y18" s="12"/>
      <c r="Z18" s="12"/>
      <c r="AA18" s="25"/>
      <c r="AB18" s="25"/>
      <c r="AC18" s="25"/>
      <c r="AD18" s="25"/>
      <c r="AE18" s="25"/>
      <c r="AF18" s="12"/>
      <c r="AG18" s="12"/>
      <c r="AH18" s="12"/>
      <c r="AI18" s="12"/>
      <c r="AJ18" s="12"/>
      <c r="AK18" s="12"/>
      <c r="AL18" s="12" t="s">
        <v>94</v>
      </c>
      <c r="AM18" s="34"/>
      <c r="AN18" s="12"/>
      <c r="AO18" s="12"/>
      <c r="AP18" s="12"/>
      <c r="AQ18" s="12"/>
      <c r="AR18" s="12"/>
      <c r="AS18" s="12"/>
      <c r="AT18" s="12"/>
      <c r="AU18" s="12"/>
      <c r="AV18" s="12"/>
      <c r="AW18" s="17"/>
      <c r="AX18" s="16" t="s">
        <v>45</v>
      </c>
      <c r="AY18" s="16"/>
      <c r="AZ18" s="39"/>
      <c r="BA18" s="39"/>
      <c r="BB18" s="39"/>
      <c r="BC18" s="39"/>
      <c r="BD18" s="39"/>
    </row>
    <row r="19" spans="1:56" ht="18" customHeight="1">
      <c r="A19" s="4"/>
      <c r="B19" s="9"/>
      <c r="C19" s="30"/>
      <c r="D19" s="22"/>
      <c r="E19" s="19" t="s">
        <v>39</v>
      </c>
      <c r="F19" s="22"/>
      <c r="G19" s="30"/>
      <c r="J19" s="12"/>
      <c r="K19" s="23"/>
      <c r="L19" s="22"/>
      <c r="M19" s="19" t="s">
        <v>39</v>
      </c>
      <c r="N19" s="22"/>
      <c r="O19" s="33"/>
      <c r="P19" s="4"/>
      <c r="Q19" s="14"/>
      <c r="R19" s="4"/>
      <c r="S19" s="24"/>
      <c r="T19" s="22"/>
      <c r="U19" s="19" t="s">
        <v>39</v>
      </c>
      <c r="V19" s="22"/>
      <c r="W19" s="33"/>
      <c r="X19" s="12"/>
      <c r="Y19" s="12"/>
      <c r="Z19" s="12"/>
      <c r="AA19" s="24"/>
      <c r="AB19" s="22"/>
      <c r="AC19" s="19" t="s">
        <v>39</v>
      </c>
      <c r="AD19" s="22"/>
      <c r="AE19" s="33"/>
      <c r="AF19" s="12"/>
      <c r="AG19" s="12"/>
      <c r="AH19" s="12"/>
      <c r="AI19" s="12"/>
      <c r="AJ19" s="12"/>
      <c r="AK19" s="12"/>
      <c r="AL19" s="12" t="s">
        <v>95</v>
      </c>
      <c r="AM19" s="34"/>
      <c r="AN19" s="12"/>
      <c r="AO19" s="12"/>
      <c r="AP19" s="12"/>
      <c r="AQ19" s="12"/>
      <c r="AR19" s="12"/>
      <c r="AS19" s="12"/>
      <c r="AT19" s="12"/>
      <c r="AU19" s="12"/>
      <c r="AV19" s="12"/>
      <c r="AW19" s="17"/>
      <c r="AX19" s="16" t="s">
        <v>82</v>
      </c>
      <c r="AY19" s="16"/>
      <c r="AZ19" s="39"/>
      <c r="BA19" s="39"/>
      <c r="BB19" s="39"/>
      <c r="BC19" s="39"/>
      <c r="BD19" s="39"/>
    </row>
    <row r="20" spans="1:56" ht="18" customHeight="1">
      <c r="A20" s="4"/>
      <c r="B20" s="9"/>
      <c r="C20" s="14"/>
      <c r="D20" s="14"/>
      <c r="E20" s="14"/>
      <c r="F20" s="14"/>
      <c r="G20" s="14"/>
      <c r="J20" s="12"/>
      <c r="K20" s="14"/>
      <c r="L20" s="14"/>
      <c r="M20" s="14"/>
      <c r="N20" s="14"/>
      <c r="O20" s="14"/>
      <c r="P20" s="4"/>
      <c r="Q20" s="14"/>
      <c r="R20" s="4"/>
      <c r="S20" s="26"/>
      <c r="T20" s="26"/>
      <c r="U20" s="26"/>
      <c r="V20" s="26"/>
      <c r="W20" s="26"/>
      <c r="X20" s="12"/>
      <c r="Y20" s="12"/>
      <c r="Z20" s="12"/>
      <c r="AA20" s="26"/>
      <c r="AB20" s="26"/>
      <c r="AC20" s="26"/>
      <c r="AD20" s="26"/>
      <c r="AE20" s="26"/>
      <c r="AF20" s="12"/>
      <c r="AG20" s="12"/>
      <c r="AH20" s="12"/>
      <c r="AI20" s="12"/>
      <c r="AJ20" s="12"/>
      <c r="AK20" s="12"/>
      <c r="AL20" s="12" t="s">
        <v>96</v>
      </c>
      <c r="AM20" s="34"/>
      <c r="AN20" s="12"/>
      <c r="AO20" s="12"/>
      <c r="AP20" s="12"/>
      <c r="AQ20" s="12"/>
      <c r="AR20" s="12"/>
      <c r="AS20" s="12"/>
      <c r="AT20" s="12"/>
      <c r="AU20" s="12"/>
      <c r="AV20" s="12"/>
      <c r="AW20" s="17"/>
      <c r="AX20" s="16" t="s">
        <v>70</v>
      </c>
      <c r="AY20" s="16"/>
      <c r="AZ20" s="39"/>
      <c r="BA20" s="39"/>
      <c r="BB20" s="39"/>
      <c r="BC20" s="39"/>
      <c r="BD20" s="39"/>
    </row>
    <row r="21" spans="1:56" ht="18" customHeight="1">
      <c r="A21" s="4"/>
      <c r="B21" s="9"/>
      <c r="C21" s="23"/>
      <c r="D21" s="22"/>
      <c r="E21" s="19" t="s">
        <v>39</v>
      </c>
      <c r="F21" s="22"/>
      <c r="G21" s="30"/>
      <c r="J21" s="12"/>
      <c r="K21" s="23"/>
      <c r="L21" s="22"/>
      <c r="M21" s="19" t="s">
        <v>39</v>
      </c>
      <c r="N21" s="22"/>
      <c r="O21" s="33"/>
      <c r="P21" s="4"/>
      <c r="Q21" s="14"/>
      <c r="R21" s="4"/>
      <c r="S21" s="24"/>
      <c r="T21" s="22"/>
      <c r="U21" s="19" t="s">
        <v>39</v>
      </c>
      <c r="V21" s="22"/>
      <c r="W21" s="33"/>
      <c r="X21" s="12"/>
      <c r="Y21" s="12"/>
      <c r="Z21" s="12"/>
      <c r="AA21" s="24"/>
      <c r="AB21" s="22"/>
      <c r="AC21" s="19" t="s">
        <v>39</v>
      </c>
      <c r="AD21" s="22"/>
      <c r="AE21" s="33"/>
      <c r="AF21" s="12"/>
      <c r="AG21" s="12"/>
      <c r="AH21" s="12"/>
      <c r="AI21" s="12"/>
      <c r="AJ21" s="12"/>
      <c r="AK21" s="12"/>
      <c r="AL21" s="12" t="s">
        <v>97</v>
      </c>
      <c r="AM21" s="34"/>
      <c r="AN21" s="12"/>
      <c r="AO21" s="12"/>
      <c r="AP21" s="12"/>
      <c r="AQ21" s="12"/>
      <c r="AR21" s="12"/>
      <c r="AS21" s="12"/>
      <c r="AT21" s="12"/>
      <c r="AU21" s="12"/>
      <c r="AV21" s="12"/>
      <c r="AW21" s="17"/>
      <c r="AX21" s="16" t="s">
        <v>63</v>
      </c>
      <c r="AY21" s="16"/>
      <c r="AZ21" s="39"/>
      <c r="BA21" s="39"/>
      <c r="BB21" s="39"/>
      <c r="BC21" s="39"/>
      <c r="BD21" s="39"/>
    </row>
    <row r="22" spans="1:56" ht="18" customHeight="1">
      <c r="A22" s="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 t="s">
        <v>98</v>
      </c>
      <c r="AM22" s="34"/>
      <c r="AN22" s="12"/>
      <c r="AO22" s="12"/>
      <c r="AP22" s="12"/>
      <c r="AQ22" s="12"/>
      <c r="AR22" s="12"/>
      <c r="AS22" s="12"/>
      <c r="AT22" s="12"/>
      <c r="AU22" s="12"/>
      <c r="AV22" s="12"/>
      <c r="AW22" s="17"/>
      <c r="AX22" s="16" t="s">
        <v>1</v>
      </c>
      <c r="AY22" s="16"/>
      <c r="AZ22" s="39"/>
      <c r="BA22" s="39"/>
      <c r="BB22" s="39"/>
      <c r="BC22" s="39"/>
      <c r="BD22" s="39"/>
    </row>
    <row r="23" spans="1:56" ht="18" customHeight="1">
      <c r="A23" s="4"/>
      <c r="B23" s="9"/>
      <c r="D23" s="4"/>
      <c r="E23" s="4"/>
      <c r="F23" s="12"/>
      <c r="G23" s="12"/>
      <c r="H23" s="6"/>
      <c r="I23" s="6"/>
      <c r="J23" s="6"/>
      <c r="K23" s="6"/>
      <c r="L23" s="6"/>
      <c r="M23" s="6"/>
      <c r="N23" s="6"/>
      <c r="O23" s="6"/>
      <c r="P23" s="6"/>
      <c r="Q23" s="4" t="s">
        <v>7</v>
      </c>
      <c r="R23" s="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12" t="s">
        <v>99</v>
      </c>
      <c r="AM23" s="34"/>
      <c r="AN23" s="4"/>
      <c r="AO23" s="4"/>
      <c r="AP23" s="4"/>
      <c r="AQ23" s="4"/>
      <c r="AR23" s="4"/>
      <c r="AS23" s="4"/>
      <c r="AT23" s="4"/>
      <c r="AU23" s="4"/>
      <c r="AV23" s="4"/>
      <c r="AW23" s="17"/>
      <c r="AX23" s="16" t="s">
        <v>84</v>
      </c>
      <c r="AY23" s="16"/>
      <c r="AZ23" s="39"/>
      <c r="BA23" s="39"/>
      <c r="BB23" s="39"/>
      <c r="BC23" s="39"/>
      <c r="BD23" s="39"/>
    </row>
    <row r="24" spans="1:56" ht="18" customHeight="1">
      <c r="A24" s="4"/>
      <c r="B24" s="9"/>
      <c r="C24" s="4"/>
      <c r="D24" s="4"/>
      <c r="E24" s="4"/>
      <c r="F24" s="12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12" t="s">
        <v>100</v>
      </c>
      <c r="AM24" s="34"/>
      <c r="AN24" s="4"/>
      <c r="AO24" s="4"/>
      <c r="AP24" s="4"/>
      <c r="AQ24" s="4"/>
      <c r="AR24" s="4"/>
      <c r="AS24" s="4"/>
      <c r="AT24" s="4"/>
      <c r="AU24" s="4"/>
      <c r="AV24" s="4"/>
      <c r="AW24" s="17"/>
      <c r="AX24" s="16" t="s">
        <v>58</v>
      </c>
      <c r="AY24" s="16"/>
      <c r="AZ24" s="39"/>
      <c r="BA24" s="39"/>
      <c r="BB24" s="39"/>
      <c r="BC24" s="39"/>
      <c r="BD24" s="39"/>
    </row>
    <row r="25" spans="1:56" ht="18" customHeight="1">
      <c r="A25" s="4"/>
      <c r="B25" s="9"/>
      <c r="C25" s="4"/>
      <c r="D25" s="4"/>
      <c r="E25" s="4"/>
      <c r="F25" s="12"/>
      <c r="G25" s="12"/>
      <c r="H25" s="4"/>
      <c r="I25" s="4"/>
      <c r="J25" s="4"/>
      <c r="K25" s="23"/>
      <c r="L25" s="22"/>
      <c r="M25" s="19" t="s">
        <v>39</v>
      </c>
      <c r="N25" s="22"/>
      <c r="O25" s="23"/>
      <c r="P25" s="4"/>
      <c r="Q25" s="14"/>
      <c r="R25" s="4"/>
      <c r="S25" s="24"/>
      <c r="T25" s="22"/>
      <c r="U25" s="19" t="s">
        <v>39</v>
      </c>
      <c r="V25" s="22"/>
      <c r="W25" s="2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12" t="s">
        <v>101</v>
      </c>
      <c r="AM25" s="34"/>
      <c r="AN25" s="4"/>
      <c r="AO25" s="4"/>
      <c r="AP25" s="4"/>
      <c r="AQ25" s="4"/>
      <c r="AR25" s="4"/>
      <c r="AS25" s="4"/>
      <c r="AT25" s="4"/>
      <c r="AU25" s="4"/>
      <c r="AV25" s="4"/>
      <c r="AW25" s="17"/>
      <c r="AX25" s="16" t="s">
        <v>4</v>
      </c>
      <c r="AY25" s="39"/>
      <c r="AZ25" s="39"/>
      <c r="BA25" s="39"/>
      <c r="BB25" s="39"/>
      <c r="BC25" s="39"/>
      <c r="BD25" s="39"/>
    </row>
    <row r="26" spans="1:56" ht="18" customHeight="1">
      <c r="A26" s="4"/>
      <c r="B26" s="9"/>
      <c r="C26" s="4"/>
      <c r="D26" s="4"/>
      <c r="E26" s="4"/>
      <c r="F26" s="12"/>
      <c r="G26" s="12"/>
      <c r="H26" s="4"/>
      <c r="I26" s="4"/>
      <c r="J26" s="4"/>
      <c r="K26" s="14"/>
      <c r="L26" s="14"/>
      <c r="M26" s="14"/>
      <c r="N26" s="14"/>
      <c r="O26" s="14"/>
      <c r="P26" s="4"/>
      <c r="Q26" s="14"/>
      <c r="R26" s="4"/>
      <c r="S26" s="25"/>
      <c r="T26" s="25"/>
      <c r="U26" s="25"/>
      <c r="V26" s="25"/>
      <c r="W26" s="2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12" t="s">
        <v>102</v>
      </c>
      <c r="AM26" s="34"/>
      <c r="AN26" s="4"/>
      <c r="AO26" s="4"/>
      <c r="AP26" s="4"/>
      <c r="AQ26" s="4"/>
      <c r="AR26" s="4"/>
      <c r="AS26" s="4"/>
      <c r="AT26" s="4"/>
      <c r="AU26" s="4"/>
      <c r="AV26" s="4"/>
      <c r="AW26" s="17"/>
      <c r="AX26" s="16" t="s">
        <v>40</v>
      </c>
      <c r="AY26" s="16"/>
      <c r="AZ26" s="39"/>
      <c r="BA26" s="39"/>
      <c r="BB26" s="39"/>
      <c r="BC26" s="39"/>
      <c r="BD26" s="39"/>
    </row>
    <row r="27" spans="1:56" ht="18" customHeight="1">
      <c r="A27" s="4"/>
      <c r="B27" s="9"/>
      <c r="C27" s="4"/>
      <c r="D27" s="4"/>
      <c r="E27" s="4"/>
      <c r="F27" s="6"/>
      <c r="G27" s="6"/>
      <c r="H27" s="4"/>
      <c r="I27" s="4"/>
      <c r="J27" s="4"/>
      <c r="K27" s="23"/>
      <c r="L27" s="22"/>
      <c r="M27" s="19" t="s">
        <v>39</v>
      </c>
      <c r="N27" s="22"/>
      <c r="O27" s="23"/>
      <c r="P27" s="4"/>
      <c r="Q27" s="14"/>
      <c r="R27" s="4"/>
      <c r="S27" s="24"/>
      <c r="T27" s="22"/>
      <c r="U27" s="19" t="s">
        <v>39</v>
      </c>
      <c r="V27" s="22"/>
      <c r="W27" s="2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12" t="s">
        <v>103</v>
      </c>
      <c r="AM27" s="34"/>
      <c r="AN27" s="4"/>
      <c r="AO27" s="4"/>
      <c r="AP27" s="4"/>
      <c r="AQ27" s="4"/>
      <c r="AR27" s="4"/>
      <c r="AS27" s="4"/>
      <c r="AT27" s="4"/>
      <c r="AU27" s="4"/>
      <c r="AV27" s="4"/>
      <c r="AW27" s="17"/>
      <c r="AX27" s="16" t="s">
        <v>77</v>
      </c>
      <c r="AY27" s="16"/>
      <c r="AZ27" s="39"/>
      <c r="BA27" s="39"/>
      <c r="BB27" s="39"/>
      <c r="BC27" s="39"/>
      <c r="BD27" s="39"/>
    </row>
    <row r="28" spans="1:56" ht="18" customHeight="1">
      <c r="A28" s="4"/>
      <c r="B28" s="9"/>
      <c r="C28" s="4"/>
      <c r="D28" s="4"/>
      <c r="E28" s="4"/>
      <c r="F28" s="4"/>
      <c r="G28" s="4"/>
      <c r="H28" s="4"/>
      <c r="I28" s="4"/>
      <c r="J28" s="4"/>
      <c r="K28" s="14"/>
      <c r="L28" s="14"/>
      <c r="M28" s="14"/>
      <c r="N28" s="14"/>
      <c r="O28" s="14"/>
      <c r="P28" s="4"/>
      <c r="Q28" s="14"/>
      <c r="R28" s="4"/>
      <c r="S28" s="25"/>
      <c r="T28" s="25"/>
      <c r="U28" s="25"/>
      <c r="V28" s="25"/>
      <c r="W28" s="2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17"/>
      <c r="AX28" s="16" t="s">
        <v>69</v>
      </c>
      <c r="AY28" s="16"/>
      <c r="AZ28" s="39"/>
      <c r="BA28" s="39"/>
      <c r="BB28" s="39"/>
      <c r="BC28" s="39"/>
      <c r="BD28" s="39"/>
    </row>
    <row r="29" spans="1:56" ht="18" customHeight="1">
      <c r="A29" s="4"/>
      <c r="B29" s="9"/>
      <c r="C29" s="4"/>
      <c r="D29" s="4"/>
      <c r="E29" s="4"/>
      <c r="F29" s="4"/>
      <c r="G29" s="4"/>
      <c r="H29" s="4"/>
      <c r="I29" s="4"/>
      <c r="J29" s="4"/>
      <c r="K29" s="23"/>
      <c r="L29" s="22"/>
      <c r="M29" s="19" t="s">
        <v>39</v>
      </c>
      <c r="N29" s="22"/>
      <c r="O29" s="23"/>
      <c r="P29" s="4"/>
      <c r="Q29" s="14"/>
      <c r="R29" s="4"/>
      <c r="S29" s="24"/>
      <c r="T29" s="22"/>
      <c r="U29" s="19" t="s">
        <v>39</v>
      </c>
      <c r="V29" s="22"/>
      <c r="W29" s="2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17"/>
      <c r="AX29" s="16" t="s">
        <v>68</v>
      </c>
      <c r="AY29" s="16"/>
      <c r="AZ29" s="39"/>
      <c r="BA29" s="39"/>
      <c r="BB29" s="39"/>
      <c r="BC29" s="39"/>
      <c r="BD29" s="39"/>
    </row>
    <row r="30" spans="1:56" ht="18" customHeight="1">
      <c r="A30" s="4"/>
      <c r="B30" s="9"/>
      <c r="C30" s="4"/>
      <c r="D30" s="4"/>
      <c r="E30" s="4"/>
      <c r="F30" s="4"/>
      <c r="G30" s="4"/>
      <c r="H30" s="4"/>
      <c r="I30" s="4"/>
      <c r="J30" s="4"/>
      <c r="K30" s="14"/>
      <c r="L30" s="14"/>
      <c r="M30" s="14"/>
      <c r="N30" s="14"/>
      <c r="O30" s="14"/>
      <c r="P30" s="4"/>
      <c r="Q30" s="14"/>
      <c r="R30" s="4"/>
      <c r="S30" s="26"/>
      <c r="T30" s="26"/>
      <c r="U30" s="26"/>
      <c r="V30" s="26"/>
      <c r="W30" s="26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17"/>
      <c r="AX30" s="16" t="s">
        <v>79</v>
      </c>
      <c r="AY30" s="16"/>
      <c r="AZ30" s="39"/>
      <c r="BA30" s="39"/>
      <c r="BB30" s="39"/>
      <c r="BC30" s="39"/>
      <c r="BD30" s="39"/>
    </row>
    <row r="31" spans="1:56" ht="18" customHeight="1">
      <c r="A31" s="4"/>
      <c r="B31" s="9"/>
      <c r="C31" s="4"/>
      <c r="D31" s="4"/>
      <c r="E31" s="4"/>
      <c r="F31" s="4"/>
      <c r="G31" s="4"/>
      <c r="H31" s="4"/>
      <c r="I31" s="4"/>
      <c r="J31" s="4"/>
      <c r="K31" s="23"/>
      <c r="L31" s="22"/>
      <c r="M31" s="19" t="s">
        <v>39</v>
      </c>
      <c r="N31" s="22"/>
      <c r="O31" s="23"/>
      <c r="P31" s="4"/>
      <c r="Q31" s="14"/>
      <c r="R31" s="4"/>
      <c r="S31" s="24"/>
      <c r="T31" s="22"/>
      <c r="U31" s="19" t="s">
        <v>39</v>
      </c>
      <c r="V31" s="22"/>
      <c r="W31" s="2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17"/>
      <c r="AX31" s="16" t="s">
        <v>55</v>
      </c>
      <c r="AY31" s="16"/>
      <c r="AZ31" s="39"/>
      <c r="BA31" s="39"/>
      <c r="BB31" s="39"/>
      <c r="BC31" s="39"/>
      <c r="BD31" s="39"/>
    </row>
    <row r="32" spans="1:56" ht="18" customHeight="1">
      <c r="A32" s="4"/>
      <c r="B32" s="9"/>
      <c r="C32" s="4"/>
      <c r="D32" s="4"/>
      <c r="E32" s="4"/>
      <c r="F32" s="4"/>
      <c r="G32" s="4"/>
      <c r="H32" s="4"/>
      <c r="I32" s="4"/>
      <c r="J32" s="4"/>
      <c r="K32" s="14"/>
      <c r="L32" s="14"/>
      <c r="M32" s="14"/>
      <c r="N32" s="14"/>
      <c r="O32" s="14"/>
      <c r="P32" s="4"/>
      <c r="Q32" s="14"/>
      <c r="R32" s="4"/>
      <c r="S32" s="14"/>
      <c r="T32" s="14"/>
      <c r="U32" s="14"/>
      <c r="V32" s="14"/>
      <c r="W32" s="14"/>
      <c r="X32" s="4"/>
      <c r="Y32" s="4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7"/>
      <c r="AX32" s="16" t="s">
        <v>81</v>
      </c>
      <c r="AY32" s="16"/>
      <c r="AZ32" s="39"/>
      <c r="BA32" s="39"/>
      <c r="BB32" s="39"/>
      <c r="BC32" s="39"/>
      <c r="BD32" s="39"/>
    </row>
    <row r="33" spans="1:56" ht="18" customHeight="1">
      <c r="A33" s="4"/>
      <c r="B33" s="9"/>
      <c r="D33" s="4"/>
      <c r="E33" s="4"/>
      <c r="F33" s="4"/>
      <c r="G33" s="4"/>
      <c r="H33" s="4"/>
      <c r="I33" s="4"/>
      <c r="J33" s="4"/>
      <c r="K33" s="14"/>
      <c r="L33" s="14"/>
      <c r="M33" s="14"/>
      <c r="N33" s="14"/>
      <c r="O33" s="14"/>
      <c r="P33" s="4"/>
      <c r="Q33" s="4" t="s">
        <v>8</v>
      </c>
      <c r="R33" s="14"/>
      <c r="S33" s="14"/>
      <c r="T33" s="14"/>
      <c r="U33" s="14"/>
      <c r="V33" s="14"/>
      <c r="W33" s="14"/>
      <c r="X33" s="4"/>
      <c r="Y33" s="4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7"/>
      <c r="AX33" s="16" t="s">
        <v>54</v>
      </c>
      <c r="AY33" s="16"/>
      <c r="AZ33" s="39"/>
      <c r="BA33" s="39"/>
      <c r="BB33" s="39"/>
      <c r="BC33" s="39"/>
      <c r="BD33" s="39"/>
    </row>
    <row r="34" spans="1:56" ht="18" customHeight="1">
      <c r="A34" s="4"/>
      <c r="B34" s="9"/>
      <c r="C34" s="4"/>
      <c r="D34" s="4"/>
      <c r="E34" s="4"/>
      <c r="F34" s="4"/>
      <c r="G34" s="4"/>
      <c r="H34" s="4"/>
      <c r="I34" s="4"/>
      <c r="J34" s="4"/>
      <c r="K34" s="14"/>
      <c r="L34" s="14"/>
      <c r="M34" s="14"/>
      <c r="N34" s="14"/>
      <c r="O34" s="14"/>
      <c r="P34" s="4"/>
      <c r="Q34" s="14"/>
      <c r="R34" s="14"/>
      <c r="S34" s="14"/>
      <c r="T34" s="14"/>
      <c r="U34" s="14"/>
      <c r="V34" s="14"/>
      <c r="W34" s="14"/>
      <c r="X34" s="4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7"/>
      <c r="AX34" s="16" t="s">
        <v>59</v>
      </c>
      <c r="AY34" s="16"/>
      <c r="AZ34" s="39"/>
      <c r="BA34" s="39"/>
      <c r="BB34" s="39"/>
      <c r="BC34" s="39"/>
      <c r="BD34" s="39"/>
    </row>
    <row r="35" spans="1:56" ht="18" customHeight="1">
      <c r="A35" s="4"/>
      <c r="B35" s="9"/>
      <c r="C35" s="4"/>
      <c r="D35" s="4"/>
      <c r="E35" s="4"/>
      <c r="F35" s="4"/>
      <c r="G35" s="4"/>
      <c r="H35" s="4"/>
      <c r="I35" s="4"/>
      <c r="J35" s="4"/>
      <c r="K35" s="21"/>
      <c r="L35" s="22"/>
      <c r="M35" s="19" t="s">
        <v>39</v>
      </c>
      <c r="N35" s="22"/>
      <c r="O35" s="21"/>
      <c r="P35" s="14"/>
      <c r="Q35" s="14"/>
      <c r="R35" s="14"/>
      <c r="S35" s="20"/>
      <c r="T35" s="22"/>
      <c r="U35" s="19" t="s">
        <v>39</v>
      </c>
      <c r="V35" s="22"/>
      <c r="W35" s="20"/>
      <c r="X35" s="4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7"/>
      <c r="AX35" s="16" t="s">
        <v>52</v>
      </c>
      <c r="AY35" s="16"/>
      <c r="AZ35" s="39"/>
      <c r="BA35" s="39"/>
      <c r="BB35" s="39"/>
      <c r="BC35" s="39"/>
      <c r="BD35" s="39"/>
    </row>
    <row r="36" spans="1:56" ht="18" customHeight="1">
      <c r="A36" s="4"/>
      <c r="B36" s="9"/>
      <c r="C36" s="4"/>
      <c r="D36" s="4"/>
      <c r="E36" s="4"/>
      <c r="F36" s="4"/>
      <c r="G36" s="4"/>
      <c r="H36" s="4"/>
      <c r="I36" s="4"/>
      <c r="J36" s="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4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7"/>
      <c r="AX36" s="16" t="s">
        <v>3</v>
      </c>
      <c r="AY36" s="16"/>
      <c r="AZ36" s="39"/>
      <c r="BA36" s="39"/>
      <c r="BB36" s="39"/>
      <c r="BC36" s="39"/>
      <c r="BD36" s="39"/>
    </row>
    <row r="37" spans="1:56" ht="18" customHeight="1">
      <c r="A37" s="4"/>
      <c r="B37" s="9"/>
      <c r="C37" s="4"/>
      <c r="D37" s="4"/>
      <c r="E37" s="4"/>
      <c r="F37" s="4"/>
      <c r="G37" s="4"/>
      <c r="H37" s="4"/>
      <c r="I37" s="4"/>
      <c r="J37" s="4"/>
      <c r="K37" s="21"/>
      <c r="L37" s="22"/>
      <c r="M37" s="19" t="s">
        <v>39</v>
      </c>
      <c r="N37" s="22"/>
      <c r="O37" s="21"/>
      <c r="P37" s="14"/>
      <c r="Q37" s="14"/>
      <c r="R37" s="14"/>
      <c r="S37" s="20"/>
      <c r="T37" s="22"/>
      <c r="U37" s="19" t="s">
        <v>39</v>
      </c>
      <c r="V37" s="22"/>
      <c r="W37" s="20"/>
      <c r="X37" s="4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7"/>
      <c r="AX37" s="16" t="s">
        <v>75</v>
      </c>
      <c r="AY37" s="16"/>
      <c r="AZ37" s="39"/>
      <c r="BA37" s="39"/>
      <c r="BB37" s="39"/>
      <c r="BC37" s="39"/>
      <c r="BD37" s="39"/>
    </row>
    <row r="38" spans="1:56" ht="18" customHeight="1">
      <c r="A38" s="4"/>
      <c r="B38" s="9"/>
      <c r="C38" s="4"/>
      <c r="D38" s="4"/>
      <c r="E38" s="4"/>
      <c r="F38" s="4"/>
      <c r="G38" s="4"/>
      <c r="H38" s="4"/>
      <c r="I38" s="4"/>
      <c r="J38" s="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4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7"/>
      <c r="AX38" s="16" t="s">
        <v>71</v>
      </c>
      <c r="AY38" s="16"/>
      <c r="AZ38" s="39"/>
      <c r="BA38" s="39"/>
      <c r="BB38" s="39"/>
      <c r="BC38" s="39"/>
      <c r="BD38" s="39"/>
    </row>
    <row r="39" spans="1:56" ht="18" customHeight="1">
      <c r="A39" s="4"/>
      <c r="B39" s="9"/>
      <c r="D39" s="4"/>
      <c r="E39" s="4"/>
      <c r="F39" s="4"/>
      <c r="G39" s="4"/>
      <c r="H39" s="4"/>
      <c r="I39" s="4"/>
      <c r="J39" s="4"/>
      <c r="K39" s="14"/>
      <c r="L39" s="14"/>
      <c r="M39" s="14"/>
      <c r="N39" s="14"/>
      <c r="O39" s="14"/>
      <c r="P39" s="14"/>
      <c r="Q39" s="4" t="s">
        <v>9</v>
      </c>
      <c r="R39" s="14"/>
      <c r="S39" s="14"/>
      <c r="T39" s="14"/>
      <c r="U39" s="14"/>
      <c r="V39" s="14"/>
      <c r="W39" s="14"/>
      <c r="X39" s="4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7"/>
      <c r="AX39" s="16" t="s">
        <v>85</v>
      </c>
      <c r="AY39" s="16"/>
      <c r="AZ39" s="39"/>
      <c r="BA39" s="39"/>
      <c r="BB39" s="39"/>
      <c r="BC39" s="39"/>
      <c r="BD39" s="39"/>
    </row>
    <row r="40" spans="1:56" ht="18" customHeight="1">
      <c r="A40" s="4"/>
      <c r="B40" s="9"/>
      <c r="C40" s="4"/>
      <c r="D40" s="4"/>
      <c r="E40" s="4"/>
      <c r="F40" s="4"/>
      <c r="G40" s="4"/>
      <c r="H40" s="4"/>
      <c r="I40" s="4"/>
      <c r="J40" s="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4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7"/>
      <c r="AX40" s="16" t="s">
        <v>60</v>
      </c>
      <c r="AY40" s="16"/>
      <c r="AZ40" s="39"/>
      <c r="BA40" s="39"/>
      <c r="BB40" s="39"/>
      <c r="BC40" s="39"/>
      <c r="BD40" s="39"/>
    </row>
    <row r="41" spans="1:56" ht="18" customHeight="1">
      <c r="A41" s="4"/>
      <c r="B41" s="9"/>
      <c r="C41" s="4"/>
      <c r="D41" s="4"/>
      <c r="E41" s="4"/>
      <c r="F41" s="4"/>
      <c r="G41" s="4"/>
      <c r="H41" s="4"/>
      <c r="I41" s="4"/>
      <c r="J41" s="4"/>
      <c r="K41" s="21"/>
      <c r="L41" s="22"/>
      <c r="M41" s="19" t="s">
        <v>39</v>
      </c>
      <c r="N41" s="22"/>
      <c r="O41" s="21"/>
      <c r="P41" s="14"/>
      <c r="Q41" s="14"/>
      <c r="R41" s="14"/>
      <c r="S41" s="20"/>
      <c r="T41" s="22"/>
      <c r="U41" s="19" t="s">
        <v>39</v>
      </c>
      <c r="V41" s="22"/>
      <c r="W41" s="20"/>
      <c r="X41" s="4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7"/>
      <c r="AX41" s="16" t="s">
        <v>5</v>
      </c>
      <c r="AY41" s="16"/>
      <c r="AZ41" s="39"/>
      <c r="BA41" s="39"/>
      <c r="BB41" s="39"/>
      <c r="BC41" s="39"/>
      <c r="BD41" s="39"/>
    </row>
    <row r="42" spans="1:56" ht="18" customHeight="1">
      <c r="A42" s="4"/>
      <c r="B42" s="9"/>
      <c r="C42" s="4"/>
      <c r="D42" s="4"/>
      <c r="E42" s="4"/>
      <c r="F42" s="4"/>
      <c r="G42" s="4"/>
      <c r="H42" s="4"/>
      <c r="I42" s="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4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7"/>
      <c r="AX42" s="16" t="s">
        <v>56</v>
      </c>
      <c r="AY42" s="16"/>
      <c r="AZ42" s="39"/>
      <c r="BA42" s="39"/>
      <c r="BB42" s="39"/>
      <c r="BC42" s="39"/>
      <c r="BD42" s="39"/>
    </row>
    <row r="43" spans="1:56" ht="18" customHeight="1">
      <c r="A43" s="4"/>
      <c r="B43" s="9"/>
      <c r="D43" s="4"/>
      <c r="E43" s="4"/>
      <c r="F43" s="4"/>
      <c r="G43" s="4"/>
      <c r="H43" s="4"/>
      <c r="I43" s="4"/>
      <c r="J43" s="15"/>
      <c r="K43" s="15"/>
      <c r="L43" s="15"/>
      <c r="M43" s="15"/>
      <c r="N43" s="15"/>
      <c r="O43" s="15"/>
      <c r="P43" s="15"/>
      <c r="Q43" s="4" t="s">
        <v>10</v>
      </c>
      <c r="R43" s="15"/>
      <c r="S43" s="15"/>
      <c r="T43" s="15"/>
      <c r="U43" s="15"/>
      <c r="V43" s="15"/>
      <c r="W43" s="15"/>
      <c r="X43" s="4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7"/>
      <c r="AX43" s="16" t="s">
        <v>73</v>
      </c>
      <c r="AY43" s="16"/>
      <c r="AZ43" s="39"/>
      <c r="BA43" s="39"/>
      <c r="BB43" s="39"/>
      <c r="BC43" s="39"/>
      <c r="BD43" s="39"/>
    </row>
    <row r="44" spans="1:56" ht="18" customHeight="1">
      <c r="A44" s="4"/>
      <c r="B44" s="9"/>
      <c r="C44" s="4"/>
      <c r="D44" s="4"/>
      <c r="E44" s="4"/>
      <c r="F44" s="4"/>
      <c r="G44" s="4"/>
      <c r="H44" s="4"/>
      <c r="I44" s="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7"/>
      <c r="AX44" s="16" t="s">
        <v>53</v>
      </c>
      <c r="AY44" s="16"/>
      <c r="AZ44" s="39"/>
      <c r="BA44" s="39"/>
      <c r="BB44" s="39"/>
      <c r="BC44" s="39"/>
      <c r="BD44" s="39"/>
    </row>
    <row r="45" spans="1:56" ht="18" customHeight="1">
      <c r="A45" s="4"/>
      <c r="B45" s="9"/>
      <c r="C45" s="4"/>
      <c r="D45" s="4"/>
      <c r="E45" s="4"/>
      <c r="F45" s="4"/>
      <c r="G45" s="4"/>
      <c r="H45" s="4"/>
      <c r="I45" s="4"/>
      <c r="J45" s="15"/>
      <c r="K45" s="15"/>
      <c r="L45" s="15"/>
      <c r="M45" s="15"/>
      <c r="N45" s="15"/>
      <c r="O45" s="21"/>
      <c r="P45" s="22"/>
      <c r="Q45" s="19" t="s">
        <v>39</v>
      </c>
      <c r="R45" s="22"/>
      <c r="S45" s="20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7"/>
      <c r="AX45" s="16" t="s">
        <v>76</v>
      </c>
      <c r="AY45" s="16"/>
      <c r="AZ45" s="39"/>
      <c r="BA45" s="39"/>
      <c r="BB45" s="39"/>
      <c r="BC45" s="39"/>
      <c r="BD45" s="39"/>
    </row>
    <row r="46" spans="1:56" ht="18" customHeight="1">
      <c r="A46" s="4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17"/>
      <c r="AX46" s="16" t="s">
        <v>42</v>
      </c>
      <c r="AY46" s="16"/>
      <c r="AZ46" s="39"/>
      <c r="BA46" s="39"/>
      <c r="BB46" s="39"/>
      <c r="BC46" s="39"/>
      <c r="BD46" s="39"/>
    </row>
    <row r="47" spans="1:56" ht="18" customHeight="1">
      <c r="C47" s="7"/>
      <c r="D47" s="7"/>
      <c r="E47" s="7"/>
      <c r="F47" s="7"/>
      <c r="G47" s="7"/>
      <c r="H47" s="7"/>
      <c r="I47" s="7"/>
      <c r="J47" s="7"/>
      <c r="K47" s="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AW47" s="17"/>
      <c r="AX47" s="16" t="s">
        <v>6</v>
      </c>
      <c r="AY47" s="16"/>
      <c r="AZ47" s="39"/>
      <c r="BA47" s="39"/>
      <c r="BB47" s="39"/>
      <c r="BC47" s="39"/>
      <c r="BD47" s="39"/>
    </row>
    <row r="48" spans="1:56" ht="18" customHeight="1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AW48" s="17"/>
      <c r="AX48" s="16" t="s">
        <v>66</v>
      </c>
      <c r="AY48" s="16"/>
      <c r="AZ48" s="39"/>
      <c r="BA48" s="39"/>
      <c r="BB48" s="39"/>
      <c r="BC48" s="39"/>
      <c r="BD48" s="39"/>
    </row>
    <row r="49" spans="2:56" ht="18" customHeight="1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AW49" s="17"/>
      <c r="AX49" s="16" t="s">
        <v>67</v>
      </c>
      <c r="AY49" s="16"/>
      <c r="AZ49" s="39"/>
      <c r="BA49" s="39"/>
      <c r="BB49" s="39"/>
      <c r="BC49" s="39"/>
      <c r="BD49" s="39"/>
    </row>
    <row r="50" spans="2:56" ht="18" customHeight="1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AW50" s="17"/>
      <c r="AX50" s="16" t="s">
        <v>44</v>
      </c>
      <c r="AY50" s="16"/>
      <c r="AZ50" s="39"/>
      <c r="BA50" s="39"/>
      <c r="BB50" s="39"/>
      <c r="BC50" s="39"/>
      <c r="BD50" s="39"/>
    </row>
    <row r="51" spans="2:56" ht="18" customHeight="1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AW51" s="17"/>
      <c r="AX51" s="16" t="s">
        <v>72</v>
      </c>
      <c r="AY51" s="16"/>
      <c r="AZ51" s="39"/>
      <c r="BA51" s="39"/>
      <c r="BB51" s="39"/>
      <c r="BC51" s="39"/>
      <c r="BD51" s="39"/>
    </row>
    <row r="52" spans="2:56" ht="18" customHeight="1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AW52" s="17"/>
      <c r="AX52" s="16" t="s">
        <v>61</v>
      </c>
      <c r="AY52" s="16"/>
      <c r="AZ52" s="39"/>
      <c r="BA52" s="39"/>
      <c r="BB52" s="39"/>
      <c r="BC52" s="39"/>
      <c r="BD52" s="39"/>
    </row>
    <row r="53" spans="2:56" ht="18" customHeight="1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AW53" s="17"/>
      <c r="AX53" s="16" t="s">
        <v>83</v>
      </c>
      <c r="AY53" s="16"/>
      <c r="AZ53" s="39"/>
      <c r="BA53" s="39"/>
      <c r="BB53" s="39"/>
      <c r="BC53" s="39"/>
      <c r="BD53" s="39"/>
    </row>
    <row r="54" spans="2:56" ht="18" customHeight="1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AW54" s="17"/>
      <c r="AX54" s="16" t="s">
        <v>64</v>
      </c>
      <c r="AY54" s="16"/>
      <c r="AZ54" s="39"/>
      <c r="BA54" s="39"/>
      <c r="BB54" s="39"/>
      <c r="BC54" s="39"/>
      <c r="BD54" s="39"/>
    </row>
    <row r="55" spans="2:56" ht="18" customHeight="1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2:56" ht="18" customHeight="1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2:56" ht="18" customHeight="1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2:56" ht="18" customHeight="1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56" ht="18" customHeight="1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56" ht="18" customHeight="1">
      <c r="B60" s="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56" ht="18" customHeight="1">
      <c r="B61" s="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56" ht="18" customHeight="1"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56" ht="18" customHeight="1">
      <c r="B63" s="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56" ht="18" customHeight="1">
      <c r="B64" s="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ht="18" customHeight="1"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>
      <c r="B67" s="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>
      <c r="B69" s="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>
      <c r="B72" s="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>
      <c r="B73" s="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</sheetData>
  <sortState xmlns:xlrd2="http://schemas.microsoft.com/office/spreadsheetml/2017/richdata2" ref="AX7:AX54">
    <sortCondition ref="AX7:AX54"/>
  </sortState>
  <conditionalFormatting sqref="C7:C10 G7:G10 K7:K10 O7:O10 S7:S10 W7:W10 AA7:AA10 AE7:AE10 AM7:AM10 AU7:AU10">
    <cfRule type="cellIs" dxfId="291" priority="145" operator="between">
      <formula>3</formula>
      <formula>4</formula>
    </cfRule>
    <cfRule type="cellIs" dxfId="290" priority="146" operator="equal">
      <formula>"o"</formula>
    </cfRule>
  </conditionalFormatting>
  <conditionalFormatting sqref="C15">
    <cfRule type="cellIs" dxfId="289" priority="107" operator="between">
      <formula>3</formula>
      <formula>4</formula>
    </cfRule>
    <cfRule type="cellIs" dxfId="288" priority="108" operator="equal">
      <formula>"o"</formula>
    </cfRule>
  </conditionalFormatting>
  <conditionalFormatting sqref="C17">
    <cfRule type="cellIs" dxfId="287" priority="103" operator="between">
      <formula>3</formula>
      <formula>4</formula>
    </cfRule>
    <cfRule type="cellIs" dxfId="286" priority="104" operator="equal">
      <formula>"o"</formula>
    </cfRule>
  </conditionalFormatting>
  <conditionalFormatting sqref="C19">
    <cfRule type="cellIs" dxfId="285" priority="99" operator="between">
      <formula>3</formula>
      <formula>4</formula>
    </cfRule>
    <cfRule type="cellIs" dxfId="284" priority="100" operator="equal">
      <formula>"o"</formula>
    </cfRule>
  </conditionalFormatting>
  <conditionalFormatting sqref="C21">
    <cfRule type="cellIs" dxfId="283" priority="93" operator="between">
      <formula>3</formula>
      <formula>4</formula>
    </cfRule>
    <cfRule type="cellIs" dxfId="282" priority="94" operator="equal">
      <formula>"o"</formula>
    </cfRule>
  </conditionalFormatting>
  <conditionalFormatting sqref="G15">
    <cfRule type="cellIs" dxfId="281" priority="17" operator="between">
      <formula>3</formula>
      <formula>4</formula>
    </cfRule>
    <cfRule type="cellIs" dxfId="280" priority="18" operator="equal">
      <formula>"o"</formula>
    </cfRule>
  </conditionalFormatting>
  <conditionalFormatting sqref="G17">
    <cfRule type="cellIs" dxfId="279" priority="13" operator="between">
      <formula>3</formula>
      <formula>4</formula>
    </cfRule>
    <cfRule type="cellIs" dxfId="278" priority="14" operator="equal">
      <formula>"o"</formula>
    </cfRule>
  </conditionalFormatting>
  <conditionalFormatting sqref="G19">
    <cfRule type="cellIs" dxfId="277" priority="97" operator="between">
      <formula>3</formula>
      <formula>4</formula>
    </cfRule>
    <cfRule type="cellIs" dxfId="276" priority="98" operator="equal">
      <formula>"o"</formula>
    </cfRule>
  </conditionalFormatting>
  <conditionalFormatting sqref="G21">
    <cfRule type="cellIs" dxfId="275" priority="95" operator="between">
      <formula>3</formula>
      <formula>4</formula>
    </cfRule>
    <cfRule type="cellIs" dxfId="274" priority="96" operator="equal">
      <formula>"o"</formula>
    </cfRule>
  </conditionalFormatting>
  <conditionalFormatting sqref="K15">
    <cfRule type="cellIs" dxfId="273" priority="139" operator="between">
      <formula>3</formula>
      <formula>4</formula>
    </cfRule>
    <cfRule type="cellIs" dxfId="272" priority="140" operator="equal">
      <formula>"o"</formula>
    </cfRule>
  </conditionalFormatting>
  <conditionalFormatting sqref="K17">
    <cfRule type="cellIs" dxfId="271" priority="131" operator="between">
      <formula>3</formula>
      <formula>4</formula>
    </cfRule>
    <cfRule type="cellIs" dxfId="270" priority="132" operator="equal">
      <formula>"o"</formula>
    </cfRule>
  </conditionalFormatting>
  <conditionalFormatting sqref="K19">
    <cfRule type="cellIs" dxfId="269" priority="123" operator="between">
      <formula>3</formula>
      <formula>4</formula>
    </cfRule>
    <cfRule type="cellIs" dxfId="268" priority="124" operator="equal">
      <formula>"o"</formula>
    </cfRule>
  </conditionalFormatting>
  <conditionalFormatting sqref="K21">
    <cfRule type="cellIs" dxfId="267" priority="111" operator="between">
      <formula>3</formula>
      <formula>4</formula>
    </cfRule>
    <cfRule type="cellIs" dxfId="266" priority="112" operator="equal">
      <formula>"o"</formula>
    </cfRule>
  </conditionalFormatting>
  <conditionalFormatting sqref="K25">
    <cfRule type="cellIs" dxfId="265" priority="1449" operator="between">
      <formula>3</formula>
      <formula>4</formula>
    </cfRule>
    <cfRule type="cellIs" dxfId="264" priority="1450" operator="equal">
      <formula>"o"</formula>
    </cfRule>
  </conditionalFormatting>
  <conditionalFormatting sqref="K27">
    <cfRule type="cellIs" dxfId="263" priority="247" operator="between">
      <formula>3</formula>
      <formula>4</formula>
    </cfRule>
    <cfRule type="cellIs" dxfId="262" priority="248" operator="equal">
      <formula>"o"</formula>
    </cfRule>
  </conditionalFormatting>
  <conditionalFormatting sqref="K29">
    <cfRule type="cellIs" dxfId="261" priority="215" operator="between">
      <formula>3</formula>
      <formula>4</formula>
    </cfRule>
    <cfRule type="cellIs" dxfId="260" priority="216" operator="equal">
      <formula>"o"</formula>
    </cfRule>
  </conditionalFormatting>
  <conditionalFormatting sqref="K31">
    <cfRule type="cellIs" dxfId="259" priority="167" operator="between">
      <formula>3</formula>
      <formula>4</formula>
    </cfRule>
    <cfRule type="cellIs" dxfId="258" priority="168" operator="equal">
      <formula>"o"</formula>
    </cfRule>
  </conditionalFormatting>
  <conditionalFormatting sqref="K35">
    <cfRule type="cellIs" dxfId="257" priority="1133" operator="between">
      <formula>3</formula>
      <formula>4</formula>
    </cfRule>
    <cfRule type="cellIs" dxfId="256" priority="1134" operator="equal">
      <formula>"o"</formula>
    </cfRule>
  </conditionalFormatting>
  <conditionalFormatting sqref="K37">
    <cfRule type="cellIs" dxfId="255" priority="1131" operator="between">
      <formula>3</formula>
      <formula>4</formula>
    </cfRule>
    <cfRule type="cellIs" dxfId="254" priority="1132" operator="equal">
      <formula>"o"</formula>
    </cfRule>
  </conditionalFormatting>
  <conditionalFormatting sqref="K41">
    <cfRule type="cellIs" dxfId="253" priority="609" operator="between">
      <formula>3</formula>
      <formula>4</formula>
    </cfRule>
    <cfRule type="cellIs" dxfId="252" priority="610" operator="equal">
      <formula>"o"</formula>
    </cfRule>
  </conditionalFormatting>
  <conditionalFormatting sqref="O15">
    <cfRule type="cellIs" dxfId="251" priority="133" operator="between">
      <formula>3</formula>
      <formula>4</formula>
    </cfRule>
    <cfRule type="cellIs" dxfId="250" priority="134" operator="equal">
      <formula>"o"</formula>
    </cfRule>
  </conditionalFormatting>
  <conditionalFormatting sqref="O17">
    <cfRule type="cellIs" dxfId="249" priority="129" operator="between">
      <formula>3</formula>
      <formula>4</formula>
    </cfRule>
    <cfRule type="cellIs" dxfId="248" priority="130" operator="equal">
      <formula>"o"</formula>
    </cfRule>
  </conditionalFormatting>
  <conditionalFormatting sqref="O19">
    <cfRule type="cellIs" dxfId="247" priority="11" operator="between">
      <formula>3</formula>
      <formula>4</formula>
    </cfRule>
    <cfRule type="cellIs" dxfId="246" priority="12" operator="equal">
      <formula>"o"</formula>
    </cfRule>
  </conditionalFormatting>
  <conditionalFormatting sqref="O21">
    <cfRule type="cellIs" dxfId="245" priority="9" operator="between">
      <formula>3</formula>
      <formula>4</formula>
    </cfRule>
    <cfRule type="cellIs" dxfId="244" priority="10" operator="equal">
      <formula>"o"</formula>
    </cfRule>
  </conditionalFormatting>
  <conditionalFormatting sqref="O25">
    <cfRule type="cellIs" dxfId="243" priority="271" operator="between">
      <formula>3</formula>
      <formula>4</formula>
    </cfRule>
    <cfRule type="cellIs" dxfId="242" priority="272" operator="equal">
      <formula>"o"</formula>
    </cfRule>
  </conditionalFormatting>
  <conditionalFormatting sqref="O27">
    <cfRule type="cellIs" dxfId="241" priority="245" operator="between">
      <formula>3</formula>
      <formula>4</formula>
    </cfRule>
    <cfRule type="cellIs" dxfId="240" priority="246" operator="equal">
      <formula>"o"</formula>
    </cfRule>
  </conditionalFormatting>
  <conditionalFormatting sqref="O29">
    <cfRule type="cellIs" dxfId="239" priority="213" operator="between">
      <formula>3</formula>
      <formula>4</formula>
    </cfRule>
    <cfRule type="cellIs" dxfId="238" priority="214" operator="equal">
      <formula>"o"</formula>
    </cfRule>
  </conditionalFormatting>
  <conditionalFormatting sqref="O31">
    <cfRule type="cellIs" dxfId="237" priority="183" operator="between">
      <formula>3</formula>
      <formula>4</formula>
    </cfRule>
    <cfRule type="cellIs" dxfId="236" priority="184" operator="equal">
      <formula>"o"</formula>
    </cfRule>
  </conditionalFormatting>
  <conditionalFormatting sqref="O35">
    <cfRule type="cellIs" dxfId="235" priority="1123" operator="between">
      <formula>3</formula>
      <formula>4</formula>
    </cfRule>
    <cfRule type="cellIs" dxfId="234" priority="1124" operator="equal">
      <formula>"o"</formula>
    </cfRule>
  </conditionalFormatting>
  <conditionalFormatting sqref="O37">
    <cfRule type="cellIs" dxfId="233" priority="661" operator="between">
      <formula>3</formula>
      <formula>4</formula>
    </cfRule>
    <cfRule type="cellIs" dxfId="232" priority="662" operator="equal">
      <formula>"o"</formula>
    </cfRule>
  </conditionalFormatting>
  <conditionalFormatting sqref="O41">
    <cfRule type="cellIs" dxfId="231" priority="607" operator="between">
      <formula>3</formula>
      <formula>4</formula>
    </cfRule>
    <cfRule type="cellIs" dxfId="230" priority="608" operator="equal">
      <formula>"o"</formula>
    </cfRule>
  </conditionalFormatting>
  <conditionalFormatting sqref="O45">
    <cfRule type="cellIs" dxfId="229" priority="575" operator="between">
      <formula>3</formula>
      <formula>4</formula>
    </cfRule>
    <cfRule type="cellIs" dxfId="228" priority="576" operator="equal">
      <formula>"o"</formula>
    </cfRule>
  </conditionalFormatting>
  <conditionalFormatting sqref="S15">
    <cfRule type="cellIs" dxfId="227" priority="135" operator="between">
      <formula>3</formula>
      <formula>4</formula>
    </cfRule>
    <cfRule type="cellIs" dxfId="226" priority="136" operator="equal">
      <formula>"o"</formula>
    </cfRule>
  </conditionalFormatting>
  <conditionalFormatting sqref="S17">
    <cfRule type="cellIs" dxfId="225" priority="127" operator="between">
      <formula>3</formula>
      <formula>4</formula>
    </cfRule>
    <cfRule type="cellIs" dxfId="224" priority="128" operator="equal">
      <formula>"o"</formula>
    </cfRule>
  </conditionalFormatting>
  <conditionalFormatting sqref="S19">
    <cfRule type="cellIs" dxfId="223" priority="119" operator="between">
      <formula>3</formula>
      <formula>4</formula>
    </cfRule>
    <cfRule type="cellIs" dxfId="222" priority="120" operator="equal">
      <formula>"o"</formula>
    </cfRule>
  </conditionalFormatting>
  <conditionalFormatting sqref="S21">
    <cfRule type="cellIs" dxfId="221" priority="113" operator="between">
      <formula>3</formula>
      <formula>4</formula>
    </cfRule>
    <cfRule type="cellIs" dxfId="220" priority="114" operator="equal">
      <formula>"o"</formula>
    </cfRule>
  </conditionalFormatting>
  <conditionalFormatting sqref="S25">
    <cfRule type="cellIs" dxfId="219" priority="273" operator="between">
      <formula>3</formula>
      <formula>4</formula>
    </cfRule>
    <cfRule type="cellIs" dxfId="218" priority="274" operator="equal">
      <formula>"o"</formula>
    </cfRule>
  </conditionalFormatting>
  <conditionalFormatting sqref="S27">
    <cfRule type="cellIs" dxfId="217" priority="231" operator="between">
      <formula>3</formula>
      <formula>4</formula>
    </cfRule>
    <cfRule type="cellIs" dxfId="216" priority="232" operator="equal">
      <formula>"o"</formula>
    </cfRule>
  </conditionalFormatting>
  <conditionalFormatting sqref="S29">
    <cfRule type="cellIs" dxfId="215" priority="199" operator="between">
      <formula>3</formula>
      <formula>4</formula>
    </cfRule>
    <cfRule type="cellIs" dxfId="214" priority="200" operator="equal">
      <formula>"o"</formula>
    </cfRule>
  </conditionalFormatting>
  <conditionalFormatting sqref="S31">
    <cfRule type="cellIs" dxfId="213" priority="169" operator="between">
      <formula>3</formula>
      <formula>4</formula>
    </cfRule>
    <cfRule type="cellIs" dxfId="212" priority="170" operator="equal">
      <formula>"o"</formula>
    </cfRule>
  </conditionalFormatting>
  <conditionalFormatting sqref="S35">
    <cfRule type="cellIs" dxfId="211" priority="679" operator="between">
      <formula>3</formula>
      <formula>4</formula>
    </cfRule>
    <cfRule type="cellIs" dxfId="210" priority="680" operator="equal">
      <formula>"o"</formula>
    </cfRule>
  </conditionalFormatting>
  <conditionalFormatting sqref="S37">
    <cfRule type="cellIs" dxfId="209" priority="693" operator="between">
      <formula>3</formula>
      <formula>4</formula>
    </cfRule>
    <cfRule type="cellIs" dxfId="208" priority="694" operator="equal">
      <formula>"o"</formula>
    </cfRule>
  </conditionalFormatting>
  <conditionalFormatting sqref="S41">
    <cfRule type="cellIs" dxfId="207" priority="589" operator="between">
      <formula>3</formula>
      <formula>4</formula>
    </cfRule>
    <cfRule type="cellIs" dxfId="206" priority="590" operator="equal">
      <formula>"o"</formula>
    </cfRule>
  </conditionalFormatting>
  <conditionalFormatting sqref="S45">
    <cfRule type="cellIs" dxfId="205" priority="563" operator="between">
      <formula>3</formula>
      <formula>4</formula>
    </cfRule>
    <cfRule type="cellIs" dxfId="204" priority="564" operator="equal">
      <formula>"o"</formula>
    </cfRule>
  </conditionalFormatting>
  <conditionalFormatting sqref="W15">
    <cfRule type="cellIs" dxfId="203" priority="137" operator="between">
      <formula>3</formula>
      <formula>4</formula>
    </cfRule>
    <cfRule type="cellIs" dxfId="202" priority="138" operator="equal">
      <formula>"o"</formula>
    </cfRule>
  </conditionalFormatting>
  <conditionalFormatting sqref="W17">
    <cfRule type="cellIs" dxfId="201" priority="125" operator="between">
      <formula>3</formula>
      <formula>4</formula>
    </cfRule>
    <cfRule type="cellIs" dxfId="200" priority="126" operator="equal">
      <formula>"o"</formula>
    </cfRule>
  </conditionalFormatting>
  <conditionalFormatting sqref="W19">
    <cfRule type="cellIs" dxfId="199" priority="5" operator="between">
      <formula>3</formula>
      <formula>4</formula>
    </cfRule>
    <cfRule type="cellIs" dxfId="198" priority="6" operator="equal">
      <formula>"o"</formula>
    </cfRule>
  </conditionalFormatting>
  <conditionalFormatting sqref="W21">
    <cfRule type="cellIs" dxfId="197" priority="7" operator="between">
      <formula>3</formula>
      <formula>4</formula>
    </cfRule>
    <cfRule type="cellIs" dxfId="196" priority="8" operator="equal">
      <formula>"o"</formula>
    </cfRule>
  </conditionalFormatting>
  <conditionalFormatting sqref="W25">
    <cfRule type="cellIs" dxfId="195" priority="373" operator="between">
      <formula>3</formula>
      <formula>4</formula>
    </cfRule>
    <cfRule type="cellIs" dxfId="194" priority="374" operator="equal">
      <formula>"o"</formula>
    </cfRule>
  </conditionalFormatting>
  <conditionalFormatting sqref="W27">
    <cfRule type="cellIs" dxfId="193" priority="217" operator="between">
      <formula>3</formula>
      <formula>4</formula>
    </cfRule>
    <cfRule type="cellIs" dxfId="192" priority="218" operator="equal">
      <formula>"o"</formula>
    </cfRule>
  </conditionalFormatting>
  <conditionalFormatting sqref="W29">
    <cfRule type="cellIs" dxfId="191" priority="185" operator="between">
      <formula>3</formula>
      <formula>4</formula>
    </cfRule>
    <cfRule type="cellIs" dxfId="190" priority="186" operator="equal">
      <formula>"o"</formula>
    </cfRule>
  </conditionalFormatting>
  <conditionalFormatting sqref="W31">
    <cfRule type="cellIs" dxfId="189" priority="153" operator="between">
      <formula>3</formula>
      <formula>4</formula>
    </cfRule>
    <cfRule type="cellIs" dxfId="188" priority="154" operator="equal">
      <formula>"o"</formula>
    </cfRule>
  </conditionalFormatting>
  <conditionalFormatting sqref="W35">
    <cfRule type="cellIs" dxfId="187" priority="647" operator="between">
      <formula>3</formula>
      <formula>4</formula>
    </cfRule>
    <cfRule type="cellIs" dxfId="186" priority="648" operator="equal">
      <formula>"o"</formula>
    </cfRule>
  </conditionalFormatting>
  <conditionalFormatting sqref="W37">
    <cfRule type="cellIs" dxfId="185" priority="613" operator="between">
      <formula>3</formula>
      <formula>4</formula>
    </cfRule>
    <cfRule type="cellIs" dxfId="184" priority="614" operator="equal">
      <formula>"o"</formula>
    </cfRule>
  </conditionalFormatting>
  <conditionalFormatting sqref="W41">
    <cfRule type="cellIs" dxfId="183" priority="581" operator="between">
      <formula>3</formula>
      <formula>4</formula>
    </cfRule>
    <cfRule type="cellIs" dxfId="182" priority="582" operator="equal">
      <formula>"o"</formula>
    </cfRule>
  </conditionalFormatting>
  <conditionalFormatting sqref="AA15">
    <cfRule type="cellIs" dxfId="181" priority="89" operator="between">
      <formula>3</formula>
      <formula>4</formula>
    </cfRule>
    <cfRule type="cellIs" dxfId="180" priority="90" operator="equal">
      <formula>"o"</formula>
    </cfRule>
  </conditionalFormatting>
  <conditionalFormatting sqref="AA17">
    <cfRule type="cellIs" dxfId="179" priority="87" operator="between">
      <formula>3</formula>
      <formula>4</formula>
    </cfRule>
    <cfRule type="cellIs" dxfId="178" priority="88" operator="equal">
      <formula>"o"</formula>
    </cfRule>
  </conditionalFormatting>
  <conditionalFormatting sqref="AA19">
    <cfRule type="cellIs" dxfId="177" priority="83" operator="between">
      <formula>3</formula>
      <formula>4</formula>
    </cfRule>
    <cfRule type="cellIs" dxfId="176" priority="84" operator="equal">
      <formula>"o"</formula>
    </cfRule>
  </conditionalFormatting>
  <conditionalFormatting sqref="AA21">
    <cfRule type="cellIs" dxfId="175" priority="79" operator="between">
      <formula>3</formula>
      <formula>4</formula>
    </cfRule>
    <cfRule type="cellIs" dxfId="174" priority="80" operator="equal">
      <formula>"o"</formula>
    </cfRule>
  </conditionalFormatting>
  <conditionalFormatting sqref="AE15">
    <cfRule type="cellIs" dxfId="173" priority="91" operator="between">
      <formula>3</formula>
      <formula>4</formula>
    </cfRule>
    <cfRule type="cellIs" dxfId="172" priority="92" operator="equal">
      <formula>"o"</formula>
    </cfRule>
  </conditionalFormatting>
  <conditionalFormatting sqref="AE17">
    <cfRule type="cellIs" dxfId="171" priority="85" operator="between">
      <formula>3</formula>
      <formula>4</formula>
    </cfRule>
    <cfRule type="cellIs" dxfId="170" priority="86" operator="equal">
      <formula>"o"</formula>
    </cfRule>
  </conditionalFormatting>
  <conditionalFormatting sqref="AE19">
    <cfRule type="cellIs" dxfId="169" priority="3" operator="between">
      <formula>3</formula>
      <formula>4</formula>
    </cfRule>
    <cfRule type="cellIs" dxfId="168" priority="4" operator="equal">
      <formula>"o"</formula>
    </cfRule>
  </conditionalFormatting>
  <conditionalFormatting sqref="AE21">
    <cfRule type="cellIs" dxfId="167" priority="1" operator="between">
      <formula>3</formula>
      <formula>4</formula>
    </cfRule>
    <cfRule type="cellIs" dxfId="166" priority="2" operator="equal">
      <formula>"o"</formula>
    </cfRule>
  </conditionalFormatting>
  <conditionalFormatting sqref="AI7:AI10">
    <cfRule type="cellIs" dxfId="165" priority="61" operator="between">
      <formula>3</formula>
      <formula>4</formula>
    </cfRule>
    <cfRule type="cellIs" dxfId="164" priority="62" operator="equal">
      <formula>"o"</formula>
    </cfRule>
  </conditionalFormatting>
  <conditionalFormatting sqref="AM16:AM27">
    <cfRule type="cellIs" dxfId="163" priority="35" operator="between">
      <formula>3</formula>
      <formula>4</formula>
    </cfRule>
    <cfRule type="cellIs" dxfId="162" priority="36" operator="equal">
      <formula>"o"</formula>
    </cfRule>
  </conditionalFormatting>
  <conditionalFormatting sqref="AQ7:AQ10">
    <cfRule type="cellIs" dxfId="161" priority="59" operator="between">
      <formula>3</formula>
      <formula>4</formula>
    </cfRule>
    <cfRule type="cellIs" dxfId="160" priority="60" operator="equal">
      <formula>"o"</formula>
    </cfRule>
  </conditionalFormatting>
  <printOptions gridLines="1"/>
  <pageMargins left="0.75" right="0.75" top="1" bottom="1" header="0.5" footer="0.5"/>
  <pageSetup paperSize="9" orientation="portrait" horizontalDpi="300" verticalDpi="300" r:id="rId1"/>
  <headerFooter>
    <oddHeader>&amp;A</oddHeader>
    <oddFooter>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657E-36D8-4DF7-BD24-8AC8E041D08B}">
  <dimension ref="A1:BK502"/>
  <sheetViews>
    <sheetView showGridLines="0" tabSelected="1" zoomScale="90" zoomScaleNormal="90" workbookViewId="0">
      <selection activeCell="E20" sqref="E20"/>
    </sheetView>
  </sheetViews>
  <sheetFormatPr defaultColWidth="9.140625" defaultRowHeight="12.75"/>
  <cols>
    <col min="1" max="1" width="0.85546875" style="1" customWidth="1"/>
    <col min="2" max="2" width="3.7109375" style="13" customWidth="1"/>
    <col min="3" max="3" width="14.7109375" style="1" customWidth="1"/>
    <col min="4" max="6" width="3.7109375" style="1" customWidth="1"/>
    <col min="7" max="7" width="25.42578125" style="1" customWidth="1"/>
    <col min="8" max="8" width="8.85546875" style="1" customWidth="1"/>
    <col min="9" max="9" width="3.7109375" style="1" customWidth="1"/>
    <col min="10" max="10" width="6.42578125" style="1" customWidth="1"/>
    <col min="11" max="11" width="25.7109375" style="1" bestFit="1" customWidth="1"/>
    <col min="12" max="14" width="3.7109375" style="1" customWidth="1"/>
    <col min="15" max="15" width="18.7109375" style="1" customWidth="1"/>
    <col min="16" max="18" width="3.7109375" style="1" customWidth="1"/>
    <col min="19" max="19" width="20" style="1" customWidth="1"/>
    <col min="20" max="22" width="3.7109375" style="1" customWidth="1"/>
    <col min="23" max="23" width="16.7109375" style="1" customWidth="1"/>
    <col min="24" max="26" width="3.7109375" style="1" customWidth="1"/>
    <col min="27" max="27" width="16.7109375" style="1" customWidth="1"/>
    <col min="28" max="30" width="3.7109375" style="1" customWidth="1"/>
    <col min="31" max="31" width="19" style="1" customWidth="1"/>
    <col min="32" max="33" width="3.7109375" style="1" customWidth="1"/>
    <col min="34" max="34" width="5.7109375" style="1" customWidth="1"/>
    <col min="35" max="35" width="16.7109375" style="1" customWidth="1"/>
    <col min="36" max="37" width="3.7109375" style="1" customWidth="1"/>
    <col min="38" max="38" width="5.7109375" style="1" customWidth="1"/>
    <col min="39" max="39" width="21.140625" style="1" customWidth="1"/>
    <col min="40" max="41" width="3.7109375" style="1" customWidth="1"/>
    <col min="42" max="42" width="5.7109375" style="1" customWidth="1"/>
    <col min="43" max="43" width="16.7109375" style="1" customWidth="1"/>
    <col min="44" max="45" width="3.7109375" style="1" customWidth="1"/>
    <col min="46" max="46" width="5.7109375" style="1" customWidth="1"/>
    <col min="47" max="47" width="16.7109375" style="1" customWidth="1"/>
    <col min="48" max="48" width="5.7109375" style="1" customWidth="1"/>
    <col min="49" max="49" width="9.140625" style="1"/>
    <col min="50" max="50" width="11.7109375" style="47" hidden="1" customWidth="1"/>
    <col min="51" max="51" width="16.28515625" style="1" hidden="1" customWidth="1"/>
    <col min="52" max="52" width="8.7109375" style="1" hidden="1" customWidth="1"/>
    <col min="53" max="54" width="20.5703125" style="1" hidden="1" customWidth="1"/>
    <col min="55" max="56" width="16.28515625" style="1" hidden="1" customWidth="1"/>
    <col min="57" max="57" width="10.42578125" style="1" hidden="1" customWidth="1"/>
    <col min="58" max="58" width="16.28515625" style="1" hidden="1" customWidth="1"/>
    <col min="59" max="60" width="20.5703125" style="1" hidden="1" customWidth="1"/>
    <col min="61" max="62" width="16.28515625" style="1" hidden="1" customWidth="1"/>
    <col min="63" max="16384" width="9.140625" style="1"/>
  </cols>
  <sheetData>
    <row r="1" spans="1:63">
      <c r="AW1" s="40"/>
      <c r="AX1" s="41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</row>
    <row r="2" spans="1:63" ht="18" customHeight="1">
      <c r="C2" s="99" t="s">
        <v>616</v>
      </c>
      <c r="D2" s="99"/>
      <c r="E2" s="100"/>
      <c r="G2" s="42" t="s">
        <v>104</v>
      </c>
      <c r="H2" s="78" t="e">
        <f>H72</f>
        <v>#N/A</v>
      </c>
      <c r="AX2" s="41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</row>
    <row r="3" spans="1:63">
      <c r="AX3" s="41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</row>
    <row r="4" spans="1:63" ht="15.75">
      <c r="C4" s="43" t="s">
        <v>612</v>
      </c>
      <c r="D4" s="44"/>
      <c r="E4" s="44"/>
      <c r="F4" s="44"/>
      <c r="G4" s="44"/>
      <c r="H4" s="44"/>
      <c r="I4" s="44"/>
      <c r="J4" s="44"/>
      <c r="K4" s="44"/>
      <c r="L4" s="43"/>
      <c r="M4" s="43"/>
      <c r="N4" s="43"/>
      <c r="O4" s="43"/>
      <c r="P4" s="43"/>
      <c r="Q4" s="45"/>
      <c r="R4" s="45"/>
      <c r="S4" s="45"/>
      <c r="T4" s="45"/>
      <c r="U4" s="46"/>
      <c r="V4" s="46"/>
    </row>
    <row r="5" spans="1:63" ht="20.100000000000001" customHeight="1">
      <c r="A5" s="4"/>
      <c r="B5" s="9"/>
      <c r="C5" s="4" t="s">
        <v>26</v>
      </c>
      <c r="D5" s="4"/>
      <c r="E5" s="4"/>
      <c r="F5" s="4" t="s">
        <v>27</v>
      </c>
      <c r="G5" s="4"/>
      <c r="H5" s="4"/>
      <c r="I5" s="4"/>
      <c r="J5" s="4"/>
      <c r="K5" s="4" t="s">
        <v>28</v>
      </c>
      <c r="L5" s="4"/>
      <c r="M5" s="4"/>
      <c r="N5" s="4"/>
      <c r="O5" s="4" t="s">
        <v>29</v>
      </c>
      <c r="P5" s="4"/>
      <c r="Q5" s="4"/>
      <c r="R5" s="4"/>
      <c r="S5" s="4" t="s">
        <v>30</v>
      </c>
      <c r="T5" s="4"/>
      <c r="U5" s="4"/>
      <c r="V5" s="4"/>
      <c r="W5" s="4" t="s">
        <v>31</v>
      </c>
      <c r="X5" s="4"/>
      <c r="Y5" s="4"/>
      <c r="Z5" s="4"/>
      <c r="AA5" s="4" t="s">
        <v>50</v>
      </c>
      <c r="AB5" s="4"/>
      <c r="AC5" s="12"/>
      <c r="AD5" s="4"/>
      <c r="AE5" s="4" t="s">
        <v>51</v>
      </c>
      <c r="AF5" s="12"/>
      <c r="AG5" s="12"/>
      <c r="AH5" s="4"/>
      <c r="AI5" s="4" t="s">
        <v>87</v>
      </c>
      <c r="AJ5" s="4"/>
      <c r="AK5" s="4"/>
      <c r="AL5" s="4"/>
      <c r="AM5" s="4" t="s">
        <v>88</v>
      </c>
      <c r="AN5" s="4"/>
      <c r="AO5" s="4"/>
      <c r="AP5" s="4"/>
      <c r="AQ5" s="4" t="s">
        <v>89</v>
      </c>
      <c r="AR5" s="4"/>
      <c r="AS5" s="12"/>
      <c r="AT5" s="4"/>
      <c r="AU5" s="4" t="s">
        <v>90</v>
      </c>
      <c r="AV5" s="12"/>
    </row>
    <row r="6" spans="1:63" ht="20.100000000000001" customHeight="1">
      <c r="A6" s="4"/>
      <c r="B6" s="35"/>
      <c r="C6" s="48" t="s">
        <v>52</v>
      </c>
      <c r="E6" s="12"/>
      <c r="F6" s="35"/>
      <c r="G6" s="48" t="s">
        <v>55</v>
      </c>
      <c r="H6" s="12"/>
      <c r="I6" s="12"/>
      <c r="J6" s="35"/>
      <c r="K6" s="48" t="s">
        <v>57</v>
      </c>
      <c r="L6" s="12"/>
      <c r="M6" s="12"/>
      <c r="N6" s="35"/>
      <c r="O6" s="48" t="s">
        <v>44</v>
      </c>
      <c r="P6" s="4"/>
      <c r="Q6" s="12"/>
      <c r="R6" s="35"/>
      <c r="S6" s="48" t="s">
        <v>3</v>
      </c>
      <c r="T6" s="4"/>
      <c r="U6" s="12"/>
      <c r="V6" s="35"/>
      <c r="W6" s="48" t="s">
        <v>40</v>
      </c>
      <c r="X6" s="12"/>
      <c r="Y6" s="12"/>
      <c r="Z6" s="35"/>
      <c r="AA6" s="48" t="s">
        <v>33</v>
      </c>
      <c r="AB6" s="12"/>
      <c r="AC6" s="12"/>
      <c r="AD6" s="35"/>
      <c r="AE6" s="48" t="s">
        <v>4</v>
      </c>
      <c r="AF6" s="4"/>
      <c r="AG6" s="12"/>
      <c r="AH6" s="35"/>
      <c r="AI6" s="48" t="s">
        <v>1</v>
      </c>
      <c r="AJ6" s="4"/>
      <c r="AK6" s="12"/>
      <c r="AL6" s="35"/>
      <c r="AM6" s="48" t="s">
        <v>78</v>
      </c>
      <c r="AN6" s="4"/>
      <c r="AO6" s="4"/>
      <c r="AP6" s="35"/>
      <c r="AQ6" s="48" t="s">
        <v>5</v>
      </c>
      <c r="AR6" s="4"/>
      <c r="AS6" s="12"/>
      <c r="AT6" s="35"/>
      <c r="AU6" s="48" t="s">
        <v>2</v>
      </c>
      <c r="AV6" s="12"/>
      <c r="AX6" s="49" t="s">
        <v>105</v>
      </c>
      <c r="AY6" s="105" t="str">
        <f>konkurs2!$S$16</f>
        <v/>
      </c>
      <c r="AZ6" s="105" t="str">
        <f>konkurs2!$AM$16</f>
        <v/>
      </c>
      <c r="BA6" s="105" t="str">
        <f>konkurs2!$AI$16</f>
        <v/>
      </c>
      <c r="BB6" s="105" t="str">
        <f>konkurs2!$W$16</f>
        <v/>
      </c>
      <c r="BC6" s="105" t="str">
        <f>konkurs2!$AE$16</f>
        <v/>
      </c>
      <c r="BD6" s="105" t="str">
        <f>konkurs2!$AA$16</f>
        <v/>
      </c>
      <c r="BE6" s="105" t="str">
        <f>konkurs2!$AU$16</f>
        <v/>
      </c>
      <c r="BF6" s="105" t="str">
        <f>konkurs2!$AQ$16</f>
        <v/>
      </c>
      <c r="BG6" s="106" t="str">
        <f>konkurs2!$C$16</f>
        <v/>
      </c>
      <c r="BH6" s="106" t="str">
        <f>konkurs2!$G$16</f>
        <v/>
      </c>
      <c r="BI6" s="106" t="str">
        <f>konkurs2!$K$16</f>
        <v/>
      </c>
      <c r="BJ6" s="106" t="str">
        <f>konkurs2!$O$16</f>
        <v/>
      </c>
    </row>
    <row r="7" spans="1:63" ht="20.100000000000001" customHeight="1">
      <c r="A7" s="4"/>
      <c r="B7" s="35"/>
      <c r="C7" s="48" t="s">
        <v>54</v>
      </c>
      <c r="D7" s="12"/>
      <c r="E7" s="12"/>
      <c r="F7" s="35"/>
      <c r="G7" s="48" t="s">
        <v>6</v>
      </c>
      <c r="H7" s="12"/>
      <c r="I7" s="12"/>
      <c r="J7" s="35"/>
      <c r="K7" s="48" t="s">
        <v>59</v>
      </c>
      <c r="L7" s="12"/>
      <c r="M7" s="12"/>
      <c r="N7" s="35"/>
      <c r="O7" s="48" t="s">
        <v>61</v>
      </c>
      <c r="P7" s="4"/>
      <c r="Q7" s="12"/>
      <c r="R7" s="35"/>
      <c r="S7" s="48" t="s">
        <v>64</v>
      </c>
      <c r="T7" s="4"/>
      <c r="U7" s="12"/>
      <c r="V7" s="35"/>
      <c r="W7" s="48" t="s">
        <v>66</v>
      </c>
      <c r="X7" s="12"/>
      <c r="Y7" s="12"/>
      <c r="Z7" s="35"/>
      <c r="AA7" s="48" t="s">
        <v>70</v>
      </c>
      <c r="AB7" s="12"/>
      <c r="AC7" s="12"/>
      <c r="AD7" s="35"/>
      <c r="AE7" s="48" t="s">
        <v>72</v>
      </c>
      <c r="AF7" s="4"/>
      <c r="AG7" s="12"/>
      <c r="AH7" s="35"/>
      <c r="AI7" s="48" t="s">
        <v>75</v>
      </c>
      <c r="AJ7" s="4"/>
      <c r="AK7" s="12"/>
      <c r="AL7" s="35"/>
      <c r="AM7" s="48" t="s">
        <v>80</v>
      </c>
      <c r="AN7" s="4"/>
      <c r="AO7" s="4"/>
      <c r="AP7" s="35"/>
      <c r="AQ7" s="48" t="s">
        <v>81</v>
      </c>
      <c r="AR7" s="4"/>
      <c r="AS7" s="12"/>
      <c r="AT7" s="35"/>
      <c r="AU7" s="48" t="s">
        <v>84</v>
      </c>
      <c r="AV7" s="12"/>
      <c r="AX7" s="49" t="s">
        <v>106</v>
      </c>
      <c r="AY7" t="str">
        <f>konkurs2!$AE$16</f>
        <v/>
      </c>
      <c r="AZ7" t="str">
        <f>konkurs2!$AA$16</f>
        <v/>
      </c>
      <c r="BA7" t="str">
        <f>konkurs2!$AI$16</f>
        <v/>
      </c>
      <c r="BB7" t="str">
        <f>konkurs2!$O$16</f>
        <v/>
      </c>
      <c r="BC7" t="str">
        <f>konkurs2!$AM$16</f>
        <v/>
      </c>
      <c r="BD7" t="str">
        <f>konkurs2!$W$16</f>
        <v/>
      </c>
      <c r="BE7" t="str">
        <f>konkurs2!$AU$16</f>
        <v/>
      </c>
      <c r="BF7" t="str">
        <f>konkurs2!$AQ$16</f>
        <v/>
      </c>
      <c r="BG7" s="50" t="str">
        <f>konkurs2!$C$16</f>
        <v/>
      </c>
      <c r="BH7" s="50" t="str">
        <f>konkurs2!$G$16</f>
        <v/>
      </c>
      <c r="BI7" s="50" t="str">
        <f>konkurs2!$K$16</f>
        <v/>
      </c>
      <c r="BJ7" s="50" t="str">
        <f>konkurs2!$S$16</f>
        <v/>
      </c>
    </row>
    <row r="8" spans="1:63" ht="20.100000000000001" customHeight="1">
      <c r="A8" s="4"/>
      <c r="B8" s="35"/>
      <c r="C8" s="48" t="s">
        <v>45</v>
      </c>
      <c r="D8" s="12"/>
      <c r="E8" s="12"/>
      <c r="F8" s="35"/>
      <c r="G8" s="48" t="s">
        <v>86</v>
      </c>
      <c r="H8" s="12"/>
      <c r="I8" s="12"/>
      <c r="J8" s="35"/>
      <c r="K8" s="48" t="s">
        <v>42</v>
      </c>
      <c r="L8" s="12"/>
      <c r="M8" s="12"/>
      <c r="N8" s="35"/>
      <c r="O8" s="48" t="s">
        <v>60</v>
      </c>
      <c r="P8" s="4"/>
      <c r="Q8" s="12"/>
      <c r="R8" s="35"/>
      <c r="S8" s="48" t="s">
        <v>63</v>
      </c>
      <c r="T8" s="4"/>
      <c r="U8" s="12"/>
      <c r="V8" s="35"/>
      <c r="W8" s="48" t="s">
        <v>68</v>
      </c>
      <c r="X8" s="12"/>
      <c r="Y8" s="12"/>
      <c r="Z8" s="35"/>
      <c r="AA8" s="48" t="s">
        <v>69</v>
      </c>
      <c r="AB8" s="12"/>
      <c r="AC8" s="12"/>
      <c r="AD8" s="35"/>
      <c r="AE8" s="48" t="s">
        <v>74</v>
      </c>
      <c r="AF8" s="4"/>
      <c r="AG8" s="12"/>
      <c r="AH8" s="35"/>
      <c r="AI8" s="48" t="s">
        <v>76</v>
      </c>
      <c r="AJ8" s="4"/>
      <c r="AK8" s="12"/>
      <c r="AL8" s="35"/>
      <c r="AM8" s="48" t="s">
        <v>43</v>
      </c>
      <c r="AN8" s="4"/>
      <c r="AO8" s="4"/>
      <c r="AP8" s="35"/>
      <c r="AQ8" s="48" t="s">
        <v>82</v>
      </c>
      <c r="AR8" s="4"/>
      <c r="AS8" s="12"/>
      <c r="AT8" s="35"/>
      <c r="AU8" s="48" t="s">
        <v>32</v>
      </c>
      <c r="AV8" s="12"/>
      <c r="AX8" s="49" t="s">
        <v>107</v>
      </c>
      <c r="AY8" t="str">
        <f>konkurs2!$S$16</f>
        <v/>
      </c>
      <c r="AZ8" t="str">
        <f>konkurs2!$AM$16</f>
        <v/>
      </c>
      <c r="BA8" t="str">
        <f>konkurs2!$AI$16</f>
        <v/>
      </c>
      <c r="BB8" t="str">
        <f>konkurs2!$O$16</f>
        <v/>
      </c>
      <c r="BC8" t="str">
        <f>konkurs2!$AE$16</f>
        <v/>
      </c>
      <c r="BD8" t="str">
        <f>konkurs2!$AA$16</f>
        <v/>
      </c>
      <c r="BE8" t="str">
        <f>konkurs2!$AU$16</f>
        <v/>
      </c>
      <c r="BF8" t="str">
        <f>konkurs2!$AQ$16</f>
        <v/>
      </c>
      <c r="BG8" s="50" t="str">
        <f>konkurs2!$C$16</f>
        <v/>
      </c>
      <c r="BH8" s="50" t="str">
        <f>konkurs2!$G$16</f>
        <v/>
      </c>
      <c r="BI8" s="50" t="str">
        <f>konkurs2!$K$16</f>
        <v/>
      </c>
      <c r="BJ8" s="50" t="str">
        <f>konkurs2!$W$16</f>
        <v/>
      </c>
    </row>
    <row r="9" spans="1:63" ht="20.100000000000001" customHeight="1">
      <c r="A9" s="4"/>
      <c r="B9" s="35"/>
      <c r="C9" s="48" t="s">
        <v>53</v>
      </c>
      <c r="D9" s="12"/>
      <c r="E9" s="12"/>
      <c r="F9" s="35"/>
      <c r="G9" s="48" t="s">
        <v>56</v>
      </c>
      <c r="H9" s="12"/>
      <c r="I9" s="12"/>
      <c r="J9" s="35"/>
      <c r="K9" s="48" t="s">
        <v>58</v>
      </c>
      <c r="L9" s="12"/>
      <c r="M9" s="12"/>
      <c r="N9" s="35"/>
      <c r="O9" s="48" t="s">
        <v>62</v>
      </c>
      <c r="P9" s="4"/>
      <c r="Q9" s="12"/>
      <c r="R9" s="35"/>
      <c r="S9" s="48" t="s">
        <v>65</v>
      </c>
      <c r="T9" s="4"/>
      <c r="U9" s="12"/>
      <c r="V9" s="35"/>
      <c r="W9" s="48" t="s">
        <v>67</v>
      </c>
      <c r="X9" s="12"/>
      <c r="Y9" s="12"/>
      <c r="Z9" s="35"/>
      <c r="AA9" s="48" t="s">
        <v>71</v>
      </c>
      <c r="AB9" s="12"/>
      <c r="AC9" s="12"/>
      <c r="AD9" s="35"/>
      <c r="AE9" s="48" t="s">
        <v>73</v>
      </c>
      <c r="AF9" s="4"/>
      <c r="AG9" s="12"/>
      <c r="AH9" s="35"/>
      <c r="AI9" s="48" t="s">
        <v>77</v>
      </c>
      <c r="AJ9" s="4"/>
      <c r="AK9" s="12"/>
      <c r="AL9" s="35"/>
      <c r="AM9" s="48" t="s">
        <v>79</v>
      </c>
      <c r="AN9" s="4"/>
      <c r="AO9" s="4"/>
      <c r="AP9" s="35"/>
      <c r="AQ9" s="48" t="s">
        <v>83</v>
      </c>
      <c r="AR9" s="4"/>
      <c r="AS9" s="12"/>
      <c r="AT9" s="35"/>
      <c r="AU9" s="48" t="s">
        <v>85</v>
      </c>
      <c r="AV9" s="12"/>
      <c r="AX9" s="49" t="s">
        <v>108</v>
      </c>
      <c r="AY9" t="str">
        <f>konkurs2!$S$16</f>
        <v/>
      </c>
      <c r="AZ9" t="str">
        <f>konkurs2!$AM$16</f>
        <v/>
      </c>
      <c r="BA9" t="str">
        <f>konkurs2!$AI$16</f>
        <v/>
      </c>
      <c r="BB9" t="str">
        <f>konkurs2!$O$16</f>
        <v/>
      </c>
      <c r="BC9" t="str">
        <f>konkurs2!$AE$16</f>
        <v/>
      </c>
      <c r="BD9" t="str">
        <f>konkurs2!$W$16</f>
        <v/>
      </c>
      <c r="BE9" t="str">
        <f>konkurs2!$AU$16</f>
        <v/>
      </c>
      <c r="BF9" t="str">
        <f>konkurs2!$AQ$16</f>
        <v/>
      </c>
      <c r="BG9" s="50" t="str">
        <f>konkurs2!$C$16</f>
        <v/>
      </c>
      <c r="BH9" s="50" t="str">
        <f>konkurs2!$G$16</f>
        <v/>
      </c>
      <c r="BI9" s="50" t="str">
        <f>konkurs2!$K$16</f>
        <v/>
      </c>
      <c r="BJ9" s="50" t="str">
        <f>konkurs2!$AA$16</f>
        <v/>
      </c>
    </row>
    <row r="10" spans="1:63" ht="20.100000000000001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12"/>
      <c r="AX10" s="49" t="s">
        <v>109</v>
      </c>
      <c r="AY10" t="str">
        <f>konkurs2!$S$16</f>
        <v/>
      </c>
      <c r="AZ10" t="str">
        <f>konkurs2!$AA$16</f>
        <v/>
      </c>
      <c r="BA10" t="str">
        <f>konkurs2!$AI$16</f>
        <v/>
      </c>
      <c r="BB10" t="str">
        <f>konkurs2!$O$16</f>
        <v/>
      </c>
      <c r="BC10" t="str">
        <f>konkurs2!$AM$16</f>
        <v/>
      </c>
      <c r="BD10" t="str">
        <f>konkurs2!$W$16</f>
        <v/>
      </c>
      <c r="BE10" t="str">
        <f>konkurs2!$AU$16</f>
        <v/>
      </c>
      <c r="BF10" t="str">
        <f>konkurs2!$AQ$16</f>
        <v/>
      </c>
      <c r="BG10" s="50" t="str">
        <f>konkurs2!$C$16</f>
        <v/>
      </c>
      <c r="BH10" s="50" t="str">
        <f>konkurs2!$G$16</f>
        <v/>
      </c>
      <c r="BI10" s="50" t="str">
        <f>konkurs2!$K$16</f>
        <v/>
      </c>
      <c r="BJ10" s="50" t="str">
        <f>konkurs2!$AE$16</f>
        <v/>
      </c>
    </row>
    <row r="11" spans="1:63" ht="20.100000000000001" customHeight="1">
      <c r="A11" s="4"/>
      <c r="B11" s="9"/>
      <c r="C11" s="51" t="s">
        <v>110</v>
      </c>
      <c r="D11" s="4"/>
      <c r="F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12"/>
      <c r="AD11" s="4"/>
      <c r="AE11" s="4"/>
      <c r="AF11" s="12"/>
      <c r="AG11" s="1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12"/>
      <c r="AT11" s="4"/>
      <c r="AU11" s="4"/>
      <c r="AV11" s="12"/>
      <c r="AX11" s="49" t="s">
        <v>111</v>
      </c>
      <c r="AY11" t="str">
        <f>konkurs2!$S$16</f>
        <v/>
      </c>
      <c r="AZ11" t="str">
        <f>konkurs2!$AA$16</f>
        <v/>
      </c>
      <c r="BA11" t="str">
        <f>konkurs2!$AM$16</f>
        <v/>
      </c>
      <c r="BB11" t="str">
        <f>konkurs2!$O$16</f>
        <v/>
      </c>
      <c r="BC11" t="str">
        <f>konkurs2!$AE$16</f>
        <v/>
      </c>
      <c r="BD11" t="str">
        <f>konkurs2!$W$16</f>
        <v/>
      </c>
      <c r="BE11" t="str">
        <f>konkurs2!$AU$16</f>
        <v/>
      </c>
      <c r="BF11" t="str">
        <f>konkurs2!$AQ$16</f>
        <v/>
      </c>
      <c r="BG11" s="50" t="str">
        <f>konkurs2!$C$16</f>
        <v/>
      </c>
      <c r="BH11" s="50" t="str">
        <f>konkurs2!$G$16</f>
        <v/>
      </c>
      <c r="BI11" s="50" t="str">
        <f>konkurs2!$K$16</f>
        <v/>
      </c>
      <c r="BJ11" s="50" t="str">
        <f>konkurs2!$AI$16</f>
        <v/>
      </c>
    </row>
    <row r="12" spans="1:63" ht="20.100000000000001" customHeight="1">
      <c r="A12" s="4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2"/>
      <c r="AD12" s="4"/>
      <c r="AE12" s="4"/>
      <c r="AF12" s="12"/>
      <c r="AG12" s="1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2"/>
      <c r="AT12" s="4"/>
      <c r="AU12" s="4"/>
      <c r="AV12" s="12"/>
      <c r="AX12" s="49" t="s">
        <v>112</v>
      </c>
      <c r="AY12" t="str">
        <f>konkurs2!$S$16</f>
        <v/>
      </c>
      <c r="AZ12" t="str">
        <f>konkurs2!$AA$16</f>
        <v/>
      </c>
      <c r="BA12" t="str">
        <f>konkurs2!$AI$16</f>
        <v/>
      </c>
      <c r="BB12" t="str">
        <f>konkurs2!$O$16</f>
        <v/>
      </c>
      <c r="BC12" t="str">
        <f>konkurs2!$AE$16</f>
        <v/>
      </c>
      <c r="BD12" t="str">
        <f>konkurs2!$W$16</f>
        <v/>
      </c>
      <c r="BE12" t="str">
        <f>konkurs2!$AU$16</f>
        <v/>
      </c>
      <c r="BF12" t="str">
        <f>konkurs2!$AQ$16</f>
        <v/>
      </c>
      <c r="BG12" s="50" t="str">
        <f>konkurs2!$C$16</f>
        <v/>
      </c>
      <c r="BH12" s="50" t="str">
        <f>konkurs2!$G$16</f>
        <v/>
      </c>
      <c r="BI12" s="50" t="str">
        <f>konkurs2!$K$16</f>
        <v/>
      </c>
      <c r="BJ12" s="50" t="str">
        <f>konkurs2!$AM$16</f>
        <v/>
      </c>
    </row>
    <row r="13" spans="1:63" ht="20.100000000000001" customHeight="1">
      <c r="A13" s="4"/>
      <c r="B13" s="9"/>
      <c r="C13" s="52" t="s">
        <v>92</v>
      </c>
      <c r="D13" s="4" t="s">
        <v>0</v>
      </c>
      <c r="E13" s="4"/>
      <c r="F13" s="4"/>
      <c r="G13" s="52" t="s">
        <v>93</v>
      </c>
      <c r="H13" s="4" t="s">
        <v>0</v>
      </c>
      <c r="I13" s="4"/>
      <c r="J13" s="4"/>
      <c r="K13" s="52" t="s">
        <v>94</v>
      </c>
      <c r="L13" s="4" t="s">
        <v>0</v>
      </c>
      <c r="M13" s="4"/>
      <c r="N13" s="4"/>
      <c r="O13" s="52" t="s">
        <v>95</v>
      </c>
      <c r="P13" s="4" t="s">
        <v>0</v>
      </c>
      <c r="Q13" s="4"/>
      <c r="R13" s="4"/>
      <c r="S13" s="52" t="s">
        <v>96</v>
      </c>
      <c r="T13" s="4" t="s">
        <v>0</v>
      </c>
      <c r="U13" s="4"/>
      <c r="V13" s="4"/>
      <c r="W13" s="52" t="s">
        <v>97</v>
      </c>
      <c r="X13" s="4" t="s">
        <v>0</v>
      </c>
      <c r="Y13" s="4"/>
      <c r="Z13" s="4"/>
      <c r="AA13" s="52" t="s">
        <v>98</v>
      </c>
      <c r="AB13" s="4" t="s">
        <v>0</v>
      </c>
      <c r="AC13" s="12"/>
      <c r="AD13" s="4"/>
      <c r="AE13" s="52" t="s">
        <v>99</v>
      </c>
      <c r="AF13" s="4" t="s">
        <v>0</v>
      </c>
      <c r="AG13" s="12"/>
      <c r="AH13" s="4"/>
      <c r="AI13" s="52" t="s">
        <v>100</v>
      </c>
      <c r="AJ13" s="4" t="s">
        <v>0</v>
      </c>
      <c r="AK13" s="4"/>
      <c r="AL13" s="4"/>
      <c r="AM13" s="52" t="s">
        <v>101</v>
      </c>
      <c r="AN13" s="4" t="s">
        <v>0</v>
      </c>
      <c r="AO13" s="4"/>
      <c r="AP13" s="4"/>
      <c r="AQ13" s="52" t="s">
        <v>102</v>
      </c>
      <c r="AR13" s="4" t="s">
        <v>0</v>
      </c>
      <c r="AS13" s="12"/>
      <c r="AT13" s="4"/>
      <c r="AU13" s="52" t="s">
        <v>103</v>
      </c>
      <c r="AV13" s="4" t="s">
        <v>0</v>
      </c>
      <c r="AX13" s="49" t="s">
        <v>113</v>
      </c>
      <c r="AY13" t="str">
        <f>konkurs2!$S$16</f>
        <v/>
      </c>
      <c r="AZ13" t="str">
        <f>konkurs2!$AA$16</f>
        <v/>
      </c>
      <c r="BA13" t="str">
        <f>konkurs2!$AM$16</f>
        <v/>
      </c>
      <c r="BB13" t="str">
        <f>konkurs2!$O$16</f>
        <v/>
      </c>
      <c r="BC13" t="str">
        <f>konkurs2!$AE$16</f>
        <v/>
      </c>
      <c r="BD13" t="str">
        <f>konkurs2!$W$16</f>
        <v/>
      </c>
      <c r="BE13" t="str">
        <f>konkurs2!$AU$16</f>
        <v/>
      </c>
      <c r="BF13" t="str">
        <f>konkurs2!$AI$16</f>
        <v/>
      </c>
      <c r="BG13" s="50" t="str">
        <f>konkurs2!$C$16</f>
        <v/>
      </c>
      <c r="BH13" s="50" t="str">
        <f>konkurs2!$G$16</f>
        <v/>
      </c>
      <c r="BI13" s="50" t="str">
        <f>konkurs2!$K$16</f>
        <v/>
      </c>
      <c r="BJ13" s="50" t="str">
        <f>konkurs2!$AQ$16</f>
        <v/>
      </c>
    </row>
    <row r="14" spans="1:63" ht="18" customHeight="1">
      <c r="A14" s="4"/>
      <c r="B14" s="9"/>
      <c r="C14" s="48" t="e">
        <f>IF(C6="","",VLOOKUP(1,B6:C9,2,FALSE))</f>
        <v>#N/A</v>
      </c>
      <c r="D14" s="9" t="e">
        <f>IF(wyniki!C7=konkurs2!C14,1,0)</f>
        <v>#N/A</v>
      </c>
      <c r="F14" s="9"/>
      <c r="G14" s="48" t="e">
        <f>IF(G6="","",VLOOKUP(1,F6:G9,2,FALSE))</f>
        <v>#N/A</v>
      </c>
      <c r="H14" s="9" t="e">
        <f>IF(wyniki!G7=konkurs2!G14,1,0)</f>
        <v>#N/A</v>
      </c>
      <c r="I14" s="12"/>
      <c r="J14" s="9"/>
      <c r="K14" s="48" t="e">
        <f>IF(K6="","",VLOOKUP(1,J6:K9,2,FALSE))</f>
        <v>#N/A</v>
      </c>
      <c r="L14" s="9" t="e">
        <f>IF(wyniki!K7=konkurs2!K14,1,0)</f>
        <v>#N/A</v>
      </c>
      <c r="M14" s="4"/>
      <c r="N14" s="9"/>
      <c r="O14" s="48" t="e">
        <f>IF(O6="","",VLOOKUP(1,N6:O9,2,FALSE))</f>
        <v>#N/A</v>
      </c>
      <c r="P14" s="9" t="e">
        <f>IF(wyniki!O7=konkurs2!O14,1,0)</f>
        <v>#N/A</v>
      </c>
      <c r="Q14" s="12"/>
      <c r="R14" s="9"/>
      <c r="S14" s="48" t="e">
        <f>IF(S6="","",VLOOKUP(1,R6:S9,2,FALSE))</f>
        <v>#N/A</v>
      </c>
      <c r="T14" s="9" t="e">
        <f>IF(wyniki!S7=konkurs2!S14,1,0)</f>
        <v>#N/A</v>
      </c>
      <c r="U14" s="12"/>
      <c r="V14" s="9"/>
      <c r="W14" s="48" t="e">
        <f>IF(W6="","",VLOOKUP(1,V6:W9,2,FALSE))</f>
        <v>#N/A</v>
      </c>
      <c r="X14" s="9" t="e">
        <f>IF(wyniki!W7=konkurs2!W14,1,0)</f>
        <v>#N/A</v>
      </c>
      <c r="Y14" s="4"/>
      <c r="Z14" s="12"/>
      <c r="AA14" s="48" t="e">
        <f>IF(AA6="","",VLOOKUP(1,Z6:AA9,2,FALSE))</f>
        <v>#N/A</v>
      </c>
      <c r="AB14" s="9" t="e">
        <f>IF(wyniki!AA7=konkurs2!AA14,1,0)</f>
        <v>#N/A</v>
      </c>
      <c r="AC14" s="12"/>
      <c r="AD14" s="12"/>
      <c r="AE14" s="48" t="e">
        <f>IF(AE6="","",VLOOKUP(1,AD6:AE9,2,FALSE))</f>
        <v>#N/A</v>
      </c>
      <c r="AF14" s="9" t="e">
        <f>IF(wyniki!AE7=konkurs2!AE14,1,0)</f>
        <v>#N/A</v>
      </c>
      <c r="AG14" s="12"/>
      <c r="AH14" s="12"/>
      <c r="AI14" s="48" t="e">
        <f>IF(AI6="","",VLOOKUP(1,AH6:AI9,2,FALSE))</f>
        <v>#N/A</v>
      </c>
      <c r="AJ14" s="9" t="e">
        <f>IF(wyniki!AI7=konkurs2!AI14,1,0)</f>
        <v>#N/A</v>
      </c>
      <c r="AK14" s="4"/>
      <c r="AL14" s="12"/>
      <c r="AM14" s="48" t="e">
        <f>IF(AM6="","",VLOOKUP(1,AL6:AM9,2,FALSE))</f>
        <v>#N/A</v>
      </c>
      <c r="AN14" s="9" t="e">
        <f>IF(wyniki!AM7=konkurs2!AM14,1,0)</f>
        <v>#N/A</v>
      </c>
      <c r="AO14" s="4"/>
      <c r="AP14" s="12"/>
      <c r="AQ14" s="48" t="e">
        <f>IF(AQ6="","",VLOOKUP(1,AP6:AQ9,2,FALSE))</f>
        <v>#N/A</v>
      </c>
      <c r="AR14" s="9" t="e">
        <f>IF(wyniki!AQ7=konkurs2!AQ14,1,0)</f>
        <v>#N/A</v>
      </c>
      <c r="AS14" s="12"/>
      <c r="AT14" s="12"/>
      <c r="AU14" s="48" t="e">
        <f>IF(AU6="","",VLOOKUP(1,AT6:AU9,2,FALSE))</f>
        <v>#N/A</v>
      </c>
      <c r="AV14" s="9" t="e">
        <f>IF(wyniki!AU7=konkurs2!AU14,1,0)</f>
        <v>#N/A</v>
      </c>
      <c r="AX14" s="49" t="s">
        <v>114</v>
      </c>
      <c r="AY14" t="str">
        <f>konkurs2!$S$16</f>
        <v/>
      </c>
      <c r="AZ14" t="str">
        <f>konkurs2!$AA$16</f>
        <v/>
      </c>
      <c r="BA14" t="str">
        <f>konkurs2!$AM$16</f>
        <v/>
      </c>
      <c r="BB14" t="str">
        <f>konkurs2!$O$16</f>
        <v/>
      </c>
      <c r="BC14" t="str">
        <f>konkurs2!$AE$16</f>
        <v/>
      </c>
      <c r="BD14" t="str">
        <f>konkurs2!$W$16</f>
        <v/>
      </c>
      <c r="BE14" t="str">
        <f>konkurs2!$AI$16</f>
        <v/>
      </c>
      <c r="BF14" t="str">
        <f>konkurs2!$AQ$16</f>
        <v/>
      </c>
      <c r="BG14" s="50" t="str">
        <f>konkurs2!$C$16</f>
        <v/>
      </c>
      <c r="BH14" s="50" t="str">
        <f>konkurs2!$G$16</f>
        <v/>
      </c>
      <c r="BI14" s="50" t="str">
        <f>konkurs2!$K$16</f>
        <v/>
      </c>
      <c r="BJ14" s="50" t="str">
        <f>konkurs2!$AU$16</f>
        <v/>
      </c>
    </row>
    <row r="15" spans="1:63" ht="18" customHeight="1">
      <c r="A15" s="4"/>
      <c r="B15" s="9"/>
      <c r="C15" s="48" t="str">
        <f>IF(B6="","",VLOOKUP(2,B6:C9,2,FALSE))</f>
        <v/>
      </c>
      <c r="D15" s="9">
        <f>IF(wyniki!C8=konkurs2!C15,1,0)</f>
        <v>0</v>
      </c>
      <c r="F15" s="9"/>
      <c r="G15" s="48" t="str">
        <f>IF(F6="","",VLOOKUP(2,F6:G9,2,FALSE))</f>
        <v/>
      </c>
      <c r="H15" s="9">
        <f>IF(wyniki!G8=konkurs2!G15,1,0)</f>
        <v>0</v>
      </c>
      <c r="I15" s="12"/>
      <c r="J15" s="9"/>
      <c r="K15" s="48" t="str">
        <f>IF(J6="","",VLOOKUP(2,J6:K9,2,FALSE))</f>
        <v/>
      </c>
      <c r="L15" s="9">
        <f>IF(wyniki!K8=konkurs2!K15,1,0)</f>
        <v>0</v>
      </c>
      <c r="M15" s="4"/>
      <c r="N15" s="9"/>
      <c r="O15" s="48" t="str">
        <f>IF(N6="","",VLOOKUP(2,N6:O9,2,FALSE))</f>
        <v/>
      </c>
      <c r="P15" s="9">
        <f>IF(wyniki!O8=konkurs2!O15,1,0)</f>
        <v>0</v>
      </c>
      <c r="Q15" s="12"/>
      <c r="R15" s="9"/>
      <c r="S15" s="48" t="str">
        <f>IF(R6="","",VLOOKUP(2,R6:S9,2,FALSE))</f>
        <v/>
      </c>
      <c r="T15" s="9">
        <f>IF(wyniki!S8=konkurs2!S15,1,0)</f>
        <v>0</v>
      </c>
      <c r="U15" s="12"/>
      <c r="V15" s="9"/>
      <c r="W15" s="48" t="str">
        <f>IF(V6="","",VLOOKUP(2,V6:W9,2,FALSE))</f>
        <v/>
      </c>
      <c r="X15" s="9">
        <f>IF(wyniki!W8=konkurs2!W15,1,0)</f>
        <v>0</v>
      </c>
      <c r="Y15" s="4"/>
      <c r="Z15" s="12"/>
      <c r="AA15" s="48" t="str">
        <f>IF(Z6="","",VLOOKUP(2,Z6:AA9,2,FALSE))</f>
        <v/>
      </c>
      <c r="AB15" s="9">
        <f>IF(wyniki!AA8=konkurs2!AA15,1,0)</f>
        <v>0</v>
      </c>
      <c r="AC15" s="12"/>
      <c r="AD15" s="12"/>
      <c r="AE15" s="48" t="str">
        <f>IF(AD6="","",VLOOKUP(2,AD6:AE9,2,FALSE))</f>
        <v/>
      </c>
      <c r="AF15" s="9">
        <f>IF(wyniki!AE8=konkurs2!AE15,1,0)</f>
        <v>0</v>
      </c>
      <c r="AG15" s="12"/>
      <c r="AH15" s="12"/>
      <c r="AI15" s="48" t="str">
        <f>IF(AH6="","",VLOOKUP(2,AH6:AI9,2,FALSE))</f>
        <v/>
      </c>
      <c r="AJ15" s="9">
        <f>IF(wyniki!AI8=konkurs2!AI15,1,0)</f>
        <v>0</v>
      </c>
      <c r="AK15" s="4"/>
      <c r="AL15" s="12"/>
      <c r="AM15" s="48" t="str">
        <f>IF(AL6="","",VLOOKUP(2,AL6:AM9,2,FALSE))</f>
        <v/>
      </c>
      <c r="AN15" s="9">
        <f>IF(wyniki!AM8=konkurs2!AM15,1,0)</f>
        <v>0</v>
      </c>
      <c r="AO15" s="4"/>
      <c r="AP15" s="12"/>
      <c r="AQ15" s="48" t="str">
        <f>IF(AP6="","",VLOOKUP(2,AP6:AQ9,2,FALSE))</f>
        <v/>
      </c>
      <c r="AR15" s="9">
        <f>IF(wyniki!AQ8=konkurs2!AQ15,1,0)</f>
        <v>0</v>
      </c>
      <c r="AS15" s="12"/>
      <c r="AT15" s="12"/>
      <c r="AU15" s="48" t="str">
        <f>IF(AT6="","",VLOOKUP(2,AT6:AU9,2,FALSE))</f>
        <v/>
      </c>
      <c r="AV15" s="9">
        <f>IF(wyniki!AU8=konkurs2!AU15,1,0)</f>
        <v>0</v>
      </c>
      <c r="AX15" s="49" t="s">
        <v>115</v>
      </c>
      <c r="AY15" t="str">
        <f>konkurs2!$AE$16</f>
        <v/>
      </c>
      <c r="AZ15" t="str">
        <f>konkurs2!$AA$16</f>
        <v/>
      </c>
      <c r="BA15" t="str">
        <f>konkurs2!$AI$16</f>
        <v/>
      </c>
      <c r="BB15" t="str">
        <f>konkurs2!$K$16</f>
        <v/>
      </c>
      <c r="BC15" t="str">
        <f>konkurs2!$AM$16</f>
        <v/>
      </c>
      <c r="BD15" t="str">
        <f>konkurs2!$W$16</f>
        <v/>
      </c>
      <c r="BE15" t="str">
        <f>konkurs2!$AU$16</f>
        <v/>
      </c>
      <c r="BF15" t="str">
        <f>konkurs2!$AQ$16</f>
        <v/>
      </c>
      <c r="BG15" s="50" t="str">
        <f>konkurs2!$C$16</f>
        <v/>
      </c>
      <c r="BH15" s="50" t="str">
        <f>konkurs2!$G$16</f>
        <v/>
      </c>
      <c r="BI15" s="50" t="str">
        <f>konkurs2!$O$16</f>
        <v/>
      </c>
      <c r="BJ15" s="50" t="str">
        <f>konkurs2!$S$16</f>
        <v/>
      </c>
    </row>
    <row r="16" spans="1:63" ht="18" customHeight="1">
      <c r="A16" s="4"/>
      <c r="B16" s="9"/>
      <c r="C16" s="53" t="str">
        <f>IF(B7="","",VLOOKUP(3,B6:C9,2,FALSE))</f>
        <v/>
      </c>
      <c r="D16" s="9">
        <f>IF(wyniki!C9=konkurs2!C16,1,0)</f>
        <v>0</v>
      </c>
      <c r="F16" s="9"/>
      <c r="G16" s="53" t="str">
        <f>IF(F7="","",VLOOKUP(3,F6:G9,2,FALSE))</f>
        <v/>
      </c>
      <c r="H16" s="9">
        <f>IF(wyniki!G9=konkurs2!G16,1,0)</f>
        <v>0</v>
      </c>
      <c r="I16" s="12"/>
      <c r="J16" s="9"/>
      <c r="K16" s="53" t="str">
        <f>IF(J7="","",VLOOKUP(3,J6:K9,2,FALSE))</f>
        <v/>
      </c>
      <c r="L16" s="9">
        <f>IF(wyniki!K9=konkurs2!K16,1,0)</f>
        <v>0</v>
      </c>
      <c r="M16" s="4"/>
      <c r="N16" s="9"/>
      <c r="O16" s="53" t="str">
        <f>IF(N7="","",VLOOKUP(3,N6:O9,2,FALSE))</f>
        <v/>
      </c>
      <c r="P16" s="9">
        <f>IF(wyniki!O9=konkurs2!O16,1,0)</f>
        <v>0</v>
      </c>
      <c r="Q16" s="12"/>
      <c r="R16" s="9"/>
      <c r="S16" s="53" t="str">
        <f>IF(R7="","",VLOOKUP(3,R6:S9,2,FALSE))</f>
        <v/>
      </c>
      <c r="T16" s="9">
        <f>IF(wyniki!S9=konkurs2!S16,1,0)</f>
        <v>0</v>
      </c>
      <c r="U16" s="12"/>
      <c r="V16" s="9"/>
      <c r="W16" s="53" t="str">
        <f>IF(V7="","",VLOOKUP(3,V6:W9,2,FALSE))</f>
        <v/>
      </c>
      <c r="X16" s="9">
        <f>IF(wyniki!W9=konkurs2!W16,1,0)</f>
        <v>0</v>
      </c>
      <c r="Y16" s="4"/>
      <c r="Z16" s="12"/>
      <c r="AA16" s="53" t="str">
        <f>IF(Z7="","",VLOOKUP(3,Z6:AA9,2,FALSE))</f>
        <v/>
      </c>
      <c r="AB16" s="9">
        <f>IF(wyniki!AA9=konkurs2!AA16,1,0)</f>
        <v>0</v>
      </c>
      <c r="AC16" s="12"/>
      <c r="AD16" s="12"/>
      <c r="AE16" s="53" t="str">
        <f>IF(AD7="","",VLOOKUP(3,AD6:AE9,2,FALSE))</f>
        <v/>
      </c>
      <c r="AF16" s="9">
        <f>IF(wyniki!AE9=konkurs2!AE16,1,0)</f>
        <v>0</v>
      </c>
      <c r="AG16" s="12"/>
      <c r="AH16" s="12"/>
      <c r="AI16" s="53" t="str">
        <f>IF(AH7="","",VLOOKUP(3,AH6:AI9,2,FALSE))</f>
        <v/>
      </c>
      <c r="AJ16" s="9">
        <f>IF(wyniki!AI9=konkurs2!AI16,1,0)</f>
        <v>0</v>
      </c>
      <c r="AK16" s="4"/>
      <c r="AL16" s="12"/>
      <c r="AM16" s="53" t="str">
        <f>IF(AL7="","",VLOOKUP(3,AL6:AM9,2,FALSE))</f>
        <v/>
      </c>
      <c r="AN16" s="9">
        <f>IF(wyniki!AM9=konkurs2!AM16,1,0)</f>
        <v>0</v>
      </c>
      <c r="AO16" s="4"/>
      <c r="AP16" s="12"/>
      <c r="AQ16" s="53" t="str">
        <f>IF(AP7="","",VLOOKUP(3,AP6:AQ9,2,FALSE))</f>
        <v/>
      </c>
      <c r="AR16" s="9">
        <f>IF(wyniki!AQ9=konkurs2!AQ16,1,0)</f>
        <v>0</v>
      </c>
      <c r="AS16" s="12"/>
      <c r="AT16" s="12"/>
      <c r="AU16" s="53" t="str">
        <f>IF(AT7="","",VLOOKUP(3,AT6:AU9,2,FALSE))</f>
        <v/>
      </c>
      <c r="AV16" s="9">
        <f>IF(wyniki!AU9=konkurs2!AU16,1,0)</f>
        <v>0</v>
      </c>
      <c r="AX16" s="49" t="s">
        <v>116</v>
      </c>
      <c r="AY16" t="str">
        <f>konkurs2!$S$16</f>
        <v/>
      </c>
      <c r="AZ16" t="str">
        <f>konkurs2!$AM$16</f>
        <v/>
      </c>
      <c r="BA16" t="str">
        <f>konkurs2!$AI$16</f>
        <v/>
      </c>
      <c r="BB16" t="str">
        <f>konkurs2!$K$16</f>
        <v/>
      </c>
      <c r="BC16" t="str">
        <f>konkurs2!$AE$16</f>
        <v/>
      </c>
      <c r="BD16" t="str">
        <f>konkurs2!$AA$16</f>
        <v/>
      </c>
      <c r="BE16" t="str">
        <f>konkurs2!$AU$16</f>
        <v/>
      </c>
      <c r="BF16" t="str">
        <f>konkurs2!$AQ$16</f>
        <v/>
      </c>
      <c r="BG16" s="50" t="str">
        <f>konkurs2!$C$16</f>
        <v/>
      </c>
      <c r="BH16" s="50" t="str">
        <f>konkurs2!$G$16</f>
        <v/>
      </c>
      <c r="BI16" s="50" t="str">
        <f>konkurs2!$O$16</f>
        <v/>
      </c>
      <c r="BJ16" s="50" t="str">
        <f>konkurs2!$W$16</f>
        <v/>
      </c>
    </row>
    <row r="17" spans="1:62" ht="18" customHeight="1">
      <c r="A17" s="4"/>
      <c r="B17" s="9"/>
      <c r="C17" s="54" t="str">
        <f>IF(B8="","",VLOOKUP(4,B6:C9,2,FALSE))</f>
        <v/>
      </c>
      <c r="D17" s="9">
        <f>IF(wyniki!C10=konkurs2!C17,1,0)</f>
        <v>0</v>
      </c>
      <c r="F17" s="9"/>
      <c r="G17" s="54" t="str">
        <f>IF(F8="","",VLOOKUP(4,F6:G9,2,FALSE))</f>
        <v/>
      </c>
      <c r="H17" s="9">
        <f>IF(wyniki!G10=konkurs2!G17,1,0)</f>
        <v>0</v>
      </c>
      <c r="I17" s="12"/>
      <c r="J17" s="9"/>
      <c r="K17" s="54" t="str">
        <f>IF(J8="","",VLOOKUP(4,J6:K9,2,FALSE))</f>
        <v/>
      </c>
      <c r="L17" s="9">
        <f>IF(wyniki!K10=konkurs2!K17,1,0)</f>
        <v>0</v>
      </c>
      <c r="M17" s="4"/>
      <c r="N17" s="9"/>
      <c r="O17" s="54" t="str">
        <f>IF(N8="","",VLOOKUP(4,N6:O9,2,FALSE))</f>
        <v/>
      </c>
      <c r="P17" s="9">
        <f>IF(wyniki!O10=konkurs2!O17,1,0)</f>
        <v>0</v>
      </c>
      <c r="Q17" s="12"/>
      <c r="R17" s="9"/>
      <c r="S17" s="54" t="str">
        <f>IF(R8="","",VLOOKUP(4,R6:S9,2,FALSE))</f>
        <v/>
      </c>
      <c r="T17" s="9">
        <f>IF(wyniki!S10=konkurs2!S17,1,0)</f>
        <v>0</v>
      </c>
      <c r="U17" s="12"/>
      <c r="V17" s="9"/>
      <c r="W17" s="54" t="str">
        <f>IF(V8="","",VLOOKUP(4,V6:W9,2,FALSE))</f>
        <v/>
      </c>
      <c r="X17" s="9">
        <f>IF(wyniki!W10=konkurs2!W17,1,0)</f>
        <v>0</v>
      </c>
      <c r="Y17" s="4"/>
      <c r="Z17" s="12"/>
      <c r="AA17" s="54" t="str">
        <f>IF(Z8="","",VLOOKUP(4,Z6:AA9,2,FALSE))</f>
        <v/>
      </c>
      <c r="AB17" s="9">
        <f>IF(wyniki!AA10=konkurs2!AA17,1,0)</f>
        <v>0</v>
      </c>
      <c r="AC17" s="12"/>
      <c r="AD17" s="12"/>
      <c r="AE17" s="54" t="str">
        <f>IF(AD8="","",VLOOKUP(4,AD6:AE9,2,FALSE))</f>
        <v/>
      </c>
      <c r="AF17" s="9">
        <f>IF(wyniki!AE10=konkurs2!AE17,1,0)</f>
        <v>0</v>
      </c>
      <c r="AG17" s="12"/>
      <c r="AH17" s="12"/>
      <c r="AI17" s="54" t="str">
        <f>IF(AH8="","",VLOOKUP(4,AH6:AI9,2,FALSE))</f>
        <v/>
      </c>
      <c r="AJ17" s="9">
        <f>IF(wyniki!AI10=konkurs2!AI17,1,0)</f>
        <v>0</v>
      </c>
      <c r="AK17" s="4"/>
      <c r="AL17" s="12"/>
      <c r="AM17" s="54" t="str">
        <f>IF(AL8="","",VLOOKUP(4,AL6:AM9,2,FALSE))</f>
        <v/>
      </c>
      <c r="AN17" s="9">
        <f>IF(wyniki!AM10=konkurs2!AM17,1,0)</f>
        <v>0</v>
      </c>
      <c r="AO17" s="4"/>
      <c r="AP17" s="12"/>
      <c r="AQ17" s="54" t="str">
        <f>IF(AP8="","",VLOOKUP(4,AP6:AQ9,2,FALSE))</f>
        <v/>
      </c>
      <c r="AR17" s="9">
        <f>IF(wyniki!AQ10=konkurs2!AQ17,1,0)</f>
        <v>0</v>
      </c>
      <c r="AS17" s="12"/>
      <c r="AT17" s="12"/>
      <c r="AU17" s="54" t="str">
        <f>IF(AT8="","",VLOOKUP(4,AT6:AU9,2,FALSE))</f>
        <v/>
      </c>
      <c r="AV17" s="9">
        <f>IF(wyniki!AU10=konkurs2!AU17,1,0)</f>
        <v>0</v>
      </c>
      <c r="AX17" s="49" t="s">
        <v>117</v>
      </c>
      <c r="AY17" t="str">
        <f>konkurs2!$S$16</f>
        <v/>
      </c>
      <c r="AZ17" t="str">
        <f>konkurs2!$AM$16</f>
        <v/>
      </c>
      <c r="BA17" t="str">
        <f>konkurs2!$AI$16</f>
        <v/>
      </c>
      <c r="BB17" t="str">
        <f>konkurs2!$K$16</f>
        <v/>
      </c>
      <c r="BC17" t="str">
        <f>konkurs2!$AE$16</f>
        <v/>
      </c>
      <c r="BD17" t="str">
        <f>konkurs2!$W$16</f>
        <v/>
      </c>
      <c r="BE17" t="str">
        <f>konkurs2!$AU$16</f>
        <v/>
      </c>
      <c r="BF17" t="str">
        <f>konkurs2!$AQ$16</f>
        <v/>
      </c>
      <c r="BG17" s="50" t="str">
        <f>konkurs2!$C$16</f>
        <v/>
      </c>
      <c r="BH17" s="50" t="str">
        <f>konkurs2!$G$16</f>
        <v/>
      </c>
      <c r="BI17" s="50" t="str">
        <f>konkurs2!$O$16</f>
        <v/>
      </c>
      <c r="BJ17" s="50" t="str">
        <f>konkurs2!$AA$16</f>
        <v/>
      </c>
    </row>
    <row r="18" spans="1:62" ht="18" customHeight="1">
      <c r="A18" s="4"/>
      <c r="B18" s="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"/>
      <c r="Y18" s="4"/>
      <c r="Z18" s="12"/>
      <c r="AA18" s="12"/>
      <c r="AB18" s="4"/>
      <c r="AC18" s="12"/>
      <c r="AD18" s="12"/>
      <c r="AE18" s="12"/>
      <c r="AF18" s="12"/>
      <c r="AG18" s="12"/>
      <c r="AH18" s="12"/>
      <c r="AI18" s="12"/>
      <c r="AJ18" s="12"/>
      <c r="AK18" s="4"/>
      <c r="AL18" s="12"/>
      <c r="AM18" s="12"/>
      <c r="AN18" s="12"/>
      <c r="AO18" s="4"/>
      <c r="AP18" s="12"/>
      <c r="AQ18" s="12"/>
      <c r="AR18" s="12"/>
      <c r="AS18" s="12"/>
      <c r="AT18" s="12"/>
      <c r="AU18" s="12"/>
      <c r="AV18" s="12"/>
      <c r="AX18" s="49" t="s">
        <v>118</v>
      </c>
      <c r="AY18" t="str">
        <f>konkurs2!$S$16</f>
        <v/>
      </c>
      <c r="AZ18" t="str">
        <f>konkurs2!$AA$16</f>
        <v/>
      </c>
      <c r="BA18" t="str">
        <f>konkurs2!$AI$16</f>
        <v/>
      </c>
      <c r="BB18" t="str">
        <f>konkurs2!$K$16</f>
        <v/>
      </c>
      <c r="BC18" t="str">
        <f>konkurs2!$AM$16</f>
        <v/>
      </c>
      <c r="BD18" t="str">
        <f>konkurs2!$W$16</f>
        <v/>
      </c>
      <c r="BE18" t="str">
        <f>konkurs2!$AU$16</f>
        <v/>
      </c>
      <c r="BF18" t="str">
        <f>konkurs2!$AQ$16</f>
        <v/>
      </c>
      <c r="BG18" s="50" t="str">
        <f>konkurs2!$C$16</f>
        <v/>
      </c>
      <c r="BH18" s="50" t="str">
        <f>konkurs2!$G$16</f>
        <v/>
      </c>
      <c r="BI18" s="50" t="str">
        <f>konkurs2!$O$16</f>
        <v/>
      </c>
      <c r="BJ18" s="50" t="str">
        <f>konkurs2!$AE$16</f>
        <v/>
      </c>
    </row>
    <row r="19" spans="1:62" ht="18" customHeight="1">
      <c r="A19" s="4"/>
      <c r="B19" s="9"/>
      <c r="C19" s="12"/>
      <c r="D19" s="9"/>
      <c r="E19" s="12"/>
      <c r="F19" s="12"/>
      <c r="G19" s="55" t="s">
        <v>119</v>
      </c>
      <c r="H19" s="79" t="e">
        <f>D14++D15+D16+D17+H14+H15+H16+H17+L14+L15+L16+L17+P14+P15+P16+P17+T14+T15+T16+T17+X14+X15+X16+X17+AB14+AB15+AB16+AB17+AF14+AF15+AF16+AF17+AJ14+AJ15+AJ16+AJ17+AN14+AN15+AN16+AN17+AR14+AR15+AR16+AR17+AV14+AV15+AV16+AV17</f>
        <v>#N/A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4"/>
      <c r="Y19" s="4"/>
      <c r="Z19" s="12"/>
      <c r="AA19" s="12"/>
      <c r="AB19" s="4"/>
      <c r="AC19" s="12"/>
      <c r="AD19" s="12"/>
      <c r="AE19" s="12"/>
      <c r="AF19" s="12"/>
      <c r="AG19" s="12"/>
      <c r="AH19" s="12"/>
      <c r="AI19" s="12"/>
      <c r="AJ19" s="12"/>
      <c r="AK19" s="4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X19" s="49" t="s">
        <v>121</v>
      </c>
      <c r="AY19" t="str">
        <f>konkurs2!$S$16</f>
        <v/>
      </c>
      <c r="AZ19" t="str">
        <f>konkurs2!$AA$16</f>
        <v/>
      </c>
      <c r="BA19" t="str">
        <f>konkurs2!$AM$16</f>
        <v/>
      </c>
      <c r="BB19" t="str">
        <f>konkurs2!$K$16</f>
        <v/>
      </c>
      <c r="BC19" t="str">
        <f>konkurs2!$AE$16</f>
        <v/>
      </c>
      <c r="BD19" t="str">
        <f>konkurs2!$W$16</f>
        <v/>
      </c>
      <c r="BE19" t="str">
        <f>konkurs2!$AU$16</f>
        <v/>
      </c>
      <c r="BF19" t="str">
        <f>konkurs2!$AQ$16</f>
        <v/>
      </c>
      <c r="BG19" s="50" t="str">
        <f>konkurs2!$C$16</f>
        <v/>
      </c>
      <c r="BH19" s="50" t="str">
        <f>konkurs2!$G$16</f>
        <v/>
      </c>
      <c r="BI19" s="50" t="str">
        <f>konkurs2!$O$16</f>
        <v/>
      </c>
      <c r="BJ19" s="50" t="str">
        <f>konkurs2!$AI$16</f>
        <v/>
      </c>
    </row>
    <row r="20" spans="1:62" ht="18" customHeight="1">
      <c r="A20" s="4"/>
      <c r="B20" s="9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4"/>
      <c r="Y20" s="12"/>
      <c r="Z20" s="12"/>
      <c r="AA20" s="12"/>
      <c r="AB20" s="4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X20" s="49" t="s">
        <v>122</v>
      </c>
      <c r="AY20" t="str">
        <f>konkurs2!$S$16</f>
        <v/>
      </c>
      <c r="AZ20" t="str">
        <f>konkurs2!$AA$16</f>
        <v/>
      </c>
      <c r="BA20" t="str">
        <f>konkurs2!$AI$16</f>
        <v/>
      </c>
      <c r="BB20" t="str">
        <f>konkurs2!$K$16</f>
        <v/>
      </c>
      <c r="BC20" t="str">
        <f>konkurs2!$AE$16</f>
        <v/>
      </c>
      <c r="BD20" t="str">
        <f>konkurs2!$W$16</f>
        <v/>
      </c>
      <c r="BE20" t="str">
        <f>konkurs2!$AU$16</f>
        <v/>
      </c>
      <c r="BF20" t="str">
        <f>konkurs2!$AQ$16</f>
        <v/>
      </c>
      <c r="BG20" s="50" t="str">
        <f>konkurs2!$C$16</f>
        <v/>
      </c>
      <c r="BH20" s="50" t="str">
        <f>konkurs2!$G$16</f>
        <v/>
      </c>
      <c r="BI20" s="50" t="str">
        <f>konkurs2!$O$16</f>
        <v/>
      </c>
      <c r="BJ20" s="50" t="str">
        <f>konkurs2!$AM$16</f>
        <v/>
      </c>
    </row>
    <row r="21" spans="1:62" ht="18" customHeight="1">
      <c r="A21" s="4"/>
      <c r="B21" s="9"/>
      <c r="C21" s="98" t="s">
        <v>120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12"/>
      <c r="X21" s="4"/>
      <c r="Y21" s="12"/>
      <c r="Z21" s="12"/>
      <c r="AA21" s="12"/>
      <c r="AB21" s="4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X21" s="49" t="s">
        <v>123</v>
      </c>
      <c r="AY21" t="str">
        <f>konkurs2!$S$16</f>
        <v/>
      </c>
      <c r="AZ21" t="str">
        <f>konkurs2!$AA$16</f>
        <v/>
      </c>
      <c r="BA21" t="str">
        <f>konkurs2!$AM$16</f>
        <v/>
      </c>
      <c r="BB21" t="str">
        <f>konkurs2!$K$16</f>
        <v/>
      </c>
      <c r="BC21" t="str">
        <f>konkurs2!$AE$16</f>
        <v/>
      </c>
      <c r="BD21" t="str">
        <f>konkurs2!$W$16</f>
        <v/>
      </c>
      <c r="BE21" t="str">
        <f>konkurs2!$AU$16</f>
        <v/>
      </c>
      <c r="BF21" t="str">
        <f>konkurs2!$AI$16</f>
        <v/>
      </c>
      <c r="BG21" s="50" t="str">
        <f>konkurs2!$C$16</f>
        <v/>
      </c>
      <c r="BH21" s="50" t="str">
        <f>konkurs2!$G$16</f>
        <v/>
      </c>
      <c r="BI21" s="50" t="str">
        <f>konkurs2!$O$16</f>
        <v/>
      </c>
      <c r="BJ21" s="50" t="str">
        <f>konkurs2!$AQ$16</f>
        <v/>
      </c>
    </row>
    <row r="22" spans="1:62" ht="18" customHeight="1">
      <c r="A22" s="4"/>
      <c r="B22" s="9"/>
      <c r="C22" s="95" t="s">
        <v>613</v>
      </c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12"/>
      <c r="X22" s="4"/>
      <c r="Y22" s="12"/>
      <c r="Z22" s="12"/>
      <c r="AA22" s="12"/>
      <c r="AB22" s="4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X22" s="49" t="s">
        <v>124</v>
      </c>
      <c r="AY22" t="str">
        <f>konkurs2!$S$16</f>
        <v/>
      </c>
      <c r="AZ22" t="str">
        <f>konkurs2!$AA$16</f>
        <v/>
      </c>
      <c r="BA22" t="str">
        <f>konkurs2!$AM$16</f>
        <v/>
      </c>
      <c r="BB22" t="str">
        <f>konkurs2!$K$16</f>
        <v/>
      </c>
      <c r="BC22" t="str">
        <f>konkurs2!$AE$16</f>
        <v/>
      </c>
      <c r="BD22" t="str">
        <f>konkurs2!$W$16</f>
        <v/>
      </c>
      <c r="BE22" t="str">
        <f>konkurs2!$AI$16</f>
        <v/>
      </c>
      <c r="BF22" t="str">
        <f>konkurs2!$AQ$16</f>
        <v/>
      </c>
      <c r="BG22" s="50" t="str">
        <f>konkurs2!$C$16</f>
        <v/>
      </c>
      <c r="BH22" s="50" t="str">
        <f>konkurs2!$G$16</f>
        <v/>
      </c>
      <c r="BI22" s="50" t="str">
        <f>konkurs2!$O$16</f>
        <v/>
      </c>
      <c r="BJ22" s="50" t="str">
        <f>konkurs2!$AU$16</f>
        <v/>
      </c>
    </row>
    <row r="23" spans="1:62" ht="18" customHeight="1">
      <c r="A23" s="4"/>
      <c r="B23" s="9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4"/>
      <c r="Y23" s="12"/>
      <c r="Z23" s="12"/>
      <c r="AA23" s="12"/>
      <c r="AB23" s="4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X23" s="49" t="s">
        <v>127</v>
      </c>
      <c r="AY23" t="str">
        <f>konkurs2!$AE$16</f>
        <v/>
      </c>
      <c r="AZ23" t="str">
        <f>konkurs2!$AA$16</f>
        <v/>
      </c>
      <c r="BA23" t="str">
        <f>konkurs2!$AI$16</f>
        <v/>
      </c>
      <c r="BB23" t="str">
        <f>konkurs2!$K$16</f>
        <v/>
      </c>
      <c r="BC23" t="str">
        <f>konkurs2!$AM$16</f>
        <v/>
      </c>
      <c r="BD23" t="str">
        <f>konkurs2!$O$16</f>
        <v/>
      </c>
      <c r="BE23" t="str">
        <f>konkurs2!$AU$16</f>
        <v/>
      </c>
      <c r="BF23" t="str">
        <f>konkurs2!$AQ$16</f>
        <v/>
      </c>
      <c r="BG23" s="50" t="str">
        <f>konkurs2!$C$16</f>
        <v/>
      </c>
      <c r="BH23" s="50" t="str">
        <f>konkurs2!$G$16</f>
        <v/>
      </c>
      <c r="BI23" s="50" t="str">
        <f>konkurs2!$S$16</f>
        <v/>
      </c>
      <c r="BJ23" s="50" t="str">
        <f>konkurs2!$W$16</f>
        <v/>
      </c>
    </row>
    <row r="24" spans="1:62" ht="27" customHeight="1">
      <c r="A24" s="4"/>
      <c r="B24" s="9"/>
      <c r="C24" s="12"/>
      <c r="D24" s="12"/>
      <c r="E24" s="12"/>
      <c r="F24" s="12"/>
      <c r="G24" s="96" t="s">
        <v>113</v>
      </c>
      <c r="H24" s="97"/>
      <c r="I24" s="97"/>
      <c r="J24" s="97"/>
      <c r="K24" s="97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4"/>
      <c r="Y24" s="12"/>
      <c r="Z24" s="12"/>
      <c r="AA24" s="12"/>
      <c r="AB24" s="4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X24" s="49" t="s">
        <v>128</v>
      </c>
      <c r="AY24" t="str">
        <f>konkurs2!$K$16</f>
        <v/>
      </c>
      <c r="AZ24" t="str">
        <f>konkurs2!$AM$16</f>
        <v/>
      </c>
      <c r="BA24" t="str">
        <f>konkurs2!$AI$16</f>
        <v/>
      </c>
      <c r="BB24" t="str">
        <f>konkurs2!$O$16</f>
        <v/>
      </c>
      <c r="BC24" t="str">
        <f>konkurs2!$AE$16</f>
        <v/>
      </c>
      <c r="BD24" t="str">
        <f>konkurs2!$W$16</f>
        <v/>
      </c>
      <c r="BE24" t="str">
        <f>konkurs2!$AU$16</f>
        <v/>
      </c>
      <c r="BF24" t="str">
        <f>konkurs2!$AQ$16</f>
        <v/>
      </c>
      <c r="BG24" s="50" t="str">
        <f>konkurs2!$C$16</f>
        <v/>
      </c>
      <c r="BH24" s="50" t="str">
        <f>konkurs2!$G$16</f>
        <v/>
      </c>
      <c r="BI24" s="50" t="str">
        <f>konkurs2!$S$16</f>
        <v/>
      </c>
      <c r="BJ24" s="50" t="str">
        <f>konkurs2!$AA$16</f>
        <v/>
      </c>
    </row>
    <row r="25" spans="1:62" ht="27" customHeight="1">
      <c r="A25" s="4"/>
      <c r="B25" s="9"/>
      <c r="C25" s="12"/>
      <c r="D25" s="12"/>
      <c r="E25" s="12"/>
      <c r="F25" s="12"/>
      <c r="G25" s="56" t="s">
        <v>125</v>
      </c>
      <c r="H25" s="12"/>
      <c r="I25" s="12"/>
      <c r="J25" s="12"/>
      <c r="K25" s="56" t="s">
        <v>126</v>
      </c>
      <c r="L25" s="12"/>
      <c r="M25" s="12"/>
      <c r="N25" s="12"/>
      <c r="P25" s="12"/>
      <c r="Q25" s="12"/>
      <c r="R25" s="12"/>
      <c r="S25" s="12"/>
      <c r="T25" s="12"/>
      <c r="U25" s="12"/>
      <c r="V25" s="12"/>
      <c r="W25" s="12"/>
      <c r="X25" s="4"/>
      <c r="Y25" s="12"/>
      <c r="Z25" s="12"/>
      <c r="AA25" s="12"/>
      <c r="AB25" s="4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X25" s="49" t="s">
        <v>129</v>
      </c>
      <c r="AY25" t="str">
        <f>konkurs2!$K$16</f>
        <v/>
      </c>
      <c r="AZ25" t="str">
        <f>konkurs2!$AA$16</f>
        <v/>
      </c>
      <c r="BA25" t="str">
        <f>konkurs2!$AI$16</f>
        <v/>
      </c>
      <c r="BB25" t="str">
        <f>konkurs2!$O$16</f>
        <v/>
      </c>
      <c r="BC25" t="str">
        <f>konkurs2!$AM$16</f>
        <v/>
      </c>
      <c r="BD25" t="str">
        <f>konkurs2!$W$16</f>
        <v/>
      </c>
      <c r="BE25" t="str">
        <f>konkurs2!$AU$16</f>
        <v/>
      </c>
      <c r="BF25" t="str">
        <f>konkurs2!$AQ$16</f>
        <v/>
      </c>
      <c r="BG25" s="50" t="str">
        <f>konkurs2!$C$16</f>
        <v/>
      </c>
      <c r="BH25" s="50" t="str">
        <f>konkurs2!$G$16</f>
        <v/>
      </c>
      <c r="BI25" s="50" t="str">
        <f>konkurs2!$S$16</f>
        <v/>
      </c>
      <c r="BJ25" s="50" t="str">
        <f>konkurs2!$AE$16</f>
        <v/>
      </c>
    </row>
    <row r="26" spans="1:62" ht="27" customHeight="1">
      <c r="A26" s="4"/>
      <c r="B26" s="9"/>
      <c r="C26" s="12"/>
      <c r="D26" s="12"/>
      <c r="E26" s="57"/>
      <c r="F26" s="40"/>
      <c r="G26" s="58" t="str">
        <f>LOOKUP(G24,AX6:AX500,BG6:BG500)</f>
        <v/>
      </c>
      <c r="I26" s="12"/>
      <c r="J26" s="59"/>
      <c r="K26" s="60" t="str">
        <f>LOOKUP(G24,AX6:AX500,AY6:AY500)</f>
        <v/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4"/>
      <c r="Y26" s="12"/>
      <c r="Z26" s="12"/>
      <c r="AA26" s="12"/>
      <c r="AB26" s="4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X26" s="49" t="s">
        <v>130</v>
      </c>
      <c r="AY26" t="str">
        <f>konkurs2!$K$16</f>
        <v/>
      </c>
      <c r="AZ26" t="str">
        <f>konkurs2!$AA$16</f>
        <v/>
      </c>
      <c r="BA26" t="str">
        <f>konkurs2!$AM$16</f>
        <v/>
      </c>
      <c r="BB26" t="str">
        <f>konkurs2!$O$16</f>
        <v/>
      </c>
      <c r="BC26" t="str">
        <f>konkurs2!$AE$16</f>
        <v/>
      </c>
      <c r="BD26" t="str">
        <f>konkurs2!$W$16</f>
        <v/>
      </c>
      <c r="BE26" t="str">
        <f>konkurs2!$AU$16</f>
        <v/>
      </c>
      <c r="BF26" t="str">
        <f>konkurs2!$AQ$16</f>
        <v/>
      </c>
      <c r="BG26" s="50" t="str">
        <f>konkurs2!$C$16</f>
        <v/>
      </c>
      <c r="BH26" s="50" t="str">
        <f>konkurs2!$G$16</f>
        <v/>
      </c>
      <c r="BI26" s="50" t="str">
        <f>konkurs2!$S$16</f>
        <v/>
      </c>
      <c r="BJ26" s="50" t="str">
        <f>konkurs2!$AI$16</f>
        <v/>
      </c>
    </row>
    <row r="27" spans="1:62" ht="27" customHeight="1">
      <c r="A27" s="4"/>
      <c r="B27" s="9"/>
      <c r="C27" s="12"/>
      <c r="D27" s="12"/>
      <c r="E27" s="57"/>
      <c r="F27" s="40"/>
      <c r="G27" s="58" t="str">
        <f>LOOKUP(G24,AX6:AX500,BH6:BH500)</f>
        <v/>
      </c>
      <c r="I27" s="12"/>
      <c r="J27" s="59"/>
      <c r="K27" s="61" t="str">
        <f>LOOKUP(G24,AX6:AX500,AZ6:AZ500)</f>
        <v/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4"/>
      <c r="Y27" s="12"/>
      <c r="Z27" s="12"/>
      <c r="AA27" s="12"/>
      <c r="AB27" s="4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X27" s="49" t="s">
        <v>131</v>
      </c>
      <c r="AY27" t="str">
        <f>konkurs2!$K$16</f>
        <v/>
      </c>
      <c r="AZ27" t="str">
        <f>konkurs2!$AA$16</f>
        <v/>
      </c>
      <c r="BA27" t="str">
        <f>konkurs2!$AI$16</f>
        <v/>
      </c>
      <c r="BB27" t="str">
        <f>konkurs2!$O$16</f>
        <v/>
      </c>
      <c r="BC27" t="str">
        <f>konkurs2!$AE$16</f>
        <v/>
      </c>
      <c r="BD27" t="str">
        <f>konkurs2!$W$16</f>
        <v/>
      </c>
      <c r="BE27" t="str">
        <f>konkurs2!$AU$16</f>
        <v/>
      </c>
      <c r="BF27" t="str">
        <f>konkurs2!$AQ$16</f>
        <v/>
      </c>
      <c r="BG27" s="50" t="str">
        <f>konkurs2!$C$16</f>
        <v/>
      </c>
      <c r="BH27" s="50" t="str">
        <f>konkurs2!$G$16</f>
        <v/>
      </c>
      <c r="BI27" s="50" t="str">
        <f>konkurs2!$S$16</f>
        <v/>
      </c>
      <c r="BJ27" s="50" t="str">
        <f>konkurs2!$AM$16</f>
        <v/>
      </c>
    </row>
    <row r="28" spans="1:62" ht="27" customHeight="1">
      <c r="A28" s="4"/>
      <c r="B28" s="9"/>
      <c r="C28" s="12"/>
      <c r="D28" s="12"/>
      <c r="E28" s="57"/>
      <c r="F28" s="40"/>
      <c r="G28" s="58" t="str">
        <f>LOOKUP(G24,AX6:AX500,BI6:BI500)</f>
        <v/>
      </c>
      <c r="I28" s="12"/>
      <c r="J28" s="59"/>
      <c r="K28" s="60" t="str">
        <f>LOOKUP(G24,AX6:AX500,BA6:BA500)</f>
        <v/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4"/>
      <c r="Y28" s="12"/>
      <c r="Z28" s="12"/>
      <c r="AA28" s="12"/>
      <c r="AB28" s="4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X28" s="49" t="s">
        <v>132</v>
      </c>
      <c r="AY28" t="str">
        <f>konkurs2!$K$16</f>
        <v/>
      </c>
      <c r="AZ28" t="str">
        <f>konkurs2!$AA$16</f>
        <v/>
      </c>
      <c r="BA28" t="str">
        <f>konkurs2!$AM$16</f>
        <v/>
      </c>
      <c r="BB28" t="str">
        <f>konkurs2!$O$16</f>
        <v/>
      </c>
      <c r="BC28" t="str">
        <f>konkurs2!$AE$16</f>
        <v/>
      </c>
      <c r="BD28" t="str">
        <f>konkurs2!$W$16</f>
        <v/>
      </c>
      <c r="BE28" t="str">
        <f>konkurs2!$AU$16</f>
        <v/>
      </c>
      <c r="BF28" t="str">
        <f>konkurs2!$AI$16</f>
        <v/>
      </c>
      <c r="BG28" s="50" t="str">
        <f>konkurs2!$C$16</f>
        <v/>
      </c>
      <c r="BH28" s="50" t="str">
        <f>konkurs2!$G$16</f>
        <v/>
      </c>
      <c r="BI28" s="50" t="str">
        <f>konkurs2!$S$16</f>
        <v/>
      </c>
      <c r="BJ28" s="50" t="str">
        <f>konkurs2!$AQ$16</f>
        <v/>
      </c>
    </row>
    <row r="29" spans="1:62" ht="27" customHeight="1">
      <c r="A29" s="4"/>
      <c r="B29" s="9"/>
      <c r="C29" s="12"/>
      <c r="D29" s="12"/>
      <c r="E29" s="57"/>
      <c r="F29" s="40"/>
      <c r="G29" s="58" t="str">
        <f>LOOKUP(G24,AX6:AX500,BJ6:BJ500)</f>
        <v/>
      </c>
      <c r="I29" s="12"/>
      <c r="J29" s="59"/>
      <c r="K29" s="60" t="str">
        <f>LOOKUP(G24,AX6:AX500,BB6:BB500)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4"/>
      <c r="Y29" s="12"/>
      <c r="Z29" s="12"/>
      <c r="AA29" s="12"/>
      <c r="AB29" s="4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X29" s="49" t="s">
        <v>133</v>
      </c>
      <c r="AY29" t="str">
        <f>konkurs2!$K$16</f>
        <v/>
      </c>
      <c r="AZ29" t="str">
        <f>konkurs2!$AA$16</f>
        <v/>
      </c>
      <c r="BA29" t="str">
        <f>konkurs2!$AM$16</f>
        <v/>
      </c>
      <c r="BB29" t="str">
        <f>konkurs2!$O$16</f>
        <v/>
      </c>
      <c r="BC29" t="str">
        <f>konkurs2!$AE$16</f>
        <v/>
      </c>
      <c r="BD29" t="str">
        <f>konkurs2!$W$16</f>
        <v/>
      </c>
      <c r="BE29" t="str">
        <f>konkurs2!$AI$16</f>
        <v/>
      </c>
      <c r="BF29" t="str">
        <f>konkurs2!$AQ$16</f>
        <v/>
      </c>
      <c r="BG29" s="50" t="str">
        <f>konkurs2!$C$16</f>
        <v/>
      </c>
      <c r="BH29" s="50" t="str">
        <f>konkurs2!$G$16</f>
        <v/>
      </c>
      <c r="BI29" s="50" t="str">
        <f>konkurs2!$S$16</f>
        <v/>
      </c>
      <c r="BJ29" s="50" t="str">
        <f>konkurs2!$AU$16</f>
        <v/>
      </c>
    </row>
    <row r="30" spans="1:62" ht="27" customHeight="1">
      <c r="A30" s="4"/>
      <c r="B30" s="9"/>
      <c r="C30" s="12"/>
      <c r="D30" s="12"/>
      <c r="E30" s="12"/>
      <c r="I30" s="12"/>
      <c r="J30" s="59"/>
      <c r="K30" s="60" t="str">
        <f>LOOKUP(G24,AX6:AX500,BC6:BC500)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4"/>
      <c r="Y30" s="12"/>
      <c r="Z30" s="12"/>
      <c r="AA30" s="12"/>
      <c r="AB30" s="4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X30" s="49" t="s">
        <v>134</v>
      </c>
      <c r="AY30" t="str">
        <f>konkurs2!$S$16</f>
        <v/>
      </c>
      <c r="AZ30" t="str">
        <f>konkurs2!$AM$16</f>
        <v/>
      </c>
      <c r="BA30" t="str">
        <f>konkurs2!$AI$16</f>
        <v/>
      </c>
      <c r="BB30" t="str">
        <f>konkurs2!$K$16</f>
        <v/>
      </c>
      <c r="BC30" t="str">
        <f>konkurs2!$AE$16</f>
        <v/>
      </c>
      <c r="BD30" t="str">
        <f>konkurs2!$O$16</f>
        <v/>
      </c>
      <c r="BE30" t="str">
        <f>konkurs2!$AU$16</f>
        <v/>
      </c>
      <c r="BF30" t="str">
        <f>konkurs2!$AQ$16</f>
        <v/>
      </c>
      <c r="BG30" s="50" t="str">
        <f>konkurs2!$C$16</f>
        <v/>
      </c>
      <c r="BH30" s="50" t="str">
        <f>konkurs2!$G$16</f>
        <v/>
      </c>
      <c r="BI30" s="50" t="str">
        <f>konkurs2!$W$16</f>
        <v/>
      </c>
      <c r="BJ30" s="50" t="str">
        <f>konkurs2!$AA$16</f>
        <v/>
      </c>
    </row>
    <row r="31" spans="1:62" ht="27" customHeight="1">
      <c r="A31" s="4"/>
      <c r="B31" s="9"/>
      <c r="C31" s="12"/>
      <c r="D31" s="12"/>
      <c r="E31" s="12"/>
      <c r="I31" s="12"/>
      <c r="J31" s="59"/>
      <c r="K31" s="60" t="str">
        <f>LOOKUP(G24,AX6:AX500,BD6:BD500)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4"/>
      <c r="Y31" s="12"/>
      <c r="Z31" s="12"/>
      <c r="AA31" s="12"/>
      <c r="AB31" s="4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X31" s="49" t="s">
        <v>135</v>
      </c>
      <c r="AY31" t="str">
        <f>konkurs2!$S$16</f>
        <v/>
      </c>
      <c r="AZ31" t="str">
        <f>konkurs2!$AA$16</f>
        <v/>
      </c>
      <c r="BA31" t="str">
        <f>konkurs2!$AI$16</f>
        <v/>
      </c>
      <c r="BB31" t="str">
        <f>konkurs2!$K$16</f>
        <v/>
      </c>
      <c r="BC31" t="str">
        <f>konkurs2!$AM$16</f>
        <v/>
      </c>
      <c r="BD31" t="str">
        <f>konkurs2!$O$16</f>
        <v/>
      </c>
      <c r="BE31" t="str">
        <f>konkurs2!$AU$16</f>
        <v/>
      </c>
      <c r="BF31" t="str">
        <f>konkurs2!$AQ$16</f>
        <v/>
      </c>
      <c r="BG31" s="50" t="str">
        <f>konkurs2!$C$16</f>
        <v/>
      </c>
      <c r="BH31" s="50" t="str">
        <f>konkurs2!$G$16</f>
        <v/>
      </c>
      <c r="BI31" s="50" t="str">
        <f>konkurs2!$W$16</f>
        <v/>
      </c>
      <c r="BJ31" s="50" t="str">
        <f>konkurs2!$AE$16</f>
        <v/>
      </c>
    </row>
    <row r="32" spans="1:62" ht="27" customHeight="1">
      <c r="A32" s="4"/>
      <c r="B32" s="9"/>
      <c r="C32" s="12"/>
      <c r="D32" s="12"/>
      <c r="E32" s="12"/>
      <c r="I32" s="12"/>
      <c r="K32" s="60" t="str">
        <f>LOOKUP(G24,AX6:AX500,BE6:BE500)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4"/>
      <c r="Y32" s="12"/>
      <c r="Z32" s="12"/>
      <c r="AA32" s="12"/>
      <c r="AB32" s="4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X32" s="49" t="s">
        <v>136</v>
      </c>
      <c r="AY32" t="str">
        <f>konkurs2!$S$16</f>
        <v/>
      </c>
      <c r="AZ32" t="str">
        <f>konkurs2!$AA$16</f>
        <v/>
      </c>
      <c r="BA32" t="str">
        <f>konkurs2!$AM$16</f>
        <v/>
      </c>
      <c r="BB32" t="str">
        <f>konkurs2!$K$16</f>
        <v/>
      </c>
      <c r="BC32" t="str">
        <f>konkurs2!$AE$16</f>
        <v/>
      </c>
      <c r="BD32" t="str">
        <f>konkurs2!$O$16</f>
        <v/>
      </c>
      <c r="BE32" t="str">
        <f>konkurs2!$AU$16</f>
        <v/>
      </c>
      <c r="BF32" t="str">
        <f>konkurs2!$AQ$16</f>
        <v/>
      </c>
      <c r="BG32" s="50" t="str">
        <f>konkurs2!$C$16</f>
        <v/>
      </c>
      <c r="BH32" s="50" t="str">
        <f>konkurs2!$G$16</f>
        <v/>
      </c>
      <c r="BI32" s="50" t="str">
        <f>konkurs2!$W$16</f>
        <v/>
      </c>
      <c r="BJ32" s="50" t="str">
        <f>konkurs2!$AI$16</f>
        <v/>
      </c>
    </row>
    <row r="33" spans="1:62" ht="27" customHeight="1">
      <c r="A33" s="4"/>
      <c r="B33" s="9"/>
      <c r="C33" s="12"/>
      <c r="D33" s="12"/>
      <c r="E33" s="12"/>
      <c r="I33" s="12"/>
      <c r="K33" s="61" t="str">
        <f>LOOKUP(G24,AX6:AX500,BF6:BF500)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4"/>
      <c r="Y33" s="12"/>
      <c r="Z33" s="12"/>
      <c r="AA33" s="12"/>
      <c r="AB33" s="4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X33" s="49" t="s">
        <v>137</v>
      </c>
      <c r="AY33" t="str">
        <f>konkurs2!$S$16</f>
        <v/>
      </c>
      <c r="AZ33" t="str">
        <f>konkurs2!$AA$16</f>
        <v/>
      </c>
      <c r="BA33" t="str">
        <f>konkurs2!$AI$16</f>
        <v/>
      </c>
      <c r="BB33" t="str">
        <f>konkurs2!$K$16</f>
        <v/>
      </c>
      <c r="BC33" t="str">
        <f>konkurs2!$AE$16</f>
        <v/>
      </c>
      <c r="BD33" t="str">
        <f>konkurs2!$O$16</f>
        <v/>
      </c>
      <c r="BE33" t="str">
        <f>konkurs2!$AU$16</f>
        <v/>
      </c>
      <c r="BF33" t="str">
        <f>konkurs2!$AQ$16</f>
        <v/>
      </c>
      <c r="BG33" s="50" t="str">
        <f>konkurs2!$C$16</f>
        <v/>
      </c>
      <c r="BH33" s="50" t="str">
        <f>konkurs2!$G$16</f>
        <v/>
      </c>
      <c r="BI33" s="50" t="str">
        <f>konkurs2!$W$16</f>
        <v/>
      </c>
      <c r="BJ33" s="50" t="str">
        <f>konkurs2!$AM$16</f>
        <v/>
      </c>
    </row>
    <row r="34" spans="1:62" ht="27" customHeight="1">
      <c r="A34" s="4"/>
      <c r="B34" s="9"/>
      <c r="D34" s="12"/>
      <c r="E34" s="12"/>
      <c r="I34" s="12"/>
      <c r="L34" s="12"/>
      <c r="M34" s="12"/>
      <c r="N34" s="12"/>
      <c r="O34" s="12"/>
      <c r="R34" s="12"/>
      <c r="S34" s="12"/>
      <c r="T34" s="12"/>
      <c r="U34" s="12"/>
      <c r="V34" s="12"/>
      <c r="W34" s="12"/>
      <c r="X34" s="4"/>
      <c r="Y34" s="12"/>
      <c r="Z34" s="12"/>
      <c r="AA34" s="12"/>
      <c r="AB34" s="4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X34" s="49" t="s">
        <v>138</v>
      </c>
      <c r="AY34" t="str">
        <f>konkurs2!$S$16</f>
        <v/>
      </c>
      <c r="AZ34" t="str">
        <f>konkurs2!$AA$16</f>
        <v/>
      </c>
      <c r="BA34" t="str">
        <f>konkurs2!$AM$16</f>
        <v/>
      </c>
      <c r="BB34" t="str">
        <f>konkurs2!$K$16</f>
        <v/>
      </c>
      <c r="BC34" t="str">
        <f>konkurs2!$AE$16</f>
        <v/>
      </c>
      <c r="BD34" t="str">
        <f>konkurs2!$O$16</f>
        <v/>
      </c>
      <c r="BE34" t="str">
        <f>konkurs2!$AU$16</f>
        <v/>
      </c>
      <c r="BF34" t="str">
        <f>konkurs2!$AI$16</f>
        <v/>
      </c>
      <c r="BG34" s="50" t="str">
        <f>konkurs2!$C$16</f>
        <v/>
      </c>
      <c r="BH34" s="50" t="str">
        <f>konkurs2!$G$16</f>
        <v/>
      </c>
      <c r="BI34" s="50" t="str">
        <f>konkurs2!$W$16</f>
        <v/>
      </c>
      <c r="BJ34" s="50" t="str">
        <f>konkurs2!$AQ$16</f>
        <v/>
      </c>
    </row>
    <row r="35" spans="1:62" ht="27" customHeight="1">
      <c r="A35" s="4"/>
      <c r="B35" s="9"/>
      <c r="C35" s="95" t="s">
        <v>614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12"/>
      <c r="X35" s="4"/>
      <c r="Y35" s="12"/>
      <c r="Z35" s="12"/>
      <c r="AA35" s="12"/>
      <c r="AB35" s="4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X35" s="49" t="s">
        <v>140</v>
      </c>
      <c r="AY35" t="str">
        <f>konkurs2!$S$16</f>
        <v/>
      </c>
      <c r="AZ35" t="str">
        <f>konkurs2!$AA$16</f>
        <v/>
      </c>
      <c r="BA35" t="str">
        <f>konkurs2!$AM$16</f>
        <v/>
      </c>
      <c r="BB35" t="str">
        <f>konkurs2!$K$16</f>
        <v/>
      </c>
      <c r="BC35" t="str">
        <f>konkurs2!$AE$16</f>
        <v/>
      </c>
      <c r="BD35" t="str">
        <f>konkurs2!$O$16</f>
        <v/>
      </c>
      <c r="BE35" t="str">
        <f>konkurs2!$AI$16</f>
        <v/>
      </c>
      <c r="BF35" t="str">
        <f>konkurs2!$AQ$16</f>
        <v/>
      </c>
      <c r="BG35" s="50" t="str">
        <f>konkurs2!$C$16</f>
        <v/>
      </c>
      <c r="BH35" s="50" t="str">
        <f>konkurs2!$G$16</f>
        <v/>
      </c>
      <c r="BI35" s="50" t="str">
        <f>konkurs2!$W$16</f>
        <v/>
      </c>
      <c r="BJ35" s="50" t="str">
        <f>konkurs2!$AU$16</f>
        <v/>
      </c>
    </row>
    <row r="36" spans="1:62" ht="18" customHeight="1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Q36" s="9"/>
      <c r="R36" s="9"/>
      <c r="S36" s="9"/>
      <c r="T36" s="9"/>
      <c r="U36" s="9"/>
      <c r="V36" s="9"/>
      <c r="W36" s="12"/>
      <c r="X36" s="4"/>
      <c r="Y36" s="12"/>
      <c r="Z36" s="12"/>
      <c r="AA36" s="12"/>
      <c r="AB36" s="4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X36" s="49" t="s">
        <v>141</v>
      </c>
      <c r="AY36" t="str">
        <f>konkurs2!$K$16</f>
        <v/>
      </c>
      <c r="AZ36" t="str">
        <f>konkurs2!$AM$16</f>
        <v/>
      </c>
      <c r="BA36" t="str">
        <f>konkurs2!$S$16</f>
        <v/>
      </c>
      <c r="BB36" t="str">
        <f>konkurs2!$O$16</f>
        <v/>
      </c>
      <c r="BC36" t="str">
        <f>konkurs2!$AI$16</f>
        <v/>
      </c>
      <c r="BD36" t="str">
        <f>konkurs2!$W$16</f>
        <v/>
      </c>
      <c r="BE36" t="str">
        <f>konkurs2!$AU$16</f>
        <v/>
      </c>
      <c r="BF36" t="str">
        <f>konkurs2!$AQ$16</f>
        <v/>
      </c>
      <c r="BG36" s="50" t="str">
        <f>konkurs2!$C$16</f>
        <v/>
      </c>
      <c r="BH36" s="50" t="str">
        <f>konkurs2!$G$16</f>
        <v/>
      </c>
      <c r="BI36" s="50" t="str">
        <f>konkurs2!$AA$16</f>
        <v/>
      </c>
      <c r="BJ36" s="50" t="str">
        <f>konkurs2!$AE$16</f>
        <v/>
      </c>
    </row>
    <row r="37" spans="1:62" ht="18" customHeight="1">
      <c r="A37" s="4"/>
      <c r="B37" s="9"/>
      <c r="C37" s="9"/>
      <c r="D37" s="9"/>
      <c r="E37" s="9"/>
      <c r="F37" s="9"/>
      <c r="G37" s="55" t="s">
        <v>139</v>
      </c>
      <c r="H37" s="79" t="e">
        <f>B39+B41+B43+B45+H39+H41+H43+H45+J39+J41+J43+J45+P39+P41+P43+P45+R39+R41+R43+R45+X39+X41+X43+X45+Z39+Z41+Z43+Z45+AF39+AF41+AF43+AF45</f>
        <v>#N/A</v>
      </c>
      <c r="I37" s="9"/>
      <c r="J37" s="9"/>
      <c r="K37" s="9"/>
      <c r="L37" s="9"/>
      <c r="M37" s="9"/>
      <c r="N37" s="9"/>
      <c r="O37" s="9"/>
      <c r="P37" s="4" t="s">
        <v>49</v>
      </c>
      <c r="Q37" s="9"/>
      <c r="R37" s="9"/>
      <c r="S37" s="9"/>
      <c r="T37" s="9"/>
      <c r="U37" s="9"/>
      <c r="V37" s="9"/>
      <c r="W37" s="12"/>
      <c r="X37" s="4"/>
      <c r="Y37" s="12"/>
      <c r="Z37" s="12"/>
      <c r="AA37" s="12"/>
      <c r="AB37" s="4"/>
      <c r="AC37" s="12"/>
      <c r="AD37" s="12"/>
      <c r="AE37" s="12"/>
      <c r="AF37" s="12"/>
      <c r="AG37" s="12"/>
      <c r="AH37" s="12"/>
      <c r="AI37" s="12"/>
      <c r="AJ37" s="12"/>
      <c r="AK37" s="12"/>
      <c r="AO37" s="12"/>
      <c r="AP37" s="12"/>
      <c r="AQ37" s="12"/>
      <c r="AR37" s="12"/>
      <c r="AS37" s="12"/>
      <c r="AT37" s="12"/>
      <c r="AU37" s="12"/>
      <c r="AV37" s="12"/>
      <c r="AX37" s="49" t="s">
        <v>142</v>
      </c>
      <c r="AY37" t="str">
        <f>konkurs2!$K$16</f>
        <v/>
      </c>
      <c r="AZ37" t="str">
        <f>konkurs2!$AM$16</f>
        <v/>
      </c>
      <c r="BA37" t="str">
        <f>konkurs2!$S$16</f>
        <v/>
      </c>
      <c r="BB37" t="str">
        <f>konkurs2!$O$16</f>
        <v/>
      </c>
      <c r="BC37" t="str">
        <f>konkurs2!$AE$16</f>
        <v/>
      </c>
      <c r="BD37" t="str">
        <f>konkurs2!$W$16</f>
        <v/>
      </c>
      <c r="BE37" t="str">
        <f>konkurs2!$AU$16</f>
        <v/>
      </c>
      <c r="BF37" t="str">
        <f>konkurs2!$AQ$16</f>
        <v/>
      </c>
      <c r="BG37" s="50" t="str">
        <f>konkurs2!$C$16</f>
        <v/>
      </c>
      <c r="BH37" s="50" t="str">
        <f>konkurs2!$G$16</f>
        <v/>
      </c>
      <c r="BI37" s="50" t="str">
        <f>konkurs2!$AA$16</f>
        <v/>
      </c>
      <c r="BJ37" s="50" t="str">
        <f>konkurs2!$AI$16</f>
        <v/>
      </c>
    </row>
    <row r="38" spans="1:62" ht="18" customHeight="1">
      <c r="A38" s="4"/>
      <c r="B38" s="4" t="s">
        <v>0</v>
      </c>
      <c r="C38" s="9"/>
      <c r="D38" s="9"/>
      <c r="E38" s="9"/>
      <c r="F38" s="9"/>
      <c r="G38" s="9"/>
      <c r="H38" s="9"/>
      <c r="I38" s="9"/>
      <c r="J38" s="9" t="s">
        <v>0</v>
      </c>
      <c r="K38" s="9"/>
      <c r="L38" s="9"/>
      <c r="M38" s="9"/>
      <c r="N38" s="9"/>
      <c r="O38" s="9"/>
      <c r="P38" s="4"/>
      <c r="Q38" s="9"/>
      <c r="R38" s="4"/>
      <c r="S38" s="9"/>
      <c r="T38" s="9"/>
      <c r="U38" s="9"/>
      <c r="V38" s="9"/>
      <c r="W38" s="12"/>
      <c r="X38" s="4"/>
      <c r="Y38" s="12"/>
      <c r="Z38" s="4" t="s">
        <v>0</v>
      </c>
      <c r="AA38" s="12"/>
      <c r="AB38" s="4"/>
      <c r="AC38" s="12"/>
      <c r="AD38" s="12"/>
      <c r="AE38" s="12"/>
      <c r="AF38" s="4"/>
      <c r="AG38" s="12"/>
      <c r="AH38" s="12"/>
      <c r="AI38" s="12"/>
      <c r="AJ38" s="12"/>
      <c r="AK38" s="12"/>
      <c r="AN38" s="12"/>
      <c r="AO38" s="12"/>
      <c r="AP38" s="12"/>
      <c r="AQ38" s="12"/>
      <c r="AR38" s="12"/>
      <c r="AS38" s="12"/>
      <c r="AT38" s="12"/>
      <c r="AU38" s="12"/>
      <c r="AV38" s="12"/>
      <c r="AX38" s="49" t="s">
        <v>143</v>
      </c>
      <c r="AY38" t="str">
        <f>konkurs2!$K$16</f>
        <v/>
      </c>
      <c r="AZ38" t="str">
        <f>konkurs2!$S$16</f>
        <v/>
      </c>
      <c r="BA38" t="str">
        <f>konkurs2!$AI$16</f>
        <v/>
      </c>
      <c r="BB38" t="str">
        <f>konkurs2!$O$16</f>
        <v/>
      </c>
      <c r="BC38" t="str">
        <f>konkurs2!$AE$16</f>
        <v/>
      </c>
      <c r="BD38" t="str">
        <f>konkurs2!$W$16</f>
        <v/>
      </c>
      <c r="BE38" t="str">
        <f>konkurs2!$AU$16</f>
        <v/>
      </c>
      <c r="BF38" t="str">
        <f>konkurs2!$AQ$16</f>
        <v/>
      </c>
      <c r="BG38" s="50" t="str">
        <f>konkurs2!$C$16</f>
        <v/>
      </c>
      <c r="BH38" s="50" t="str">
        <f>konkurs2!$G$16</f>
        <v/>
      </c>
      <c r="BI38" s="50" t="str">
        <f>konkurs2!$AA$16</f>
        <v/>
      </c>
      <c r="BJ38" s="50" t="str">
        <f>konkurs2!$AM$16</f>
        <v/>
      </c>
    </row>
    <row r="39" spans="1:62" ht="18" customHeight="1">
      <c r="A39" s="4"/>
      <c r="B39" s="9" t="e">
        <f>LOOKUP(C39,wyniki!$AX$7:$AY$54)</f>
        <v>#N/A</v>
      </c>
      <c r="C39" s="93" t="e">
        <f>S14</f>
        <v>#N/A</v>
      </c>
      <c r="D39" s="94"/>
      <c r="E39" s="36"/>
      <c r="F39" s="89" t="str">
        <f>K29</f>
        <v/>
      </c>
      <c r="G39" s="90"/>
      <c r="H39" s="9" t="e">
        <f>LOOKUP(F39,wyniki!$AX$7:$AY$54)</f>
        <v>#N/A</v>
      </c>
      <c r="J39" s="9" t="e">
        <f>LOOKUP(K39,wyniki!$AX$7:$AY$54)</f>
        <v>#N/A</v>
      </c>
      <c r="K39" s="93" t="str">
        <f>AQ15</f>
        <v/>
      </c>
      <c r="L39" s="94"/>
      <c r="M39" s="36"/>
      <c r="N39" s="93" t="str">
        <f>AU15</f>
        <v/>
      </c>
      <c r="O39" s="94"/>
      <c r="P39" s="9" t="e">
        <f>LOOKUP(N39,wyniki!$AX$7:$AY$54)</f>
        <v>#N/A</v>
      </c>
      <c r="Q39" s="14"/>
      <c r="R39" s="9" t="e">
        <f>LOOKUP(S39,wyniki!$AX$7:$AY$54)</f>
        <v>#N/A</v>
      </c>
      <c r="S39" s="91" t="e">
        <f>K14</f>
        <v>#N/A</v>
      </c>
      <c r="T39" s="92"/>
      <c r="U39" s="36"/>
      <c r="V39" s="91" t="str">
        <f>W15</f>
        <v/>
      </c>
      <c r="W39" s="92"/>
      <c r="X39" s="9" t="e">
        <f>LOOKUP(V39,wyniki!$AX$7:$AY$54)</f>
        <v>#N/A</v>
      </c>
      <c r="Y39" s="12"/>
      <c r="Z39" s="9" t="e">
        <f>LOOKUP(AA39,wyniki!$AX$7:$AY$54)</f>
        <v>#N/A</v>
      </c>
      <c r="AA39" s="91" t="e">
        <f>AM14</f>
        <v>#N/A</v>
      </c>
      <c r="AB39" s="92"/>
      <c r="AC39" s="36"/>
      <c r="AD39" s="91" t="str">
        <f>AE15</f>
        <v/>
      </c>
      <c r="AE39" s="92"/>
      <c r="AF39" s="9" t="e">
        <f>LOOKUP(AD39,wyniki!$AX$7:$AY$54)</f>
        <v>#N/A</v>
      </c>
      <c r="AG39" s="12"/>
      <c r="AH39" s="12"/>
      <c r="AI39" s="12"/>
      <c r="AJ39" s="12"/>
      <c r="AK39" s="12"/>
      <c r="AN39" s="12"/>
      <c r="AO39" s="12"/>
      <c r="AP39" s="12"/>
      <c r="AQ39" s="12"/>
      <c r="AR39" s="12"/>
      <c r="AS39" s="12"/>
      <c r="AT39" s="12"/>
      <c r="AU39" s="12"/>
      <c r="AV39" s="12"/>
      <c r="AX39" s="49" t="s">
        <v>144</v>
      </c>
      <c r="AY39" t="str">
        <f>konkurs2!$K$16</f>
        <v/>
      </c>
      <c r="AZ39" t="str">
        <f>konkurs2!$AM$16</f>
        <v/>
      </c>
      <c r="BA39" t="str">
        <f>konkurs2!$S$16</f>
        <v/>
      </c>
      <c r="BB39" t="str">
        <f>konkurs2!$O$16</f>
        <v/>
      </c>
      <c r="BC39" t="str">
        <f>konkurs2!$AE$16</f>
        <v/>
      </c>
      <c r="BD39" t="str">
        <f>konkurs2!$W$16</f>
        <v/>
      </c>
      <c r="BE39" t="str">
        <f>konkurs2!$AU$16</f>
        <v/>
      </c>
      <c r="BF39" t="str">
        <f>konkurs2!$AI$16</f>
        <v/>
      </c>
      <c r="BG39" s="50" t="str">
        <f>konkurs2!$C$16</f>
        <v/>
      </c>
      <c r="BH39" s="50" t="str">
        <f>konkurs2!$G$16</f>
        <v/>
      </c>
      <c r="BI39" s="50" t="str">
        <f>konkurs2!$AA$16</f>
        <v/>
      </c>
      <c r="BJ39" s="50" t="str">
        <f>konkurs2!$AQ$16</f>
        <v/>
      </c>
    </row>
    <row r="40" spans="1:62" ht="18" customHeight="1">
      <c r="A40" s="4"/>
      <c r="B40" s="9"/>
      <c r="C40" s="14"/>
      <c r="D40" s="14"/>
      <c r="E40" s="37"/>
      <c r="F40" s="14"/>
      <c r="G40" s="14"/>
      <c r="J40" s="9"/>
      <c r="K40" s="14"/>
      <c r="L40" s="14"/>
      <c r="M40" s="37"/>
      <c r="N40" s="14"/>
      <c r="O40" s="14"/>
      <c r="P40" s="9"/>
      <c r="Q40" s="14"/>
      <c r="R40" s="9"/>
      <c r="S40" s="25"/>
      <c r="T40" s="25"/>
      <c r="U40" s="37"/>
      <c r="V40" s="25"/>
      <c r="W40" s="25"/>
      <c r="X40" s="9"/>
      <c r="Y40" s="12"/>
      <c r="Z40" s="9"/>
      <c r="AA40" s="25"/>
      <c r="AB40" s="25"/>
      <c r="AC40" s="37"/>
      <c r="AD40" s="25"/>
      <c r="AE40" s="25"/>
      <c r="AF40" s="9"/>
      <c r="AG40" s="12"/>
      <c r="AH40" s="12"/>
      <c r="AI40" s="12"/>
      <c r="AJ40" s="12"/>
      <c r="AK40" s="12"/>
      <c r="AN40" s="12"/>
      <c r="AO40" s="12"/>
      <c r="AP40" s="12"/>
      <c r="AQ40" s="12"/>
      <c r="AR40" s="12"/>
      <c r="AS40" s="12"/>
      <c r="AT40" s="12"/>
      <c r="AU40" s="12"/>
      <c r="AV40" s="12"/>
      <c r="AX40" s="49" t="s">
        <v>145</v>
      </c>
      <c r="AY40" t="str">
        <f>konkurs2!$K$16</f>
        <v/>
      </c>
      <c r="AZ40" t="str">
        <f>konkurs2!$AM$16</f>
        <v/>
      </c>
      <c r="BA40" t="str">
        <f>konkurs2!$S$16</f>
        <v/>
      </c>
      <c r="BB40" t="str">
        <f>konkurs2!$O$16</f>
        <v/>
      </c>
      <c r="BC40" t="str">
        <f>konkurs2!$AE$16</f>
        <v/>
      </c>
      <c r="BD40" t="str">
        <f>konkurs2!$W$16</f>
        <v/>
      </c>
      <c r="BE40" t="str">
        <f>konkurs2!$AI$16</f>
        <v/>
      </c>
      <c r="BF40" t="str">
        <f>konkurs2!$AQ$16</f>
        <v/>
      </c>
      <c r="BG40" s="50" t="str">
        <f>konkurs2!$C$16</f>
        <v/>
      </c>
      <c r="BH40" s="50" t="str">
        <f>konkurs2!$G$16</f>
        <v/>
      </c>
      <c r="BI40" s="50" t="str">
        <f>konkurs2!$AA$16</f>
        <v/>
      </c>
      <c r="BJ40" s="50" t="str">
        <f>konkurs2!$AU$16</f>
        <v/>
      </c>
    </row>
    <row r="41" spans="1:62" ht="18" customHeight="1">
      <c r="A41" s="4"/>
      <c r="B41" s="9" t="e">
        <f>LOOKUP(C41,wyniki!$AX$7:$AY$54)</f>
        <v>#N/A</v>
      </c>
      <c r="C41" s="93" t="e">
        <f>AI14</f>
        <v>#N/A</v>
      </c>
      <c r="D41" s="94"/>
      <c r="E41" s="36"/>
      <c r="F41" s="89" t="str">
        <f>K31</f>
        <v/>
      </c>
      <c r="G41" s="90"/>
      <c r="H41" s="9" t="e">
        <f>LOOKUP(F41,wyniki!$AX$7:$AY$54)</f>
        <v>#N/A</v>
      </c>
      <c r="J41" s="9" t="e">
        <f>LOOKUP(K41,wyniki!$AX$7:$AY$54)</f>
        <v>#N/A</v>
      </c>
      <c r="K41" s="93" t="e">
        <f>AE14</f>
        <v>#N/A</v>
      </c>
      <c r="L41" s="94"/>
      <c r="M41" s="36"/>
      <c r="N41" s="93" t="str">
        <f>AM15</f>
        <v/>
      </c>
      <c r="O41" s="94"/>
      <c r="P41" s="9" t="e">
        <f>LOOKUP(N41,wyniki!$AX$7:$AY$54)</f>
        <v>#N/A</v>
      </c>
      <c r="Q41" s="14"/>
      <c r="R41" s="9" t="e">
        <f>LOOKUP(S41,wyniki!$AX$7:$AY$54)</f>
        <v>#N/A</v>
      </c>
      <c r="S41" s="91" t="str">
        <f>S15</f>
        <v/>
      </c>
      <c r="T41" s="92"/>
      <c r="U41" s="36"/>
      <c r="V41" s="91" t="str">
        <f>AI15</f>
        <v/>
      </c>
      <c r="W41" s="92"/>
      <c r="X41" s="9" t="e">
        <f>LOOKUP(V41,wyniki!$AX$7:$AY$54)</f>
        <v>#N/A</v>
      </c>
      <c r="Y41" s="12"/>
      <c r="Z41" s="9" t="e">
        <f>LOOKUP(AA41,wyniki!$AX$7:$AY$54)</f>
        <v>#N/A</v>
      </c>
      <c r="AA41" s="91" t="str">
        <f>O15</f>
        <v/>
      </c>
      <c r="AB41" s="92"/>
      <c r="AC41" s="36"/>
      <c r="AD41" s="91" t="str">
        <f>AA15</f>
        <v/>
      </c>
      <c r="AE41" s="92"/>
      <c r="AF41" s="9" t="e">
        <f>LOOKUP(AD41,wyniki!$AX$7:$AY$54)</f>
        <v>#N/A</v>
      </c>
      <c r="AG41" s="12"/>
      <c r="AH41" s="12"/>
      <c r="AI41" s="12"/>
      <c r="AJ41" s="12"/>
      <c r="AK41" s="12"/>
      <c r="AN41" s="12"/>
      <c r="AO41" s="12"/>
      <c r="AP41" s="12"/>
      <c r="AQ41" s="12"/>
      <c r="AR41" s="12"/>
      <c r="AS41" s="12"/>
      <c r="AT41" s="12"/>
      <c r="AU41" s="12"/>
      <c r="AV41" s="12"/>
      <c r="AX41" s="49" t="s">
        <v>146</v>
      </c>
      <c r="AY41" t="str">
        <f>konkurs2!$K$16</f>
        <v/>
      </c>
      <c r="AZ41" t="str">
        <f>konkurs2!$AA$16</f>
        <v/>
      </c>
      <c r="BA41" t="str">
        <f>konkurs2!$S$16</f>
        <v/>
      </c>
      <c r="BB41" t="str">
        <f>konkurs2!$O$16</f>
        <v/>
      </c>
      <c r="BC41" t="str">
        <f>konkurs2!$AM$16</f>
        <v/>
      </c>
      <c r="BD41" t="str">
        <f>konkurs2!$W$16</f>
        <v/>
      </c>
      <c r="BE41" t="str">
        <f>konkurs2!$AU$16</f>
        <v/>
      </c>
      <c r="BF41" t="str">
        <f>konkurs2!$AQ$16</f>
        <v/>
      </c>
      <c r="BG41" s="50" t="str">
        <f>konkurs2!$C$16</f>
        <v/>
      </c>
      <c r="BH41" s="50" t="str">
        <f>konkurs2!$G$16</f>
        <v/>
      </c>
      <c r="BI41" s="50" t="str">
        <f>konkurs2!$AE$16</f>
        <v/>
      </c>
      <c r="BJ41" s="50" t="str">
        <f>konkurs2!$AI$16</f>
        <v/>
      </c>
    </row>
    <row r="42" spans="1:62" ht="18" customHeight="1">
      <c r="A42" s="4"/>
      <c r="B42" s="9"/>
      <c r="C42" s="14"/>
      <c r="D42" s="14"/>
      <c r="E42" s="37"/>
      <c r="F42" s="14"/>
      <c r="G42" s="14"/>
      <c r="J42" s="9"/>
      <c r="K42" s="14"/>
      <c r="L42" s="14"/>
      <c r="M42" s="37"/>
      <c r="N42" s="14"/>
      <c r="O42" s="14"/>
      <c r="P42" s="9"/>
      <c r="Q42" s="14"/>
      <c r="R42" s="9"/>
      <c r="S42" s="25"/>
      <c r="T42" s="25"/>
      <c r="U42" s="37"/>
      <c r="V42" s="25"/>
      <c r="W42" s="25"/>
      <c r="X42" s="9"/>
      <c r="Y42" s="12"/>
      <c r="Z42" s="9"/>
      <c r="AA42" s="25"/>
      <c r="AB42" s="25"/>
      <c r="AC42" s="37"/>
      <c r="AD42" s="25"/>
      <c r="AE42" s="25"/>
      <c r="AF42" s="9"/>
      <c r="AG42" s="12"/>
      <c r="AH42" s="12"/>
      <c r="AI42" s="12"/>
      <c r="AJ42" s="12"/>
      <c r="AK42" s="12"/>
      <c r="AN42" s="12"/>
      <c r="AO42" s="12"/>
      <c r="AP42" s="12"/>
      <c r="AQ42" s="12"/>
      <c r="AR42" s="12"/>
      <c r="AS42" s="12"/>
      <c r="AT42" s="12"/>
      <c r="AU42" s="12"/>
      <c r="AV42" s="12"/>
      <c r="AX42" s="49" t="s">
        <v>147</v>
      </c>
      <c r="AY42" t="str">
        <f>konkurs2!$K$16</f>
        <v/>
      </c>
      <c r="AZ42" t="str">
        <f>konkurs2!$AA$16</f>
        <v/>
      </c>
      <c r="BA42" t="str">
        <f>konkurs2!$S$16</f>
        <v/>
      </c>
      <c r="BB42" t="str">
        <f>konkurs2!$O$16</f>
        <v/>
      </c>
      <c r="BC42" t="str">
        <f>konkurs2!$AI$16</f>
        <v/>
      </c>
      <c r="BD42" t="str">
        <f>konkurs2!$W$16</f>
        <v/>
      </c>
      <c r="BE42" t="str">
        <f>konkurs2!$AU$16</f>
        <v/>
      </c>
      <c r="BF42" t="str">
        <f>konkurs2!$AQ$16</f>
        <v/>
      </c>
      <c r="BG42" s="50" t="str">
        <f>konkurs2!$C$16</f>
        <v/>
      </c>
      <c r="BH42" s="50" t="str">
        <f>konkurs2!$G$16</f>
        <v/>
      </c>
      <c r="BI42" s="50" t="str">
        <f>konkurs2!$AE$16</f>
        <v/>
      </c>
      <c r="BJ42" s="50" t="str">
        <f>konkurs2!$AM$16</f>
        <v/>
      </c>
    </row>
    <row r="43" spans="1:62" ht="18" customHeight="1">
      <c r="A43" s="4"/>
      <c r="B43" s="9" t="e">
        <f>LOOKUP(C43,wyniki!$AX$7:$AY$54)</f>
        <v>#N/A</v>
      </c>
      <c r="C43" s="93" t="str">
        <f>C15</f>
        <v/>
      </c>
      <c r="D43" s="94"/>
      <c r="E43" s="36"/>
      <c r="F43" s="93" t="str">
        <f>G15</f>
        <v/>
      </c>
      <c r="G43" s="94"/>
      <c r="H43" s="9" t="e">
        <f>LOOKUP(F43,wyniki!$AX$7:$AY$54)</f>
        <v>#N/A</v>
      </c>
      <c r="J43" s="9" t="e">
        <f>LOOKUP(K43,wyniki!$AX$7:$AY$54)</f>
        <v>#N/A</v>
      </c>
      <c r="K43" s="93" t="e">
        <f>O14</f>
        <v>#N/A</v>
      </c>
      <c r="L43" s="94"/>
      <c r="M43" s="36"/>
      <c r="N43" s="89" t="str">
        <f>K28</f>
        <v/>
      </c>
      <c r="O43" s="90"/>
      <c r="P43" s="9" t="e">
        <f>LOOKUP(N43,wyniki!$AX$7:$AY$54)</f>
        <v>#N/A</v>
      </c>
      <c r="Q43" s="14"/>
      <c r="R43" s="9" t="e">
        <f>LOOKUP(S43,wyniki!$AX$7:$AY$54)</f>
        <v>#N/A</v>
      </c>
      <c r="S43" s="91" t="e">
        <f>C14</f>
        <v>#N/A</v>
      </c>
      <c r="T43" s="92"/>
      <c r="U43" s="36"/>
      <c r="V43" s="89" t="str">
        <f>K26</f>
        <v/>
      </c>
      <c r="W43" s="90"/>
      <c r="X43" s="9" t="e">
        <f>LOOKUP(V43,wyniki!$AX$7:$AY$54)</f>
        <v>#N/A</v>
      </c>
      <c r="Y43" s="12"/>
      <c r="Z43" s="9" t="e">
        <f>LOOKUP(AA43,wyniki!$AX$7:$AY$54)</f>
        <v>#N/A</v>
      </c>
      <c r="AA43" s="91" t="e">
        <f>G14</f>
        <v>#N/A</v>
      </c>
      <c r="AB43" s="92"/>
      <c r="AC43" s="36"/>
      <c r="AD43" s="89" t="str">
        <f>K27</f>
        <v/>
      </c>
      <c r="AE43" s="90"/>
      <c r="AF43" s="9" t="e">
        <f>LOOKUP(AD43,wyniki!$AX$7:$AY$54)</f>
        <v>#N/A</v>
      </c>
      <c r="AG43" s="12"/>
      <c r="AH43" s="12"/>
      <c r="AI43" s="12"/>
      <c r="AJ43" s="12"/>
      <c r="AK43" s="12"/>
      <c r="AN43" s="12"/>
      <c r="AO43" s="12"/>
      <c r="AP43" s="12"/>
      <c r="AQ43" s="12"/>
      <c r="AR43" s="12"/>
      <c r="AS43" s="12"/>
      <c r="AT43" s="12"/>
      <c r="AU43" s="12"/>
      <c r="AV43" s="12"/>
      <c r="AX43" s="49" t="s">
        <v>148</v>
      </c>
      <c r="AY43" t="str">
        <f>konkurs2!$K$16</f>
        <v/>
      </c>
      <c r="AZ43" t="str">
        <f>konkurs2!$AA$16</f>
        <v/>
      </c>
      <c r="BA43" t="str">
        <f>konkurs2!$S$16</f>
        <v/>
      </c>
      <c r="BB43" t="str">
        <f>konkurs2!$O$16</f>
        <v/>
      </c>
      <c r="BC43" t="str">
        <f>konkurs2!$AM$16</f>
        <v/>
      </c>
      <c r="BD43" t="str">
        <f>konkurs2!$W$16</f>
        <v/>
      </c>
      <c r="BE43" t="str">
        <f>konkurs2!$AU$16</f>
        <v/>
      </c>
      <c r="BF43" t="str">
        <f>konkurs2!$AI$16</f>
        <v/>
      </c>
      <c r="BG43" s="50" t="str">
        <f>konkurs2!$C$16</f>
        <v/>
      </c>
      <c r="BH43" s="50" t="str">
        <f>konkurs2!$G$16</f>
        <v/>
      </c>
      <c r="BI43" s="50" t="str">
        <f>konkurs2!$AE$16</f>
        <v/>
      </c>
      <c r="BJ43" s="50" t="str">
        <f>konkurs2!$AQ$16</f>
        <v/>
      </c>
    </row>
    <row r="44" spans="1:62" ht="18" customHeight="1">
      <c r="A44" s="4"/>
      <c r="B44" s="9"/>
      <c r="C44" s="14"/>
      <c r="D44" s="14"/>
      <c r="E44" s="37"/>
      <c r="F44" s="14"/>
      <c r="G44" s="14"/>
      <c r="J44" s="9"/>
      <c r="K44" s="14"/>
      <c r="L44" s="14"/>
      <c r="M44" s="37"/>
      <c r="N44" s="14"/>
      <c r="O44" s="14"/>
      <c r="P44" s="9"/>
      <c r="Q44" s="14"/>
      <c r="R44" s="9"/>
      <c r="S44" s="26"/>
      <c r="T44" s="26"/>
      <c r="U44" s="37"/>
      <c r="V44" s="26"/>
      <c r="W44" s="26"/>
      <c r="X44" s="9"/>
      <c r="Y44" s="12"/>
      <c r="Z44" s="9"/>
      <c r="AA44" s="26"/>
      <c r="AB44" s="26"/>
      <c r="AC44" s="37"/>
      <c r="AD44" s="26"/>
      <c r="AE44" s="26"/>
      <c r="AF44" s="9"/>
      <c r="AG44" s="12"/>
      <c r="AH44" s="12"/>
      <c r="AI44" s="12"/>
      <c r="AJ44" s="12"/>
      <c r="AK44" s="12"/>
      <c r="AN44" s="12"/>
      <c r="AO44" s="12"/>
      <c r="AP44" s="12"/>
      <c r="AQ44" s="12"/>
      <c r="AR44" s="12"/>
      <c r="AS44" s="12"/>
      <c r="AT44" s="12"/>
      <c r="AU44" s="12"/>
      <c r="AV44" s="12"/>
      <c r="AX44" s="49" t="s">
        <v>149</v>
      </c>
      <c r="AY44" t="str">
        <f>konkurs2!$K$16</f>
        <v/>
      </c>
      <c r="AZ44" t="str">
        <f>konkurs2!$AA$16</f>
        <v/>
      </c>
      <c r="BA44" t="str">
        <f>konkurs2!$S$16</f>
        <v/>
      </c>
      <c r="BB44" t="str">
        <f>konkurs2!$O$16</f>
        <v/>
      </c>
      <c r="BC44" t="str">
        <f>konkurs2!$AM$16</f>
        <v/>
      </c>
      <c r="BD44" t="str">
        <f>konkurs2!$W$16</f>
        <v/>
      </c>
      <c r="BE44" t="str">
        <f>konkurs2!$AI$16</f>
        <v/>
      </c>
      <c r="BF44" t="str">
        <f>konkurs2!$AQ$16</f>
        <v/>
      </c>
      <c r="BG44" s="50" t="str">
        <f>konkurs2!$C$16</f>
        <v/>
      </c>
      <c r="BH44" s="50" t="str">
        <f>konkurs2!$G$16</f>
        <v/>
      </c>
      <c r="BI44" s="50" t="str">
        <f>konkurs2!$AE$16</f>
        <v/>
      </c>
      <c r="BJ44" s="50" t="str">
        <f>konkurs2!$AU$16</f>
        <v/>
      </c>
    </row>
    <row r="45" spans="1:62" ht="18" customHeight="1">
      <c r="A45" s="4"/>
      <c r="B45" s="9" t="e">
        <f>LOOKUP(C45,wyniki!$AX$7:$AY$54)</f>
        <v>#N/A</v>
      </c>
      <c r="C45" s="93" t="e">
        <f>W14</f>
        <v>#N/A</v>
      </c>
      <c r="D45" s="94"/>
      <c r="E45" s="36"/>
      <c r="F45" s="93" t="str">
        <f>K15</f>
        <v/>
      </c>
      <c r="G45" s="94"/>
      <c r="H45" s="9" t="e">
        <f>LOOKUP(F45,wyniki!$AX$7:$AY$54)</f>
        <v>#N/A</v>
      </c>
      <c r="J45" s="9" t="e">
        <f>LOOKUP(K45,wyniki!$AX$7:$AY$54)</f>
        <v>#N/A</v>
      </c>
      <c r="K45" s="93" t="e">
        <f>AA14</f>
        <v>#N/A</v>
      </c>
      <c r="L45" s="94"/>
      <c r="M45" s="36"/>
      <c r="N45" s="89" t="str">
        <f>K30</f>
        <v/>
      </c>
      <c r="O45" s="90"/>
      <c r="P45" s="9" t="e">
        <f>LOOKUP(N45,wyniki!$AX$7:$AY$54)</f>
        <v>#N/A</v>
      </c>
      <c r="Q45" s="14"/>
      <c r="R45" s="9" t="e">
        <f>LOOKUP(S45,wyniki!$AX$7:$AY$54)</f>
        <v>#N/A</v>
      </c>
      <c r="S45" s="91" t="e">
        <f>AU14</f>
        <v>#N/A</v>
      </c>
      <c r="T45" s="92"/>
      <c r="U45" s="36"/>
      <c r="V45" s="89" t="str">
        <f>K33</f>
        <v/>
      </c>
      <c r="W45" s="90"/>
      <c r="X45" s="9" t="e">
        <f>LOOKUP(V45,wyniki!$AX$7:$AY$54)</f>
        <v>#N/A</v>
      </c>
      <c r="Y45" s="12"/>
      <c r="Z45" s="9" t="e">
        <f>LOOKUP(AA45,wyniki!$AX$7:$AY$54)</f>
        <v>#N/A</v>
      </c>
      <c r="AA45" s="91" t="e">
        <f>AQ14</f>
        <v>#N/A</v>
      </c>
      <c r="AB45" s="92"/>
      <c r="AC45" s="36"/>
      <c r="AD45" s="89" t="str">
        <f>K32</f>
        <v/>
      </c>
      <c r="AE45" s="90"/>
      <c r="AF45" s="9" t="e">
        <f>LOOKUP(AD45,wyniki!$AX$7:$AY$54)</f>
        <v>#N/A</v>
      </c>
      <c r="AG45" s="4"/>
      <c r="AH45" s="4"/>
      <c r="AI45" s="4"/>
      <c r="AJ45" s="4"/>
      <c r="AK45" s="4"/>
      <c r="AN45" s="4"/>
      <c r="AO45" s="4"/>
      <c r="AP45" s="4"/>
      <c r="AQ45" s="4"/>
      <c r="AR45" s="4"/>
      <c r="AS45" s="4"/>
      <c r="AT45" s="4"/>
      <c r="AU45" s="4"/>
      <c r="AV45" s="4"/>
      <c r="AX45" s="49" t="s">
        <v>150</v>
      </c>
      <c r="AY45" t="str">
        <f>konkurs2!$K$16</f>
        <v/>
      </c>
      <c r="AZ45" t="str">
        <f>konkurs2!$AA$16</f>
        <v/>
      </c>
      <c r="BA45" t="str">
        <f>konkurs2!$S$16</f>
        <v/>
      </c>
      <c r="BB45" t="str">
        <f>konkurs2!$O$16</f>
        <v/>
      </c>
      <c r="BC45" t="str">
        <f>konkurs2!$AE$16</f>
        <v/>
      </c>
      <c r="BD45" t="str">
        <f>konkurs2!$W$16</f>
        <v/>
      </c>
      <c r="BE45" t="str">
        <f>konkurs2!$AU$16</f>
        <v/>
      </c>
      <c r="BF45" t="str">
        <f>konkurs2!$AQ$16</f>
        <v/>
      </c>
      <c r="BG45" s="50" t="str">
        <f>konkurs2!$C$16</f>
        <v/>
      </c>
      <c r="BH45" s="50" t="str">
        <f>konkurs2!$G$16</f>
        <v/>
      </c>
      <c r="BI45" s="50" t="str">
        <f>konkurs2!$AI$16</f>
        <v/>
      </c>
      <c r="BJ45" s="50" t="str">
        <f>konkurs2!$AM$16</f>
        <v/>
      </c>
    </row>
    <row r="46" spans="1:62" ht="18" customHeight="1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75"/>
      <c r="N46" s="9"/>
      <c r="O46" s="9"/>
      <c r="P46" s="9"/>
      <c r="Q46" s="9"/>
      <c r="R46" s="9"/>
      <c r="S46" s="9"/>
      <c r="T46" s="9"/>
      <c r="U46" s="75"/>
      <c r="V46" s="9"/>
      <c r="W46" s="9"/>
      <c r="X46" s="9"/>
      <c r="Y46" s="9"/>
      <c r="Z46" s="12"/>
      <c r="AA46" s="12"/>
      <c r="AB46" s="12"/>
      <c r="AC46" s="12"/>
      <c r="AD46" s="12"/>
      <c r="AE46" s="12"/>
      <c r="AF46" s="4"/>
      <c r="AG46" s="4"/>
      <c r="AH46" s="4"/>
      <c r="AI46" s="4"/>
      <c r="AJ46" s="4"/>
      <c r="AK46" s="4"/>
      <c r="AN46" s="4"/>
      <c r="AO46" s="4"/>
      <c r="AP46" s="4"/>
      <c r="AQ46" s="4"/>
      <c r="AR46" s="4"/>
      <c r="AS46" s="4"/>
      <c r="AT46" s="4"/>
      <c r="AU46" s="4"/>
      <c r="AV46" s="4"/>
      <c r="AX46" s="49" t="s">
        <v>151</v>
      </c>
      <c r="AY46" t="str">
        <f>konkurs2!$K$16</f>
        <v/>
      </c>
      <c r="AZ46" t="str">
        <f>konkurs2!$AA$16</f>
        <v/>
      </c>
      <c r="BA46" t="str">
        <f>konkurs2!$AM$16</f>
        <v/>
      </c>
      <c r="BB46" t="str">
        <f>konkurs2!$O$16</f>
        <v/>
      </c>
      <c r="BC46" t="str">
        <f>konkurs2!$AE$16</f>
        <v/>
      </c>
      <c r="BD46" t="str">
        <f>konkurs2!$W$16</f>
        <v/>
      </c>
      <c r="BE46" t="str">
        <f>konkurs2!$AU$16</f>
        <v/>
      </c>
      <c r="BF46" t="str">
        <f>konkurs2!$S$16</f>
        <v/>
      </c>
      <c r="BG46" s="50" t="str">
        <f>konkurs2!$C$16</f>
        <v/>
      </c>
      <c r="BH46" s="50" t="str">
        <f>konkurs2!$G$16</f>
        <v/>
      </c>
      <c r="BI46" s="50" t="str">
        <f>konkurs2!$AI$16</f>
        <v/>
      </c>
      <c r="BJ46" s="50" t="str">
        <f>konkurs2!$AQ$16</f>
        <v/>
      </c>
    </row>
    <row r="47" spans="1:62" ht="18" customHeight="1">
      <c r="A47" s="4"/>
      <c r="B47" s="9"/>
      <c r="D47" s="4"/>
      <c r="E47" s="4"/>
      <c r="F47" s="12"/>
      <c r="G47" s="12"/>
      <c r="H47" s="6"/>
      <c r="I47" s="6"/>
      <c r="J47" s="6"/>
      <c r="K47" s="6"/>
      <c r="L47" s="6"/>
      <c r="M47" s="76"/>
      <c r="N47" s="6"/>
      <c r="O47" s="6"/>
      <c r="P47" s="4" t="s">
        <v>7</v>
      </c>
      <c r="Q47" s="6"/>
      <c r="R47" s="6"/>
      <c r="S47" s="4"/>
      <c r="T47" s="4"/>
      <c r="U47" s="38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N47" s="4"/>
      <c r="AO47" s="4"/>
      <c r="AP47" s="4"/>
      <c r="AQ47" s="4"/>
      <c r="AR47" s="4"/>
      <c r="AS47" s="4"/>
      <c r="AT47" s="4"/>
      <c r="AU47" s="4"/>
      <c r="AV47" s="4"/>
      <c r="AX47" s="49" t="s">
        <v>153</v>
      </c>
      <c r="AY47" t="str">
        <f>konkurs2!$K$16</f>
        <v/>
      </c>
      <c r="AZ47" t="str">
        <f>konkurs2!$AA$16</f>
        <v/>
      </c>
      <c r="BA47" t="str">
        <f>konkurs2!$AM$16</f>
        <v/>
      </c>
      <c r="BB47" t="str">
        <f>konkurs2!$O$16</f>
        <v/>
      </c>
      <c r="BC47" t="str">
        <f>konkurs2!$AE$16</f>
        <v/>
      </c>
      <c r="BD47" t="str">
        <f>konkurs2!$W$16</f>
        <v/>
      </c>
      <c r="BE47" t="str">
        <f>konkurs2!$S$16</f>
        <v/>
      </c>
      <c r="BF47" t="str">
        <f>konkurs2!$AQ$16</f>
        <v/>
      </c>
      <c r="BG47" s="50" t="str">
        <f>konkurs2!$C$16</f>
        <v/>
      </c>
      <c r="BH47" s="50" t="str">
        <f>konkurs2!$G$16</f>
        <v/>
      </c>
      <c r="BI47" s="50" t="str">
        <f>konkurs2!$AI$16</f>
        <v/>
      </c>
      <c r="BJ47" s="50" t="str">
        <f>konkurs2!$AU$16</f>
        <v/>
      </c>
    </row>
    <row r="48" spans="1:62" ht="18" customHeight="1">
      <c r="A48" s="4"/>
      <c r="B48" s="9"/>
      <c r="C48" s="4"/>
      <c r="D48" s="4"/>
      <c r="E48" s="4"/>
      <c r="F48" s="12"/>
      <c r="G48" s="12"/>
      <c r="H48" s="4"/>
      <c r="I48" s="4"/>
      <c r="J48" s="4"/>
      <c r="K48" s="4"/>
      <c r="L48" s="4"/>
      <c r="M48" s="38"/>
      <c r="N48" s="4"/>
      <c r="O48" s="4"/>
      <c r="P48" s="4"/>
      <c r="Q48" s="4"/>
      <c r="R48" s="4"/>
      <c r="S48" s="4"/>
      <c r="T48" s="4"/>
      <c r="U48" s="38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N48" s="4"/>
      <c r="AO48" s="4"/>
      <c r="AP48" s="4"/>
      <c r="AQ48" s="4"/>
      <c r="AR48" s="4"/>
      <c r="AS48" s="4"/>
      <c r="AT48" s="4"/>
      <c r="AU48" s="4"/>
      <c r="AV48" s="4"/>
      <c r="AX48" s="49" t="s">
        <v>154</v>
      </c>
      <c r="AY48" t="str">
        <f>konkurs2!$K$16</f>
        <v/>
      </c>
      <c r="AZ48" t="str">
        <f>konkurs2!$AA$16</f>
        <v/>
      </c>
      <c r="BA48" t="str">
        <f>konkurs2!$S$16</f>
        <v/>
      </c>
      <c r="BB48" t="str">
        <f>konkurs2!$O$16</f>
        <v/>
      </c>
      <c r="BC48" t="str">
        <f>konkurs2!$AE$16</f>
        <v/>
      </c>
      <c r="BD48" t="str">
        <f>konkurs2!$W$16</f>
        <v/>
      </c>
      <c r="BE48" t="str">
        <f>konkurs2!$AU$16</f>
        <v/>
      </c>
      <c r="BF48" t="str">
        <f>konkurs2!$AI$16</f>
        <v/>
      </c>
      <c r="BG48" s="50" t="str">
        <f>konkurs2!$C$16</f>
        <v/>
      </c>
      <c r="BH48" s="50" t="str">
        <f>konkurs2!$G$16</f>
        <v/>
      </c>
      <c r="BI48" s="50" t="str">
        <f>konkurs2!$AM$16</f>
        <v/>
      </c>
      <c r="BJ48" s="50" t="str">
        <f>konkurs2!$AQ$16</f>
        <v/>
      </c>
    </row>
    <row r="49" spans="1:62" ht="18" customHeight="1">
      <c r="A49" s="4"/>
      <c r="B49" s="9"/>
      <c r="C49" s="4"/>
      <c r="D49" s="4"/>
      <c r="E49" s="4"/>
      <c r="F49" s="12"/>
      <c r="G49" s="55" t="s">
        <v>152</v>
      </c>
      <c r="H49" s="79" t="e">
        <f>J49+J51+J53+J55+P49+P51+P53+P55+R49+R51+R53+R55+X49+X51+X53+X55</f>
        <v>#N/A</v>
      </c>
      <c r="I49" s="4"/>
      <c r="J49" s="9" t="e">
        <f>LOOKUP(K49,wyniki!$AX$7:$AZ$54)</f>
        <v>#N/A</v>
      </c>
      <c r="K49" s="86" t="str">
        <f>IF(E39="","",IF(E39=2,F39,C39))</f>
        <v/>
      </c>
      <c r="L49" s="87"/>
      <c r="M49" s="36"/>
      <c r="N49" s="87" t="str">
        <f>IF(E41="","",IF(E41=2,F41,C41))</f>
        <v/>
      </c>
      <c r="O49" s="87"/>
      <c r="P49" s="9" t="e">
        <f>LOOKUP(N49,wyniki!$AX$7:$AZ$54)</f>
        <v>#N/A</v>
      </c>
      <c r="Q49" s="14"/>
      <c r="R49" s="9" t="e">
        <f>LOOKUP(S49,wyniki!$AX$7:$AZ$54)</f>
        <v>#N/A</v>
      </c>
      <c r="S49" s="88" t="str">
        <f>IF(U39="","",IF(U39=2,V39,S39))</f>
        <v/>
      </c>
      <c r="T49" s="88"/>
      <c r="U49" s="36"/>
      <c r="V49" s="88" t="str">
        <f>IF(U41="","",IF(U41=2,V41,S41))</f>
        <v/>
      </c>
      <c r="W49" s="88"/>
      <c r="X49" s="9" t="e">
        <f>LOOKUP(V49,wyniki!$AX$7:$AZ$54)</f>
        <v>#N/A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N49" s="4"/>
      <c r="AO49" s="4"/>
      <c r="AP49" s="4"/>
      <c r="AQ49" s="4"/>
      <c r="AR49" s="4"/>
      <c r="AS49" s="4"/>
      <c r="AT49" s="4"/>
      <c r="AU49" s="4"/>
      <c r="AV49" s="4"/>
      <c r="AX49" s="49" t="s">
        <v>155</v>
      </c>
      <c r="AY49" t="str">
        <f>konkurs2!$K$16</f>
        <v/>
      </c>
      <c r="AZ49" t="str">
        <f>konkurs2!$AA$16</f>
        <v/>
      </c>
      <c r="BA49" t="str">
        <f>konkurs2!$S$16</f>
        <v/>
      </c>
      <c r="BB49" t="str">
        <f>konkurs2!$O$16</f>
        <v/>
      </c>
      <c r="BC49" t="str">
        <f>konkurs2!$AE$16</f>
        <v/>
      </c>
      <c r="BD49" t="str">
        <f>konkurs2!$W$16</f>
        <v/>
      </c>
      <c r="BE49" t="str">
        <f>konkurs2!$AI$16</f>
        <v/>
      </c>
      <c r="BF49" t="str">
        <f>konkurs2!$AQ$16</f>
        <v/>
      </c>
      <c r="BG49" s="50" t="str">
        <f>konkurs2!$C$16</f>
        <v/>
      </c>
      <c r="BH49" s="50" t="str">
        <f>konkurs2!$G$16</f>
        <v/>
      </c>
      <c r="BI49" s="50" t="str">
        <f>konkurs2!$AM$16</f>
        <v/>
      </c>
      <c r="BJ49" s="50" t="str">
        <f>konkurs2!$AU$16</f>
        <v/>
      </c>
    </row>
    <row r="50" spans="1:62" ht="18" customHeight="1">
      <c r="A50" s="4"/>
      <c r="B50" s="9"/>
      <c r="C50" s="4"/>
      <c r="D50" s="4"/>
      <c r="E50" s="4"/>
      <c r="F50" s="12"/>
      <c r="G50" s="12"/>
      <c r="H50" s="4"/>
      <c r="I50" s="4"/>
      <c r="J50" s="9"/>
      <c r="K50" s="14"/>
      <c r="L50" s="4"/>
      <c r="M50" s="38"/>
      <c r="N50" s="4"/>
      <c r="O50" s="14"/>
      <c r="P50" s="9"/>
      <c r="Q50" s="14"/>
      <c r="R50" s="9"/>
      <c r="S50" s="25"/>
      <c r="T50" s="4"/>
      <c r="U50" s="38"/>
      <c r="V50" s="4"/>
      <c r="W50" s="25"/>
      <c r="X50" s="9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X50" s="49" t="s">
        <v>156</v>
      </c>
      <c r="AY50" t="str">
        <f>konkurs2!$K$16</f>
        <v/>
      </c>
      <c r="AZ50" t="str">
        <f>konkurs2!$AA$16</f>
        <v/>
      </c>
      <c r="BA50" t="str">
        <f>konkurs2!$AM$16</f>
        <v/>
      </c>
      <c r="BB50" t="str">
        <f>konkurs2!$O$16</f>
        <v/>
      </c>
      <c r="BC50" t="str">
        <f>konkurs2!$AE$16</f>
        <v/>
      </c>
      <c r="BD50" t="str">
        <f>konkurs2!$W$16</f>
        <v/>
      </c>
      <c r="BE50" t="str">
        <f>konkurs2!$S$16</f>
        <v/>
      </c>
      <c r="BF50" t="str">
        <f>konkurs2!$AI$16</f>
        <v/>
      </c>
      <c r="BG50" s="50" t="str">
        <f>konkurs2!$C$16</f>
        <v/>
      </c>
      <c r="BH50" s="50" t="str">
        <f>konkurs2!$G$16</f>
        <v/>
      </c>
      <c r="BI50" s="50" t="str">
        <f>konkurs2!$AQ$16</f>
        <v/>
      </c>
      <c r="BJ50" s="50" t="str">
        <f>konkurs2!$AU$16</f>
        <v/>
      </c>
    </row>
    <row r="51" spans="1:62" ht="18" customHeight="1">
      <c r="A51" s="4"/>
      <c r="B51" s="9"/>
      <c r="C51" s="4"/>
      <c r="D51" s="4"/>
      <c r="E51" s="4"/>
      <c r="F51" s="6"/>
      <c r="G51" s="6"/>
      <c r="H51" s="4"/>
      <c r="I51" s="4"/>
      <c r="J51" s="9" t="e">
        <f>LOOKUP(K51,wyniki!$AX$7:$AZ$54)</f>
        <v>#N/A</v>
      </c>
      <c r="K51" s="86" t="str">
        <f>IF(E43="","",IF(E43=2,F43,C43))</f>
        <v/>
      </c>
      <c r="L51" s="87"/>
      <c r="M51" s="36"/>
      <c r="N51" s="87" t="str">
        <f>IF(E45="","",IF(E45=2,F45,C45))</f>
        <v/>
      </c>
      <c r="O51" s="87"/>
      <c r="P51" s="9" t="e">
        <f>LOOKUP(N51,wyniki!$AX$7:$AZ$54)</f>
        <v>#N/A</v>
      </c>
      <c r="Q51" s="14"/>
      <c r="R51" s="9" t="e">
        <f>LOOKUP(S51,wyniki!$AX$7:$AZ$54)</f>
        <v>#N/A</v>
      </c>
      <c r="S51" s="88" t="str">
        <f>IF(U43="","",IF(U43=2,V43,S43))</f>
        <v/>
      </c>
      <c r="T51" s="88"/>
      <c r="U51" s="36"/>
      <c r="V51" s="88" t="str">
        <f>IF(U45="","",IF(U45=2,V45,S45))</f>
        <v/>
      </c>
      <c r="W51" s="88"/>
      <c r="X51" s="9" t="e">
        <f>LOOKUP(V51,wyniki!$AX$7:$AZ$54)</f>
        <v>#N/A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X51" s="49" t="s">
        <v>157</v>
      </c>
      <c r="AY51" t="str">
        <f>konkurs2!$AE$16</f>
        <v/>
      </c>
      <c r="AZ51" t="str">
        <f>konkurs2!$AM$16</f>
        <v/>
      </c>
      <c r="BA51" t="str">
        <f>konkurs2!$G$16</f>
        <v/>
      </c>
      <c r="BB51" t="str">
        <f>konkurs2!$W$16</f>
        <v/>
      </c>
      <c r="BC51" t="str">
        <f>konkurs2!$AI$16</f>
        <v/>
      </c>
      <c r="BD51" t="str">
        <f>konkurs2!$AA$16</f>
        <v/>
      </c>
      <c r="BE51" t="str">
        <f>konkurs2!$AU$16</f>
        <v/>
      </c>
      <c r="BF51" t="str">
        <f>konkurs2!$AQ$16</f>
        <v/>
      </c>
      <c r="BG51" s="50" t="str">
        <f>konkurs2!$C$16</f>
        <v/>
      </c>
      <c r="BH51" s="50" t="str">
        <f>konkurs2!$K$16</f>
        <v/>
      </c>
      <c r="BI51" s="50" t="str">
        <f>konkurs2!$O$16</f>
        <v/>
      </c>
      <c r="BJ51" s="50" t="str">
        <f>konkurs2!$S$16</f>
        <v/>
      </c>
    </row>
    <row r="52" spans="1:62" ht="18" customHeight="1">
      <c r="A52" s="4"/>
      <c r="B52" s="9"/>
      <c r="C52" s="4"/>
      <c r="D52" s="4"/>
      <c r="E52" s="4"/>
      <c r="F52" s="4"/>
      <c r="G52" s="4"/>
      <c r="H52" s="4"/>
      <c r="I52" s="4"/>
      <c r="J52" s="9"/>
      <c r="K52" s="14"/>
      <c r="L52" s="4"/>
      <c r="M52" s="38"/>
      <c r="N52" s="4"/>
      <c r="O52" s="14"/>
      <c r="P52" s="9"/>
      <c r="Q52" s="14"/>
      <c r="R52" s="9"/>
      <c r="S52" s="25"/>
      <c r="T52" s="4"/>
      <c r="U52" s="38"/>
      <c r="V52" s="4"/>
      <c r="W52" s="25"/>
      <c r="X52" s="9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X52" s="49" t="s">
        <v>158</v>
      </c>
      <c r="AY52" t="str">
        <f>konkurs2!$S$16</f>
        <v/>
      </c>
      <c r="AZ52" t="str">
        <f>konkurs2!$AM$16</f>
        <v/>
      </c>
      <c r="BA52" t="str">
        <f>konkurs2!$AI$16</f>
        <v/>
      </c>
      <c r="BB52" t="str">
        <f>konkurs2!$G$16</f>
        <v/>
      </c>
      <c r="BC52" t="str">
        <f>konkurs2!$AE$16</f>
        <v/>
      </c>
      <c r="BD52" t="str">
        <f>konkurs2!$AA$16</f>
        <v/>
      </c>
      <c r="BE52" t="str">
        <f>konkurs2!$AU$16</f>
        <v/>
      </c>
      <c r="BF52" t="str">
        <f>konkurs2!$AQ$16</f>
        <v/>
      </c>
      <c r="BG52" s="50" t="str">
        <f>konkurs2!$C$16</f>
        <v/>
      </c>
      <c r="BH52" s="50" t="str">
        <f>konkurs2!$K$16</f>
        <v/>
      </c>
      <c r="BI52" s="50" t="str">
        <f>konkurs2!$O$16</f>
        <v/>
      </c>
      <c r="BJ52" s="50" t="str">
        <f>konkurs2!$W$16</f>
        <v/>
      </c>
    </row>
    <row r="53" spans="1:62" ht="18" customHeight="1">
      <c r="A53" s="4"/>
      <c r="B53" s="9"/>
      <c r="C53" s="4"/>
      <c r="D53" s="4"/>
      <c r="E53" s="4"/>
      <c r="F53" s="4"/>
      <c r="G53" s="4"/>
      <c r="H53" s="4"/>
      <c r="I53" s="4"/>
      <c r="J53" s="9" t="e">
        <f>LOOKUP(K53,wyniki!$AX$7:$AZ$54)</f>
        <v>#N/A</v>
      </c>
      <c r="K53" s="86" t="str">
        <f>IF(M39="","",IF(M39=2,N39,K39))</f>
        <v/>
      </c>
      <c r="L53" s="87"/>
      <c r="M53" s="36"/>
      <c r="N53" s="87" t="str">
        <f>IF(M41="","",IF(M41=2,N41,K41))</f>
        <v/>
      </c>
      <c r="O53" s="87"/>
      <c r="P53" s="9" t="e">
        <f>LOOKUP(N53,wyniki!$AX$7:$AZ$54)</f>
        <v>#N/A</v>
      </c>
      <c r="Q53" s="14"/>
      <c r="R53" s="9" t="e">
        <f>LOOKUP(S53,wyniki!$AX$7:$AZ$54)</f>
        <v>#N/A</v>
      </c>
      <c r="S53" s="88" t="str">
        <f>IF(AC39="","",IF(AC39=2,AD39,AA39))</f>
        <v/>
      </c>
      <c r="T53" s="88"/>
      <c r="U53" s="36"/>
      <c r="V53" s="88" t="str">
        <f>IF(AC41="","",IF(AC41=2,AD41,AA41))</f>
        <v/>
      </c>
      <c r="W53" s="88"/>
      <c r="X53" s="9" t="e">
        <f>LOOKUP(V53,wyniki!$AX$7:$AZ$54)</f>
        <v>#N/A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X53" s="49" t="s">
        <v>159</v>
      </c>
      <c r="AY53" t="str">
        <f>konkurs2!$S$16</f>
        <v/>
      </c>
      <c r="AZ53" t="str">
        <f>konkurs2!$AM$16</f>
        <v/>
      </c>
      <c r="BA53" t="str">
        <f>konkurs2!$G$16</f>
        <v/>
      </c>
      <c r="BB53" t="str">
        <f>konkurs2!$W$16</f>
        <v/>
      </c>
      <c r="BC53" t="str">
        <f>konkurs2!$AI$16</f>
        <v/>
      </c>
      <c r="BD53" t="str">
        <f>konkurs2!$AE$16</f>
        <v/>
      </c>
      <c r="BE53" t="str">
        <f>konkurs2!$AU$16</f>
        <v/>
      </c>
      <c r="BF53" t="str">
        <f>konkurs2!$AQ$16</f>
        <v/>
      </c>
      <c r="BG53" s="50" t="str">
        <f>konkurs2!$C$16</f>
        <v/>
      </c>
      <c r="BH53" s="50" t="str">
        <f>konkurs2!$K$16</f>
        <v/>
      </c>
      <c r="BI53" s="50" t="str">
        <f>konkurs2!$O$16</f>
        <v/>
      </c>
      <c r="BJ53" s="50" t="str">
        <f>konkurs2!$AA$16</f>
        <v/>
      </c>
    </row>
    <row r="54" spans="1:62" ht="18" customHeight="1">
      <c r="A54" s="4"/>
      <c r="B54" s="9"/>
      <c r="C54" s="4"/>
      <c r="D54" s="4"/>
      <c r="E54" s="4"/>
      <c r="F54" s="4"/>
      <c r="G54" s="4"/>
      <c r="H54" s="4"/>
      <c r="I54" s="4"/>
      <c r="J54" s="9"/>
      <c r="K54" s="14"/>
      <c r="L54" s="4"/>
      <c r="M54" s="38"/>
      <c r="N54" s="4"/>
      <c r="O54" s="14"/>
      <c r="P54" s="9"/>
      <c r="Q54" s="14"/>
      <c r="R54" s="9"/>
      <c r="S54" s="26"/>
      <c r="T54" s="4"/>
      <c r="U54" s="38"/>
      <c r="V54" s="4"/>
      <c r="W54" s="26"/>
      <c r="X54" s="9"/>
      <c r="Y54" s="4"/>
      <c r="Z54" s="4"/>
      <c r="AA54" s="4"/>
      <c r="AB54" s="4"/>
      <c r="AC54" s="4"/>
      <c r="AD54" s="4"/>
      <c r="AE54" s="4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X54" s="49" t="s">
        <v>160</v>
      </c>
      <c r="AY54" t="str">
        <f>konkurs2!$S$16</f>
        <v/>
      </c>
      <c r="AZ54" t="str">
        <f>konkurs2!$AM$16</f>
        <v/>
      </c>
      <c r="BA54" t="str">
        <f>konkurs2!$G$16</f>
        <v/>
      </c>
      <c r="BB54" t="str">
        <f>konkurs2!$W$16</f>
        <v/>
      </c>
      <c r="BC54" t="str">
        <f>konkurs2!$AI$16</f>
        <v/>
      </c>
      <c r="BD54" t="str">
        <f>konkurs2!$AA$16</f>
        <v/>
      </c>
      <c r="BE54" t="str">
        <f>konkurs2!$AU$16</f>
        <v/>
      </c>
      <c r="BF54" t="str">
        <f>konkurs2!$AQ$16</f>
        <v/>
      </c>
      <c r="BG54" s="50" t="str">
        <f>konkurs2!$C$16</f>
        <v/>
      </c>
      <c r="BH54" s="50" t="str">
        <f>konkurs2!$K$16</f>
        <v/>
      </c>
      <c r="BI54" s="50" t="str">
        <f>konkurs2!$O$16</f>
        <v/>
      </c>
      <c r="BJ54" s="50" t="str">
        <f>konkurs2!$AE$16</f>
        <v/>
      </c>
    </row>
    <row r="55" spans="1:62" ht="18" customHeight="1">
      <c r="A55" s="4"/>
      <c r="B55" s="9"/>
      <c r="C55" s="4"/>
      <c r="D55" s="4"/>
      <c r="E55" s="4"/>
      <c r="F55" s="4"/>
      <c r="G55" s="4"/>
      <c r="H55" s="4"/>
      <c r="I55" s="4"/>
      <c r="J55" s="9" t="e">
        <f>LOOKUP(K55,wyniki!$AX$7:$AZ$54)</f>
        <v>#N/A</v>
      </c>
      <c r="K55" s="86" t="str">
        <f>IF(M43="","",IF(M43=2,N43,K43))</f>
        <v/>
      </c>
      <c r="L55" s="87"/>
      <c r="M55" s="36"/>
      <c r="N55" s="87" t="str">
        <f>IF(M45="","",IF(M45=2,N45,K45))</f>
        <v/>
      </c>
      <c r="O55" s="87"/>
      <c r="P55" s="9" t="e">
        <f>LOOKUP(N55,wyniki!$AX$7:$AZ$54)</f>
        <v>#N/A</v>
      </c>
      <c r="Q55" s="14"/>
      <c r="R55" s="9" t="e">
        <f>LOOKUP(S55,wyniki!$AX$7:$AZ$54)</f>
        <v>#N/A</v>
      </c>
      <c r="S55" s="88" t="str">
        <f>IF(AC43="","",IF(AC43=2,AD43,AA43))</f>
        <v/>
      </c>
      <c r="T55" s="88"/>
      <c r="U55" s="36"/>
      <c r="V55" s="88" t="str">
        <f>IF(AC45="","",IF(AC45=2,AD45,AA45))</f>
        <v/>
      </c>
      <c r="W55" s="88"/>
      <c r="X55" s="9" t="e">
        <f>LOOKUP(V55,wyniki!$AX$7:$AZ$54)</f>
        <v>#N/A</v>
      </c>
      <c r="Y55" s="4"/>
      <c r="Z55" s="4"/>
      <c r="AA55" s="4"/>
      <c r="AB55" s="4"/>
      <c r="AC55" s="4"/>
      <c r="AD55" s="4"/>
      <c r="AE55" s="4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X55" s="49" t="s">
        <v>161</v>
      </c>
      <c r="AY55" t="str">
        <f>konkurs2!$S$16</f>
        <v/>
      </c>
      <c r="AZ55" t="str">
        <f>konkurs2!$AM$16</f>
        <v/>
      </c>
      <c r="BA55" t="str">
        <f>konkurs2!$G$16</f>
        <v/>
      </c>
      <c r="BB55" t="str">
        <f>konkurs2!$W$16</f>
        <v/>
      </c>
      <c r="BC55" t="str">
        <f>konkurs2!$AE$16</f>
        <v/>
      </c>
      <c r="BD55" t="str">
        <f>konkurs2!$AA$16</f>
        <v/>
      </c>
      <c r="BE55" t="str">
        <f>konkurs2!$AU$16</f>
        <v/>
      </c>
      <c r="BF55" t="str">
        <f>konkurs2!$AQ$16</f>
        <v/>
      </c>
      <c r="BG55" s="50" t="str">
        <f>konkurs2!$C$16</f>
        <v/>
      </c>
      <c r="BH55" s="50" t="str">
        <f>konkurs2!$K$16</f>
        <v/>
      </c>
      <c r="BI55" s="50" t="str">
        <f>konkurs2!$O$16</f>
        <v/>
      </c>
      <c r="BJ55" s="50" t="str">
        <f>konkurs2!$AI$16</f>
        <v/>
      </c>
    </row>
    <row r="56" spans="1:62" ht="18" customHeight="1">
      <c r="A56" s="4"/>
      <c r="B56" s="9"/>
      <c r="C56" s="4"/>
      <c r="D56" s="4"/>
      <c r="E56" s="4"/>
      <c r="F56" s="4"/>
      <c r="G56" s="4"/>
      <c r="H56" s="4"/>
      <c r="I56" s="4"/>
      <c r="J56" s="4"/>
      <c r="K56" s="14"/>
      <c r="L56" s="4"/>
      <c r="M56" s="38"/>
      <c r="N56" s="4"/>
      <c r="O56" s="14"/>
      <c r="P56" s="4"/>
      <c r="Q56" s="14"/>
      <c r="R56" s="4"/>
      <c r="S56" s="14"/>
      <c r="T56" s="4"/>
      <c r="U56" s="38"/>
      <c r="V56" s="4"/>
      <c r="W56" s="14"/>
      <c r="X56" s="4"/>
      <c r="Y56" s="4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X56" s="49" t="s">
        <v>162</v>
      </c>
      <c r="AY56" t="str">
        <f>konkurs2!$S$16</f>
        <v/>
      </c>
      <c r="AZ56" t="str">
        <f>konkurs2!$AA$16</f>
        <v/>
      </c>
      <c r="BA56" t="str">
        <f>konkurs2!$G$16</f>
        <v/>
      </c>
      <c r="BB56" t="str">
        <f>konkurs2!$W$16</f>
        <v/>
      </c>
      <c r="BC56" t="str">
        <f>konkurs2!$AI$16</f>
        <v/>
      </c>
      <c r="BD56" t="str">
        <f>konkurs2!$AE$16</f>
        <v/>
      </c>
      <c r="BE56" t="str">
        <f>konkurs2!$AU$16</f>
        <v/>
      </c>
      <c r="BF56" t="str">
        <f>konkurs2!$AQ$16</f>
        <v/>
      </c>
      <c r="BG56" s="50" t="str">
        <f>konkurs2!$C$16</f>
        <v/>
      </c>
      <c r="BH56" s="50" t="str">
        <f>konkurs2!$K$16</f>
        <v/>
      </c>
      <c r="BI56" s="50" t="str">
        <f>konkurs2!$O$16</f>
        <v/>
      </c>
      <c r="BJ56" s="50" t="str">
        <f>konkurs2!$AM$16</f>
        <v/>
      </c>
    </row>
    <row r="57" spans="1:62" ht="18" customHeight="1">
      <c r="A57" s="4"/>
      <c r="B57" s="9"/>
      <c r="D57" s="4"/>
      <c r="E57" s="4"/>
      <c r="F57" s="4"/>
      <c r="G57" s="4"/>
      <c r="H57" s="4"/>
      <c r="I57" s="4"/>
      <c r="J57" s="4"/>
      <c r="K57" s="14"/>
      <c r="L57" s="4"/>
      <c r="M57" s="38"/>
      <c r="N57" s="4"/>
      <c r="O57" s="14"/>
      <c r="P57" s="4" t="s">
        <v>8</v>
      </c>
      <c r="R57" s="14"/>
      <c r="S57" s="14"/>
      <c r="T57" s="4"/>
      <c r="U57" s="38"/>
      <c r="V57" s="4"/>
      <c r="W57" s="14"/>
      <c r="X57" s="4"/>
      <c r="Y57" s="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X57" s="49" t="s">
        <v>164</v>
      </c>
      <c r="AY57" t="str">
        <f>konkurs2!$S$16</f>
        <v/>
      </c>
      <c r="AZ57" t="str">
        <f>konkurs2!$AM$16</f>
        <v/>
      </c>
      <c r="BA57" t="str">
        <f>konkurs2!$G$16</f>
        <v/>
      </c>
      <c r="BB57" t="str">
        <f>konkurs2!$W$16</f>
        <v/>
      </c>
      <c r="BC57" t="str">
        <f>konkurs2!$AE$16</f>
        <v/>
      </c>
      <c r="BD57" t="str">
        <f>konkurs2!$AA$16</f>
        <v/>
      </c>
      <c r="BE57" t="str">
        <f>konkurs2!$AU$16</f>
        <v/>
      </c>
      <c r="BF57" t="str">
        <f>konkurs2!$AI$16</f>
        <v/>
      </c>
      <c r="BG57" s="50" t="str">
        <f>konkurs2!$C$16</f>
        <v/>
      </c>
      <c r="BH57" s="50" t="str">
        <f>konkurs2!$K$16</f>
        <v/>
      </c>
      <c r="BI57" s="50" t="str">
        <f>konkurs2!$O$16</f>
        <v/>
      </c>
      <c r="BJ57" s="50" t="str">
        <f>konkurs2!$AQ$16</f>
        <v/>
      </c>
    </row>
    <row r="58" spans="1:62" ht="18" customHeight="1">
      <c r="A58" s="4"/>
      <c r="B58" s="9"/>
      <c r="C58" s="4"/>
      <c r="D58" s="4"/>
      <c r="E58" s="4"/>
      <c r="F58" s="4"/>
      <c r="G58" s="4"/>
      <c r="H58" s="4"/>
      <c r="I58" s="4"/>
      <c r="J58" s="4"/>
      <c r="K58" s="14"/>
      <c r="L58" s="4"/>
      <c r="M58" s="38"/>
      <c r="N58" s="4"/>
      <c r="O58" s="14"/>
      <c r="P58" s="4"/>
      <c r="Q58" s="14"/>
      <c r="R58" s="14"/>
      <c r="S58" s="14"/>
      <c r="T58" s="4"/>
      <c r="U58" s="38"/>
      <c r="V58" s="4"/>
      <c r="W58" s="14"/>
      <c r="X58" s="4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X58" s="49" t="s">
        <v>165</v>
      </c>
      <c r="AY58" t="str">
        <f>konkurs2!$S$16</f>
        <v/>
      </c>
      <c r="AZ58" t="str">
        <f>konkurs2!$AM$16</f>
        <v/>
      </c>
      <c r="BA58" t="str">
        <f>konkurs2!$G$16</f>
        <v/>
      </c>
      <c r="BB58" t="str">
        <f>konkurs2!$W$16</f>
        <v/>
      </c>
      <c r="BC58" t="str">
        <f>konkurs2!$AE$16</f>
        <v/>
      </c>
      <c r="BD58" t="str">
        <f>konkurs2!$AA$16</f>
        <v/>
      </c>
      <c r="BE58" t="str">
        <f>konkurs2!$AI$16</f>
        <v/>
      </c>
      <c r="BF58" t="str">
        <f>konkurs2!$AQ$16</f>
        <v/>
      </c>
      <c r="BG58" s="50" t="str">
        <f>konkurs2!$C$16</f>
        <v/>
      </c>
      <c r="BH58" s="50" t="str">
        <f>konkurs2!$K$16</f>
        <v/>
      </c>
      <c r="BI58" s="50" t="str">
        <f>konkurs2!$O$16</f>
        <v/>
      </c>
      <c r="BJ58" s="50" t="str">
        <f>konkurs2!$AU$16</f>
        <v/>
      </c>
    </row>
    <row r="59" spans="1:62" ht="18" customHeight="1">
      <c r="A59" s="4"/>
      <c r="B59" s="9"/>
      <c r="C59" s="4"/>
      <c r="D59" s="4"/>
      <c r="E59" s="4"/>
      <c r="F59" s="4"/>
      <c r="G59" s="55" t="s">
        <v>163</v>
      </c>
      <c r="H59" s="79" t="e">
        <f>J59+J61+P59+P61+R59+R61+X59+X61</f>
        <v>#N/A</v>
      </c>
      <c r="I59" s="4"/>
      <c r="J59" s="9" t="e">
        <f>LOOKUP(K59,wyniki!$AX$7:$BA$54)</f>
        <v>#N/A</v>
      </c>
      <c r="K59" s="86" t="str">
        <f>IF(M49="","",IF(M49=2,N49,K49))</f>
        <v/>
      </c>
      <c r="L59" s="87"/>
      <c r="M59" s="36"/>
      <c r="N59" s="87" t="str">
        <f>IF(M51="","",IF(M51=2,N51,K51))</f>
        <v/>
      </c>
      <c r="O59" s="87"/>
      <c r="P59" s="9" t="e">
        <f>LOOKUP(N59,wyniki!$AX$7:$BA$54)</f>
        <v>#N/A</v>
      </c>
      <c r="Q59" s="14"/>
      <c r="R59" s="9" t="e">
        <f>LOOKUP(S59,wyniki!$AX$7:$BA$54)</f>
        <v>#N/A</v>
      </c>
      <c r="S59" s="88" t="str">
        <f>IF(U49="","",IF(U49=2,V49,S49))</f>
        <v/>
      </c>
      <c r="T59" s="88"/>
      <c r="U59" s="36"/>
      <c r="V59" s="88" t="str">
        <f>IF(U51="","",IF(U51=2,V51,S51))</f>
        <v/>
      </c>
      <c r="W59" s="88"/>
      <c r="X59" s="9" t="e">
        <f>LOOKUP(V59,wyniki!$AX$7:$BA$54)</f>
        <v>#N/A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X59" s="49" t="s">
        <v>166</v>
      </c>
      <c r="AY59" t="str">
        <f>konkurs2!$AE$16</f>
        <v/>
      </c>
      <c r="AZ59" t="str">
        <f>konkurs2!$AM$16</f>
        <v/>
      </c>
      <c r="BA59" t="str">
        <f>konkurs2!$G$16</f>
        <v/>
      </c>
      <c r="BB59" t="str">
        <f>konkurs2!$O$16</f>
        <v/>
      </c>
      <c r="BC59" t="str">
        <f>konkurs2!$AI$16</f>
        <v/>
      </c>
      <c r="BD59" t="str">
        <f>konkurs2!$AA$16</f>
        <v/>
      </c>
      <c r="BE59" t="str">
        <f>konkurs2!$AU$16</f>
        <v/>
      </c>
      <c r="BF59" t="str">
        <f>konkurs2!$AQ$16</f>
        <v/>
      </c>
      <c r="BG59" s="50" t="str">
        <f>konkurs2!$C$16</f>
        <v/>
      </c>
      <c r="BH59" s="50" t="str">
        <f>konkurs2!$K$16</f>
        <v/>
      </c>
      <c r="BI59" s="50" t="str">
        <f>konkurs2!$S$16</f>
        <v/>
      </c>
      <c r="BJ59" s="50" t="str">
        <f>konkurs2!$W$16</f>
        <v/>
      </c>
    </row>
    <row r="60" spans="1:62" ht="18" customHeight="1">
      <c r="A60" s="4"/>
      <c r="B60" s="9"/>
      <c r="C60" s="4"/>
      <c r="D60" s="4"/>
      <c r="E60" s="4"/>
      <c r="F60" s="4"/>
      <c r="G60" s="4"/>
      <c r="H60" s="4"/>
      <c r="I60" s="4"/>
      <c r="J60" s="12"/>
      <c r="K60" s="14"/>
      <c r="L60" s="4"/>
      <c r="M60" s="38"/>
      <c r="N60" s="4"/>
      <c r="O60" s="14"/>
      <c r="P60" s="12"/>
      <c r="Q60" s="14"/>
      <c r="R60" s="12"/>
      <c r="S60" s="14"/>
      <c r="T60" s="4"/>
      <c r="U60" s="38"/>
      <c r="V60" s="4"/>
      <c r="W60" s="14"/>
      <c r="X60" s="12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X60" s="49" t="s">
        <v>167</v>
      </c>
      <c r="AY60" t="str">
        <f>konkurs2!$AE$16</f>
        <v/>
      </c>
      <c r="AZ60" t="str">
        <f>konkurs2!$AM$16</f>
        <v/>
      </c>
      <c r="BA60" t="str">
        <f>konkurs2!$G$16</f>
        <v/>
      </c>
      <c r="BB60" t="str">
        <f>konkurs2!$O$16</f>
        <v/>
      </c>
      <c r="BC60" t="str">
        <f>konkurs2!$AI$16</f>
        <v/>
      </c>
      <c r="BD60" t="str">
        <f>konkurs2!$W$16</f>
        <v/>
      </c>
      <c r="BE60" t="str">
        <f>konkurs2!$AU$16</f>
        <v/>
      </c>
      <c r="BF60" t="str">
        <f>konkurs2!$AQ$16</f>
        <v/>
      </c>
      <c r="BG60" s="50" t="str">
        <f>konkurs2!$C$16</f>
        <v/>
      </c>
      <c r="BH60" s="50" t="str">
        <f>konkurs2!$K$16</f>
        <v/>
      </c>
      <c r="BI60" s="50" t="str">
        <f>konkurs2!$S$16</f>
        <v/>
      </c>
      <c r="BJ60" s="50" t="str">
        <f>konkurs2!$AA$16</f>
        <v/>
      </c>
    </row>
    <row r="61" spans="1:62" ht="18" customHeight="1">
      <c r="A61" s="4"/>
      <c r="B61" s="9"/>
      <c r="C61" s="4"/>
      <c r="D61" s="4"/>
      <c r="E61" s="4"/>
      <c r="F61" s="4"/>
      <c r="G61" s="4"/>
      <c r="H61" s="4"/>
      <c r="I61" s="4"/>
      <c r="J61" s="9" t="e">
        <f>LOOKUP(K61,wyniki!$AX$7:$BA$54)</f>
        <v>#N/A</v>
      </c>
      <c r="K61" s="86" t="str">
        <f>IF(M53="","",IF(M53=2,N53,K53))</f>
        <v/>
      </c>
      <c r="L61" s="87"/>
      <c r="M61" s="36"/>
      <c r="N61" s="87" t="str">
        <f>IF(M55="","",IF(M55=2,N55,K55))</f>
        <v/>
      </c>
      <c r="O61" s="87"/>
      <c r="P61" s="9" t="e">
        <f>LOOKUP(N61,wyniki!$AX$7:$BA$54)</f>
        <v>#N/A</v>
      </c>
      <c r="Q61" s="14"/>
      <c r="R61" s="9" t="e">
        <f>LOOKUP(S61,wyniki!$AX$7:$BA$54)</f>
        <v>#N/A</v>
      </c>
      <c r="S61" s="88" t="str">
        <f>IF(U53="","",IF(U53=2,V53,S53))</f>
        <v/>
      </c>
      <c r="T61" s="88"/>
      <c r="U61" s="36"/>
      <c r="V61" s="88" t="str">
        <f>IF(U55="","",IF(U55=2,V55,S55))</f>
        <v/>
      </c>
      <c r="W61" s="88"/>
      <c r="X61" s="9" t="e">
        <f>LOOKUP(V61,wyniki!$AX$7:$BA$54)</f>
        <v>#N/A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X61" s="49" t="s">
        <v>168</v>
      </c>
      <c r="AY61" t="str">
        <f>konkurs2!$AI$16</f>
        <v/>
      </c>
      <c r="AZ61" t="str">
        <f>konkurs2!$AA$16</f>
        <v/>
      </c>
      <c r="BA61" t="str">
        <f>konkurs2!$G$16</f>
        <v/>
      </c>
      <c r="BB61" t="str">
        <f>konkurs2!$O$16</f>
        <v/>
      </c>
      <c r="BC61" t="str">
        <f>konkurs2!$AM$16</f>
        <v/>
      </c>
      <c r="BD61" t="str">
        <f>konkurs2!$W$16</f>
        <v/>
      </c>
      <c r="BE61" t="str">
        <f>konkurs2!$AU$16</f>
        <v/>
      </c>
      <c r="BF61" t="str">
        <f>konkurs2!$AQ$16</f>
        <v/>
      </c>
      <c r="BG61" s="50" t="str">
        <f>konkurs2!$C$16</f>
        <v/>
      </c>
      <c r="BH61" s="50" t="str">
        <f>konkurs2!$K$16</f>
        <v/>
      </c>
      <c r="BI61" s="50" t="str">
        <f>konkurs2!$S$16</f>
        <v/>
      </c>
      <c r="BJ61" s="50" t="str">
        <f>konkurs2!$AE$16</f>
        <v/>
      </c>
    </row>
    <row r="62" spans="1:62" ht="18" customHeight="1">
      <c r="A62" s="4"/>
      <c r="B62" s="9"/>
      <c r="C62" s="4"/>
      <c r="D62" s="4"/>
      <c r="E62" s="4"/>
      <c r="F62" s="4"/>
      <c r="G62" s="4"/>
      <c r="H62" s="4"/>
      <c r="I62" s="4"/>
      <c r="J62" s="4"/>
      <c r="K62" s="14"/>
      <c r="L62" s="4"/>
      <c r="M62" s="38"/>
      <c r="N62" s="4"/>
      <c r="O62" s="14"/>
      <c r="P62" s="14"/>
      <c r="Q62" s="14"/>
      <c r="R62" s="14"/>
      <c r="S62" s="14"/>
      <c r="T62" s="4"/>
      <c r="U62" s="38"/>
      <c r="V62" s="4"/>
      <c r="W62" s="14"/>
      <c r="X62" s="4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X62" s="49" t="s">
        <v>169</v>
      </c>
      <c r="AY62" t="str">
        <f>konkurs2!$AE$16</f>
        <v/>
      </c>
      <c r="AZ62" t="str">
        <f>konkurs2!$AA$16</f>
        <v/>
      </c>
      <c r="BA62" t="str">
        <f>konkurs2!$G$16</f>
        <v/>
      </c>
      <c r="BB62" t="str">
        <f>konkurs2!$O$16</f>
        <v/>
      </c>
      <c r="BC62" t="str">
        <f>konkurs2!$AM$16</f>
        <v/>
      </c>
      <c r="BD62" t="str">
        <f>konkurs2!$W$16</f>
        <v/>
      </c>
      <c r="BE62" t="str">
        <f>konkurs2!$AU$16</f>
        <v/>
      </c>
      <c r="BF62" t="str">
        <f>konkurs2!$AQ$16</f>
        <v/>
      </c>
      <c r="BG62" s="50" t="str">
        <f>konkurs2!$C$16</f>
        <v/>
      </c>
      <c r="BH62" s="50" t="str">
        <f>konkurs2!$K$16</f>
        <v/>
      </c>
      <c r="BI62" s="50" t="str">
        <f>konkurs2!$S$16</f>
        <v/>
      </c>
      <c r="BJ62" s="50" t="str">
        <f>konkurs2!$AI$16</f>
        <v/>
      </c>
    </row>
    <row r="63" spans="1:62" ht="18" customHeight="1">
      <c r="A63" s="4"/>
      <c r="B63" s="9"/>
      <c r="D63" s="4"/>
      <c r="E63" s="4"/>
      <c r="F63" s="4"/>
      <c r="G63" s="4"/>
      <c r="H63" s="4"/>
      <c r="I63" s="4"/>
      <c r="J63" s="4"/>
      <c r="K63" s="14"/>
      <c r="L63" s="4"/>
      <c r="M63" s="38"/>
      <c r="N63" s="4"/>
      <c r="O63" s="14"/>
      <c r="P63" s="4" t="s">
        <v>9</v>
      </c>
      <c r="Q63" s="14"/>
      <c r="R63" s="14"/>
      <c r="S63" s="14"/>
      <c r="T63" s="4"/>
      <c r="U63" s="38"/>
      <c r="V63" s="4"/>
      <c r="W63" s="14"/>
      <c r="X63" s="4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X63" s="49" t="s">
        <v>171</v>
      </c>
      <c r="AY63" t="str">
        <f>konkurs2!$AE$16</f>
        <v/>
      </c>
      <c r="AZ63" t="str">
        <f>konkurs2!$AA$16</f>
        <v/>
      </c>
      <c r="BA63" t="str">
        <f>konkurs2!$G$16</f>
        <v/>
      </c>
      <c r="BB63" t="str">
        <f>konkurs2!$O$16</f>
        <v/>
      </c>
      <c r="BC63" t="str">
        <f>konkurs2!$AI$16</f>
        <v/>
      </c>
      <c r="BD63" t="str">
        <f>konkurs2!$W$16</f>
        <v/>
      </c>
      <c r="BE63" t="str">
        <f>konkurs2!$AU$16</f>
        <v/>
      </c>
      <c r="BF63" t="str">
        <f>konkurs2!$AQ$16</f>
        <v/>
      </c>
      <c r="BG63" s="50" t="str">
        <f>konkurs2!$C$16</f>
        <v/>
      </c>
      <c r="BH63" s="50" t="str">
        <f>konkurs2!$K$16</f>
        <v/>
      </c>
      <c r="BI63" s="50" t="str">
        <f>konkurs2!$S$16</f>
        <v/>
      </c>
      <c r="BJ63" s="50" t="str">
        <f>konkurs2!$AM$16</f>
        <v/>
      </c>
    </row>
    <row r="64" spans="1:62" ht="18" customHeight="1">
      <c r="A64" s="4"/>
      <c r="B64" s="9"/>
      <c r="C64" s="4"/>
      <c r="D64" s="4"/>
      <c r="E64" s="4"/>
      <c r="F64" s="4"/>
      <c r="G64" s="4"/>
      <c r="H64" s="4"/>
      <c r="I64" s="4"/>
      <c r="J64" s="4"/>
      <c r="K64" s="14"/>
      <c r="L64" s="4"/>
      <c r="M64" s="38"/>
      <c r="N64" s="4"/>
      <c r="O64" s="14"/>
      <c r="P64" s="14"/>
      <c r="Q64" s="14"/>
      <c r="R64" s="14"/>
      <c r="S64" s="14"/>
      <c r="T64" s="4"/>
      <c r="U64" s="38"/>
      <c r="V64" s="4"/>
      <c r="W64" s="14"/>
      <c r="X64" s="4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X64" s="65" t="s">
        <v>172</v>
      </c>
      <c r="AY64" s="66" t="str">
        <f>konkurs2!$AE$16</f>
        <v/>
      </c>
      <c r="AZ64" s="66" t="str">
        <f>konkurs2!$AA$16</f>
        <v/>
      </c>
      <c r="BA64" s="66" t="str">
        <f>konkurs2!$G$16</f>
        <v/>
      </c>
      <c r="BB64" s="66" t="str">
        <f>konkurs2!$O$16</f>
        <v/>
      </c>
      <c r="BC64" s="66" t="str">
        <f>konkurs2!$AM$16</f>
        <v/>
      </c>
      <c r="BD64" s="66" t="str">
        <f>konkurs2!$W$16</f>
        <v/>
      </c>
      <c r="BE64" s="66" t="str">
        <f>konkurs2!$AU$16</f>
        <v/>
      </c>
      <c r="BF64" s="66" t="str">
        <f>konkurs2!$AI$16</f>
        <v/>
      </c>
      <c r="BG64" s="67" t="str">
        <f>konkurs2!$C$16</f>
        <v/>
      </c>
      <c r="BH64" s="67" t="str">
        <f>konkurs2!$K$16</f>
        <v/>
      </c>
      <c r="BI64" s="67" t="str">
        <f>konkurs2!$S$16</f>
        <v/>
      </c>
      <c r="BJ64" s="67" t="str">
        <f>konkurs2!$AQ$16</f>
        <v/>
      </c>
    </row>
    <row r="65" spans="1:62" ht="18" customHeight="1">
      <c r="A65" s="4"/>
      <c r="B65" s="9"/>
      <c r="C65" s="4"/>
      <c r="D65" s="4"/>
      <c r="E65" s="4"/>
      <c r="F65" s="4"/>
      <c r="G65" s="55" t="s">
        <v>170</v>
      </c>
      <c r="H65" s="79" t="e">
        <f>J65+P65+R65+X65</f>
        <v>#N/A</v>
      </c>
      <c r="I65" s="4"/>
      <c r="J65" s="9" t="e">
        <f>LOOKUP(K65,wyniki!$AX$7:$BB$54)</f>
        <v>#N/A</v>
      </c>
      <c r="K65" s="86" t="str">
        <f>IF(M59="","",IF(M59=2,N59,K59))</f>
        <v/>
      </c>
      <c r="L65" s="87"/>
      <c r="M65" s="36"/>
      <c r="N65" s="87" t="str">
        <f>IF(M61="","",IF(M61=2,N61,K61))</f>
        <v/>
      </c>
      <c r="O65" s="87"/>
      <c r="P65" s="9" t="e">
        <f>LOOKUP(N65,wyniki!$AX$7:$BB$54)</f>
        <v>#N/A</v>
      </c>
      <c r="Q65" s="14"/>
      <c r="R65" s="9" t="e">
        <f>LOOKUP(S65,wyniki!$AX$7:$BB$54)</f>
        <v>#N/A</v>
      </c>
      <c r="S65" s="88" t="str">
        <f>IF(U59="","",IF(U59=2,V59,S59))</f>
        <v/>
      </c>
      <c r="T65" s="88"/>
      <c r="U65" s="36"/>
      <c r="V65" s="88" t="str">
        <f>IF(U61="","",IF(U61=2,V61,S61))</f>
        <v/>
      </c>
      <c r="W65" s="88"/>
      <c r="X65" s="9" t="e">
        <f>LOOKUP(V65,wyniki!$AX$7:$BB$54)</f>
        <v>#N/A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X65" s="49" t="s">
        <v>173</v>
      </c>
      <c r="AY65" t="str">
        <f>konkurs2!$AE$16</f>
        <v/>
      </c>
      <c r="AZ65" t="str">
        <f>konkurs2!$AA$16</f>
        <v/>
      </c>
      <c r="BA65" t="str">
        <f>konkurs2!$G$16</f>
        <v/>
      </c>
      <c r="BB65" t="str">
        <f>konkurs2!$O$16</f>
        <v/>
      </c>
      <c r="BC65" t="str">
        <f>konkurs2!$AM$16</f>
        <v/>
      </c>
      <c r="BD65" t="str">
        <f>konkurs2!$W$16</f>
        <v/>
      </c>
      <c r="BE65" t="str">
        <f>konkurs2!$AI$16</f>
        <v/>
      </c>
      <c r="BF65" t="str">
        <f>konkurs2!$AQ$16</f>
        <v/>
      </c>
      <c r="BG65" s="50" t="str">
        <f>konkurs2!$C$16</f>
        <v/>
      </c>
      <c r="BH65" s="50" t="str">
        <f>konkurs2!$K$16</f>
        <v/>
      </c>
      <c r="BI65" s="50" t="str">
        <f>konkurs2!$S$16</f>
        <v/>
      </c>
      <c r="BJ65" s="50" t="str">
        <f>konkurs2!$AU$16</f>
        <v/>
      </c>
    </row>
    <row r="66" spans="1:62" s="64" customFormat="1" ht="25.5" customHeight="1">
      <c r="A66" s="62"/>
      <c r="B66" s="9"/>
      <c r="C66" s="4"/>
      <c r="D66" s="4"/>
      <c r="E66" s="4"/>
      <c r="F66" s="4"/>
      <c r="G66" s="4"/>
      <c r="H66" s="4"/>
      <c r="I66" s="4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4"/>
      <c r="Y66" s="15"/>
      <c r="Z66" s="15"/>
      <c r="AA66" s="15"/>
      <c r="AB66" s="15"/>
      <c r="AC66" s="15"/>
      <c r="AD66" s="15"/>
      <c r="AE66" s="15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X66" s="49" t="s">
        <v>174</v>
      </c>
      <c r="AY66" t="str">
        <f>konkurs2!$S$16</f>
        <v/>
      </c>
      <c r="AZ66" t="str">
        <f>konkurs2!$AM$16</f>
        <v/>
      </c>
      <c r="BA66" t="str">
        <f>konkurs2!$G$16</f>
        <v/>
      </c>
      <c r="BB66" t="str">
        <f>konkurs2!$O$16</f>
        <v/>
      </c>
      <c r="BC66" t="str">
        <f>konkurs2!$AI$16</f>
        <v/>
      </c>
      <c r="BD66" t="str">
        <f>konkurs2!$AE$16</f>
        <v/>
      </c>
      <c r="BE66" t="str">
        <f>konkurs2!$AU$16</f>
        <v/>
      </c>
      <c r="BF66" t="str">
        <f>konkurs2!$AQ$16</f>
        <v/>
      </c>
      <c r="BG66" s="50" t="str">
        <f>konkurs2!$C$16</f>
        <v/>
      </c>
      <c r="BH66" s="50" t="str">
        <f>konkurs2!$K$16</f>
        <v/>
      </c>
      <c r="BI66" s="50" t="str">
        <f>konkurs2!$W$16</f>
        <v/>
      </c>
      <c r="BJ66" s="50" t="str">
        <f>konkurs2!$AA$16</f>
        <v/>
      </c>
    </row>
    <row r="67" spans="1:62" ht="18" customHeight="1">
      <c r="A67" s="4"/>
      <c r="B67" s="68"/>
      <c r="C67" s="4"/>
      <c r="D67" s="4"/>
      <c r="E67" s="4"/>
      <c r="F67" s="4"/>
      <c r="G67" s="4"/>
      <c r="H67" s="4"/>
      <c r="I67" s="4"/>
      <c r="J67" s="15"/>
      <c r="K67" s="15"/>
      <c r="L67" s="15"/>
      <c r="M67" s="15"/>
      <c r="N67" s="15"/>
      <c r="O67" s="81" t="s">
        <v>615</v>
      </c>
      <c r="P67" s="81"/>
      <c r="Q67" s="81"/>
      <c r="R67" s="81"/>
      <c r="S67" s="81"/>
      <c r="T67" s="15"/>
      <c r="U67" s="15"/>
      <c r="V67" s="15"/>
      <c r="W67" s="15"/>
      <c r="X67" s="4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X67" s="49" t="s">
        <v>176</v>
      </c>
      <c r="AY67" t="str">
        <f>konkurs2!$S$16</f>
        <v/>
      </c>
      <c r="AZ67" t="str">
        <f>konkurs2!$AM$16</f>
        <v/>
      </c>
      <c r="BA67" t="str">
        <f>konkurs2!$G$16</f>
        <v/>
      </c>
      <c r="BB67" t="str">
        <f>konkurs2!$O$16</f>
        <v/>
      </c>
      <c r="BC67" t="str">
        <f>konkurs2!$AI$16</f>
        <v/>
      </c>
      <c r="BD67" t="str">
        <f>konkurs2!$AA$16</f>
        <v/>
      </c>
      <c r="BE67" t="str">
        <f>konkurs2!$AU$16</f>
        <v/>
      </c>
      <c r="BF67" t="str">
        <f>konkurs2!$AQ$16</f>
        <v/>
      </c>
      <c r="BG67" s="50" t="str">
        <f>konkurs2!$C$16</f>
        <v/>
      </c>
      <c r="BH67" s="50" t="str">
        <f>konkurs2!$K$16</f>
        <v/>
      </c>
      <c r="BI67" s="50" t="str">
        <f>konkurs2!$W$16</f>
        <v/>
      </c>
      <c r="BJ67" s="50" t="str">
        <f>konkurs2!$AE$16</f>
        <v/>
      </c>
    </row>
    <row r="68" spans="1:62" ht="18" customHeight="1">
      <c r="A68" s="4"/>
      <c r="B68" s="9"/>
      <c r="C68" s="4"/>
      <c r="D68" s="4"/>
      <c r="E68" s="4"/>
      <c r="F68" s="4"/>
      <c r="G68" s="4"/>
      <c r="H68" s="4"/>
      <c r="I68" s="4"/>
      <c r="J68" s="15"/>
      <c r="K68" s="15"/>
      <c r="L68" s="15"/>
      <c r="M68" s="15"/>
      <c r="N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X68" s="49" t="s">
        <v>177</v>
      </c>
      <c r="AY68" t="str">
        <f>konkurs2!$S$16</f>
        <v/>
      </c>
      <c r="AZ68" t="str">
        <f>konkurs2!$AM$16</f>
        <v/>
      </c>
      <c r="BA68" t="str">
        <f>konkurs2!$G$16</f>
        <v/>
      </c>
      <c r="BB68" t="str">
        <f>konkurs2!$O$16</f>
        <v/>
      </c>
      <c r="BC68" t="str">
        <f>konkurs2!$AE$16</f>
        <v/>
      </c>
      <c r="BD68" t="str">
        <f>konkurs2!$AA$16</f>
        <v/>
      </c>
      <c r="BE68" t="str">
        <f>konkurs2!$AU$16</f>
        <v/>
      </c>
      <c r="BF68" t="str">
        <f>konkurs2!$AQ$16</f>
        <v/>
      </c>
      <c r="BG68" s="50" t="str">
        <f>konkurs2!$C$16</f>
        <v/>
      </c>
      <c r="BH68" s="50" t="str">
        <f>konkurs2!$K$16</f>
        <v/>
      </c>
      <c r="BI68" s="50" t="str">
        <f>konkurs2!$W$16</f>
        <v/>
      </c>
      <c r="BJ68" s="50" t="str">
        <f>konkurs2!$AI$16</f>
        <v/>
      </c>
    </row>
    <row r="69" spans="1:62" ht="18" customHeight="1">
      <c r="A69" s="4"/>
      <c r="B69" s="9"/>
      <c r="C69" s="62"/>
      <c r="D69" s="62"/>
      <c r="E69" s="62"/>
      <c r="F69" s="62"/>
      <c r="G69" s="55" t="s">
        <v>175</v>
      </c>
      <c r="H69" s="79" t="e">
        <f>M69+U69+M72</f>
        <v>#N/A</v>
      </c>
      <c r="I69" s="62"/>
      <c r="J69" s="63"/>
      <c r="K69" s="63"/>
      <c r="L69" s="63"/>
      <c r="M69" s="9" t="e">
        <f>LOOKUP(N69,wyniki!$AX$7:$BC$54)</f>
        <v>#N/A</v>
      </c>
      <c r="N69" s="82" t="str">
        <f>IF(M65="","",IF(M65=2,N65,K65))</f>
        <v/>
      </c>
      <c r="O69" s="83"/>
      <c r="P69" s="77"/>
      <c r="Q69" s="102" t="str">
        <f>IF(P69="","",IF(P69-R69=0,"K",""))</f>
        <v/>
      </c>
      <c r="R69" s="77"/>
      <c r="S69" s="84" t="str">
        <f>IF(U65="","",IF(U65=2,V65,S65))</f>
        <v/>
      </c>
      <c r="T69" s="85"/>
      <c r="U69" s="9" t="e">
        <f>LOOKUP(S69,wyniki!$AX$7:$BC$54)</f>
        <v>#N/A</v>
      </c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X69" s="49" t="s">
        <v>179</v>
      </c>
      <c r="AY69" t="str">
        <f>konkurs2!$S$16</f>
        <v/>
      </c>
      <c r="AZ69" t="str">
        <f>konkurs2!$AA$16</f>
        <v/>
      </c>
      <c r="BA69" t="str">
        <f>konkurs2!$G$16</f>
        <v/>
      </c>
      <c r="BB69" t="str">
        <f>konkurs2!$O$16</f>
        <v/>
      </c>
      <c r="BC69" t="str">
        <f>konkurs2!$AI$16</f>
        <v/>
      </c>
      <c r="BD69" t="str">
        <f>konkurs2!$AE$16</f>
        <v/>
      </c>
      <c r="BE69" t="str">
        <f>konkurs2!$AU$16</f>
        <v/>
      </c>
      <c r="BF69" t="str">
        <f>konkurs2!$AQ$16</f>
        <v/>
      </c>
      <c r="BG69" s="50" t="str">
        <f>konkurs2!$C$16</f>
        <v/>
      </c>
      <c r="BH69" s="50" t="str">
        <f>konkurs2!$K$16</f>
        <v/>
      </c>
      <c r="BI69" s="50" t="str">
        <f>konkurs2!$W$16</f>
        <v/>
      </c>
      <c r="BJ69" s="50" t="str">
        <f>konkurs2!$AM$16</f>
        <v/>
      </c>
    </row>
    <row r="70" spans="1:62" ht="18" customHeight="1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N70" s="4"/>
      <c r="O70" s="4" t="str">
        <f>IF(P69="","",IF(P69-R69&lt;&gt;0,"","Wskazales remis, zdecyduj kto wygra karne w finale, wstawiajac 1 lub 2 w szarym polu oznaczonym litera K"))</f>
        <v/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X70" s="49" t="s">
        <v>180</v>
      </c>
      <c r="AY70" t="str">
        <f>konkurs2!$S$16</f>
        <v/>
      </c>
      <c r="AZ70" t="str">
        <f>konkurs2!$AM$16</f>
        <v/>
      </c>
      <c r="BA70" t="str">
        <f>konkurs2!$G$16</f>
        <v/>
      </c>
      <c r="BB70" t="str">
        <f>konkurs2!$O$16</f>
        <v/>
      </c>
      <c r="BC70" t="str">
        <f>konkurs2!$AE$16</f>
        <v/>
      </c>
      <c r="BD70" t="str">
        <f>konkurs2!$AA$16</f>
        <v/>
      </c>
      <c r="BE70" t="str">
        <f>konkurs2!$AU$16</f>
        <v/>
      </c>
      <c r="BF70" t="str">
        <f>konkurs2!$AI$16</f>
        <v/>
      </c>
      <c r="BG70" s="50" t="str">
        <f>konkurs2!$C$16</f>
        <v/>
      </c>
      <c r="BH70" s="50" t="str">
        <f>konkurs2!$K$16</f>
        <v/>
      </c>
      <c r="BI70" s="50" t="str">
        <f>konkurs2!$W$16</f>
        <v/>
      </c>
      <c r="BJ70" s="50" t="str">
        <f>konkurs2!$AQ$16</f>
        <v/>
      </c>
    </row>
    <row r="71" spans="1:62" s="73" customFormat="1" ht="26.25">
      <c r="A71" s="69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1"/>
      <c r="N71" s="4"/>
      <c r="O71" s="104" t="s">
        <v>617</v>
      </c>
      <c r="P71" s="104"/>
      <c r="Q71" s="104"/>
      <c r="R71" s="104"/>
      <c r="S71" s="104"/>
      <c r="T71" s="69"/>
      <c r="U71" s="69"/>
      <c r="V71" s="69"/>
      <c r="AX71" s="49" t="s">
        <v>181</v>
      </c>
      <c r="AY71" t="str">
        <f>konkurs2!$S$16</f>
        <v/>
      </c>
      <c r="AZ71" t="str">
        <f>konkurs2!$AM$16</f>
        <v/>
      </c>
      <c r="BA71" t="str">
        <f>konkurs2!$G$16</f>
        <v/>
      </c>
      <c r="BB71" t="str">
        <f>konkurs2!$O$16</f>
        <v/>
      </c>
      <c r="BC71" t="str">
        <f>konkurs2!$AE$16</f>
        <v/>
      </c>
      <c r="BD71" t="str">
        <f>konkurs2!$AA$16</f>
        <v/>
      </c>
      <c r="BE71" t="str">
        <f>konkurs2!$AI$16</f>
        <v/>
      </c>
      <c r="BF71" t="str">
        <f>konkurs2!$AQ$16</f>
        <v/>
      </c>
      <c r="BG71" s="50" t="str">
        <f>konkurs2!$C$16</f>
        <v/>
      </c>
      <c r="BH71" s="50" t="str">
        <f>konkurs2!$K$16</f>
        <v/>
      </c>
      <c r="BI71" s="50" t="str">
        <f>konkurs2!$W$16</f>
        <v/>
      </c>
      <c r="BJ71" s="50" t="str">
        <f>konkurs2!$AU$16</f>
        <v/>
      </c>
    </row>
    <row r="72" spans="1:62" ht="26.25">
      <c r="A72" s="4"/>
      <c r="B72" s="70"/>
      <c r="C72" s="71"/>
      <c r="D72" s="71"/>
      <c r="E72" s="72" t="s">
        <v>178</v>
      </c>
      <c r="F72" s="72"/>
      <c r="G72" s="72"/>
      <c r="H72" s="80" t="e">
        <f>H19+H37+H49+H59+H65+H69</f>
        <v>#N/A</v>
      </c>
      <c r="I72" s="71"/>
      <c r="J72" s="71"/>
      <c r="K72" s="71"/>
      <c r="L72" s="69"/>
      <c r="M72" s="9" t="e">
        <f>LOOKUP(O72,wyniki!$AX$7:$BD$54)</f>
        <v>#N/A</v>
      </c>
      <c r="N72" s="69"/>
      <c r="O72" s="103" t="str">
        <f>IF(P69="","",IF(P69-R69=0,IF(Q69=1,N69,S69),IF(P69-R69&gt;0,N69,S69)))</f>
        <v/>
      </c>
      <c r="P72" s="103"/>
      <c r="Q72" s="103"/>
      <c r="R72" s="103"/>
      <c r="S72" s="103"/>
      <c r="T72" s="7"/>
      <c r="U72" s="7"/>
      <c r="V72" s="7"/>
      <c r="AX72" s="49" t="s">
        <v>182</v>
      </c>
      <c r="AY72" t="str">
        <f>konkurs2!$S$16</f>
        <v/>
      </c>
      <c r="AZ72" t="str">
        <f>konkurs2!$AM$16</f>
        <v/>
      </c>
      <c r="BA72" t="str">
        <f>konkurs2!$G$16</f>
        <v/>
      </c>
      <c r="BB72" t="str">
        <f>konkurs2!$O$16</f>
        <v/>
      </c>
      <c r="BC72" t="str">
        <f>konkurs2!$AI$16</f>
        <v/>
      </c>
      <c r="BD72" t="str">
        <f>konkurs2!$W$16</f>
        <v/>
      </c>
      <c r="BE72" t="str">
        <f>konkurs2!$AU$16</f>
        <v/>
      </c>
      <c r="BF72" t="str">
        <f>konkurs2!$AQ$16</f>
        <v/>
      </c>
      <c r="BG72" s="50" t="str">
        <f>konkurs2!$C$16</f>
        <v/>
      </c>
      <c r="BH72" s="50" t="str">
        <f>konkurs2!$K$16</f>
        <v/>
      </c>
      <c r="BI72" s="50" t="str">
        <f>konkurs2!$AA$16</f>
        <v/>
      </c>
      <c r="BJ72" s="50" t="str">
        <f>konkurs2!$AE$16</f>
        <v/>
      </c>
    </row>
    <row r="73" spans="1:62" ht="18" customHeight="1">
      <c r="A73" s="4"/>
      <c r="B73" s="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AX73" s="49" t="s">
        <v>183</v>
      </c>
      <c r="AY73" t="str">
        <f>konkurs2!$S$16</f>
        <v/>
      </c>
      <c r="AZ73" t="str">
        <f>konkurs2!$AM$16</f>
        <v/>
      </c>
      <c r="BA73" t="str">
        <f>konkurs2!$G$16</f>
        <v/>
      </c>
      <c r="BB73" t="str">
        <f>konkurs2!$O$16</f>
        <v/>
      </c>
      <c r="BC73" t="str">
        <f>konkurs2!$AE$16</f>
        <v/>
      </c>
      <c r="BD73" t="str">
        <f>konkurs2!$W$16</f>
        <v/>
      </c>
      <c r="BE73" t="str">
        <f>konkurs2!$AU$16</f>
        <v/>
      </c>
      <c r="BF73" t="str">
        <f>konkurs2!$AQ$16</f>
        <v/>
      </c>
      <c r="BG73" s="50" t="str">
        <f>konkurs2!$C$16</f>
        <v/>
      </c>
      <c r="BH73" s="50" t="str">
        <f>konkurs2!$K$16</f>
        <v/>
      </c>
      <c r="BI73" s="50" t="str">
        <f>konkurs2!$AA$16</f>
        <v/>
      </c>
      <c r="BJ73" s="50" t="str">
        <f>konkurs2!$AI$16</f>
        <v/>
      </c>
    </row>
    <row r="74" spans="1:62" ht="18" customHeight="1">
      <c r="A74" s="4"/>
      <c r="B74" s="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AX74" s="49" t="s">
        <v>184</v>
      </c>
      <c r="AY74" t="str">
        <f>konkurs2!$S$16</f>
        <v/>
      </c>
      <c r="AZ74" t="str">
        <f>konkurs2!$AI$16</f>
        <v/>
      </c>
      <c r="BA74" t="str">
        <f>konkurs2!$G$16</f>
        <v/>
      </c>
      <c r="BB74" t="str">
        <f>konkurs2!$O$16</f>
        <v/>
      </c>
      <c r="BC74" t="str">
        <f>konkurs2!$AE$16</f>
        <v/>
      </c>
      <c r="BD74" t="str">
        <f>konkurs2!$W$16</f>
        <v/>
      </c>
      <c r="BE74" t="str">
        <f>konkurs2!$AU$16</f>
        <v/>
      </c>
      <c r="BF74" t="str">
        <f>konkurs2!$AQ$16</f>
        <v/>
      </c>
      <c r="BG74" s="50" t="str">
        <f>konkurs2!$C$16</f>
        <v/>
      </c>
      <c r="BH74" s="50" t="str">
        <f>konkurs2!$K$16</f>
        <v/>
      </c>
      <c r="BI74" s="50" t="str">
        <f>konkurs2!$AA$16</f>
        <v/>
      </c>
      <c r="BJ74" s="50" t="str">
        <f>konkurs2!$AM$16</f>
        <v/>
      </c>
    </row>
    <row r="75" spans="1:62" ht="18" customHeight="1">
      <c r="A75" s="4"/>
      <c r="B75" s="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AX75" s="49" t="s">
        <v>185</v>
      </c>
      <c r="AY75" t="str">
        <f>konkurs2!$S$16</f>
        <v/>
      </c>
      <c r="AZ75" t="str">
        <f>konkurs2!$AM$16</f>
        <v/>
      </c>
      <c r="BA75" t="str">
        <f>konkurs2!$G$16</f>
        <v/>
      </c>
      <c r="BB75" t="str">
        <f>konkurs2!$O$16</f>
        <v/>
      </c>
      <c r="BC75" t="str">
        <f>konkurs2!$AE$16</f>
        <v/>
      </c>
      <c r="BD75" t="str">
        <f>konkurs2!$W$16</f>
        <v/>
      </c>
      <c r="BE75" t="str">
        <f>konkurs2!$AU$16</f>
        <v/>
      </c>
      <c r="BF75" t="str">
        <f>konkurs2!$AI$16</f>
        <v/>
      </c>
      <c r="BG75" s="50" t="str">
        <f>konkurs2!$C$16</f>
        <v/>
      </c>
      <c r="BH75" s="50" t="str">
        <f>konkurs2!$K$16</f>
        <v/>
      </c>
      <c r="BI75" s="50" t="str">
        <f>konkurs2!$AA$16</f>
        <v/>
      </c>
      <c r="BJ75" s="50" t="str">
        <f>konkurs2!$AQ$16</f>
        <v/>
      </c>
    </row>
    <row r="76" spans="1:62" ht="18" customHeight="1">
      <c r="A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AX76" s="49" t="s">
        <v>186</v>
      </c>
      <c r="AY76" t="str">
        <f>konkurs2!$S$16</f>
        <v/>
      </c>
      <c r="AZ76" t="str">
        <f>konkurs2!$AM$16</f>
        <v/>
      </c>
      <c r="BA76" t="str">
        <f>konkurs2!$G$16</f>
        <v/>
      </c>
      <c r="BB76" t="str">
        <f>konkurs2!$O$16</f>
        <v/>
      </c>
      <c r="BC76" t="str">
        <f>konkurs2!$AE$16</f>
        <v/>
      </c>
      <c r="BD76" t="str">
        <f>konkurs2!$W$16</f>
        <v/>
      </c>
      <c r="BE76" t="str">
        <f>konkurs2!$AI$16</f>
        <v/>
      </c>
      <c r="BF76" t="str">
        <f>konkurs2!$AQ$16</f>
        <v/>
      </c>
      <c r="BG76" s="50" t="str">
        <f>konkurs2!$C$16</f>
        <v/>
      </c>
      <c r="BH76" s="50" t="str">
        <f>konkurs2!$K$16</f>
        <v/>
      </c>
      <c r="BI76" s="50" t="str">
        <f>konkurs2!$AA$16</f>
        <v/>
      </c>
      <c r="BJ76" s="50" t="str">
        <f>konkurs2!$AU$16</f>
        <v/>
      </c>
    </row>
    <row r="77" spans="1:62" ht="18" customHeight="1">
      <c r="A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AX77" s="49" t="s">
        <v>187</v>
      </c>
      <c r="AY77" t="str">
        <f>konkurs2!$S$16</f>
        <v/>
      </c>
      <c r="AZ77" t="str">
        <f>konkurs2!$AA$16</f>
        <v/>
      </c>
      <c r="BA77" t="str">
        <f>konkurs2!$G$16</f>
        <v/>
      </c>
      <c r="BB77" t="str">
        <f>konkurs2!$O$16</f>
        <v/>
      </c>
      <c r="BC77" t="str">
        <f>konkurs2!$AM$16</f>
        <v/>
      </c>
      <c r="BD77" t="str">
        <f>konkurs2!$W$16</f>
        <v/>
      </c>
      <c r="BE77" t="str">
        <f>konkurs2!$AU$16</f>
        <v/>
      </c>
      <c r="BF77" t="str">
        <f>konkurs2!$AQ$16</f>
        <v/>
      </c>
      <c r="BG77" s="50" t="str">
        <f>konkurs2!$C$16</f>
        <v/>
      </c>
      <c r="BH77" s="50" t="str">
        <f>konkurs2!$K$16</f>
        <v/>
      </c>
      <c r="BI77" s="50" t="str">
        <f>konkurs2!$AE$16</f>
        <v/>
      </c>
      <c r="BJ77" s="50" t="str">
        <f>konkurs2!$AI$16</f>
        <v/>
      </c>
    </row>
    <row r="78" spans="1:62" ht="18" customHeight="1">
      <c r="A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AX78" s="49" t="s">
        <v>188</v>
      </c>
      <c r="AY78" t="str">
        <f>konkurs2!$S$16</f>
        <v/>
      </c>
      <c r="AZ78" t="str">
        <f>konkurs2!$AA$16</f>
        <v/>
      </c>
      <c r="BA78" t="str">
        <f>konkurs2!$G$16</f>
        <v/>
      </c>
      <c r="BB78" t="str">
        <f>konkurs2!$O$16</f>
        <v/>
      </c>
      <c r="BC78" t="str">
        <f>konkurs2!$AI$16</f>
        <v/>
      </c>
      <c r="BD78" t="str">
        <f>konkurs2!$W$16</f>
        <v/>
      </c>
      <c r="BE78" t="str">
        <f>konkurs2!$AU$16</f>
        <v/>
      </c>
      <c r="BF78" t="str">
        <f>konkurs2!$AQ$16</f>
        <v/>
      </c>
      <c r="BG78" s="50" t="str">
        <f>konkurs2!$C$16</f>
        <v/>
      </c>
      <c r="BH78" s="50" t="str">
        <f>konkurs2!$K$16</f>
        <v/>
      </c>
      <c r="BI78" s="50" t="str">
        <f>konkurs2!$AE$16</f>
        <v/>
      </c>
      <c r="BJ78" s="50" t="str">
        <f>konkurs2!$AM$16</f>
        <v/>
      </c>
    </row>
    <row r="79" spans="1:62" ht="18" customHeight="1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AX79" s="49" t="s">
        <v>189</v>
      </c>
      <c r="AY79" t="str">
        <f>konkurs2!$S$16</f>
        <v/>
      </c>
      <c r="AZ79" t="str">
        <f>konkurs2!$AA$16</f>
        <v/>
      </c>
      <c r="BA79" t="str">
        <f>konkurs2!$G$16</f>
        <v/>
      </c>
      <c r="BB79" t="str">
        <f>konkurs2!$O$16</f>
        <v/>
      </c>
      <c r="BC79" t="str">
        <f>konkurs2!$AM$16</f>
        <v/>
      </c>
      <c r="BD79" t="str">
        <f>konkurs2!$W$16</f>
        <v/>
      </c>
      <c r="BE79" t="str">
        <f>konkurs2!$AU$16</f>
        <v/>
      </c>
      <c r="BF79" t="str">
        <f>konkurs2!$AI$16</f>
        <v/>
      </c>
      <c r="BG79" s="50" t="str">
        <f>konkurs2!$C$16</f>
        <v/>
      </c>
      <c r="BH79" s="50" t="str">
        <f>konkurs2!$K$16</f>
        <v/>
      </c>
      <c r="BI79" s="50" t="str">
        <f>konkurs2!$AE$16</f>
        <v/>
      </c>
      <c r="BJ79" s="50" t="str">
        <f>konkurs2!$AQ$16</f>
        <v/>
      </c>
    </row>
    <row r="80" spans="1:62" ht="18" customHeight="1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AX80" s="49" t="s">
        <v>190</v>
      </c>
      <c r="AY80" t="str">
        <f>konkurs2!$S$16</f>
        <v/>
      </c>
      <c r="AZ80" t="str">
        <f>konkurs2!$AA$16</f>
        <v/>
      </c>
      <c r="BA80" t="str">
        <f>konkurs2!$G$16</f>
        <v/>
      </c>
      <c r="BB80" t="str">
        <f>konkurs2!$O$16</f>
        <v/>
      </c>
      <c r="BC80" t="str">
        <f>konkurs2!$AM$16</f>
        <v/>
      </c>
      <c r="BD80" t="str">
        <f>konkurs2!$W$16</f>
        <v/>
      </c>
      <c r="BE80" t="str">
        <f>konkurs2!$AI$16</f>
        <v/>
      </c>
      <c r="BF80" t="str">
        <f>konkurs2!$AQ$16</f>
        <v/>
      </c>
      <c r="BG80" s="50" t="str">
        <f>konkurs2!$C$16</f>
        <v/>
      </c>
      <c r="BH80" s="50" t="str">
        <f>konkurs2!$K$16</f>
        <v/>
      </c>
      <c r="BI80" s="50" t="str">
        <f>konkurs2!$AE$16</f>
        <v/>
      </c>
      <c r="BJ80" s="50" t="str">
        <f>konkurs2!$AU$16</f>
        <v/>
      </c>
    </row>
    <row r="81" spans="2:62" ht="18" customHeight="1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AX81" s="49" t="s">
        <v>191</v>
      </c>
      <c r="AY81" t="str">
        <f>konkurs2!$S$16</f>
        <v/>
      </c>
      <c r="AZ81" t="str">
        <f>konkurs2!$AA$16</f>
        <v/>
      </c>
      <c r="BA81" t="str">
        <f>konkurs2!$G$16</f>
        <v/>
      </c>
      <c r="BB81" t="str">
        <f>konkurs2!$O$16</f>
        <v/>
      </c>
      <c r="BC81" t="str">
        <f>konkurs2!$AE$16</f>
        <v/>
      </c>
      <c r="BD81" t="str">
        <f>konkurs2!$W$16</f>
        <v/>
      </c>
      <c r="BE81" t="str">
        <f>konkurs2!$AU$16</f>
        <v/>
      </c>
      <c r="BF81" t="str">
        <f>konkurs2!$AQ$16</f>
        <v/>
      </c>
      <c r="BG81" s="50" t="str">
        <f>konkurs2!$C$16</f>
        <v/>
      </c>
      <c r="BH81" s="50" t="str">
        <f>konkurs2!$K$16</f>
        <v/>
      </c>
      <c r="BI81" s="50" t="str">
        <f>konkurs2!$AI$16</f>
        <v/>
      </c>
      <c r="BJ81" s="50" t="str">
        <f>konkurs2!$AM$16</f>
        <v/>
      </c>
    </row>
    <row r="82" spans="2:62" ht="18" customHeight="1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AX82" s="49" t="s">
        <v>192</v>
      </c>
      <c r="AY82" t="str">
        <f>konkurs2!$AE$16</f>
        <v/>
      </c>
      <c r="AZ82" t="str">
        <f>konkurs2!$AA$16</f>
        <v/>
      </c>
      <c r="BA82" t="str">
        <f>konkurs2!$G$16</f>
        <v/>
      </c>
      <c r="BB82" t="str">
        <f>konkurs2!$O$16</f>
        <v/>
      </c>
      <c r="BC82" t="str">
        <f>konkurs2!$AM$16</f>
        <v/>
      </c>
      <c r="BD82" t="str">
        <f>konkurs2!$W$16</f>
        <v/>
      </c>
      <c r="BE82" t="str">
        <f>konkurs2!$AU$16</f>
        <v/>
      </c>
      <c r="BF82" t="str">
        <f>konkurs2!$S$16</f>
        <v/>
      </c>
      <c r="BG82" s="50" t="str">
        <f>konkurs2!$C$16</f>
        <v/>
      </c>
      <c r="BH82" s="50" t="str">
        <f>konkurs2!$K$16</f>
        <v/>
      </c>
      <c r="BI82" s="50" t="str">
        <f>konkurs2!$AI$16</f>
        <v/>
      </c>
      <c r="BJ82" s="50" t="str">
        <f>konkurs2!$AQ$16</f>
        <v/>
      </c>
    </row>
    <row r="83" spans="2:62" ht="18" customHeight="1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AX83" s="49" t="s">
        <v>193</v>
      </c>
      <c r="AY83" t="str">
        <f>konkurs2!$AE$16</f>
        <v/>
      </c>
      <c r="AZ83" t="str">
        <f>konkurs2!$AA$16</f>
        <v/>
      </c>
      <c r="BA83" t="str">
        <f>konkurs2!$G$16</f>
        <v/>
      </c>
      <c r="BB83" t="str">
        <f>konkurs2!$O$16</f>
        <v/>
      </c>
      <c r="BC83" t="str">
        <f>konkurs2!$AM$16</f>
        <v/>
      </c>
      <c r="BD83" t="str">
        <f>konkurs2!$W$16</f>
        <v/>
      </c>
      <c r="BE83" t="str">
        <f>konkurs2!$S$16</f>
        <v/>
      </c>
      <c r="BF83" t="str">
        <f>konkurs2!$AQ$16</f>
        <v/>
      </c>
      <c r="BG83" s="50" t="str">
        <f>konkurs2!$C$16</f>
        <v/>
      </c>
      <c r="BH83" s="50" t="str">
        <f>konkurs2!$K$16</f>
        <v/>
      </c>
      <c r="BI83" s="50" t="str">
        <f>konkurs2!$AI$16</f>
        <v/>
      </c>
      <c r="BJ83" s="50" t="str">
        <f>konkurs2!$AU$16</f>
        <v/>
      </c>
    </row>
    <row r="84" spans="2:62" ht="18" customHeight="1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AX84" s="49" t="s">
        <v>194</v>
      </c>
      <c r="AY84" t="str">
        <f>konkurs2!$S$16</f>
        <v/>
      </c>
      <c r="AZ84" t="str">
        <f>konkurs2!$AA$16</f>
        <v/>
      </c>
      <c r="BA84" t="str">
        <f>konkurs2!$G$16</f>
        <v/>
      </c>
      <c r="BB84" t="str">
        <f>konkurs2!$O$16</f>
        <v/>
      </c>
      <c r="BC84" t="str">
        <f>konkurs2!$AE$16</f>
        <v/>
      </c>
      <c r="BD84" t="str">
        <f>konkurs2!$W$16</f>
        <v/>
      </c>
      <c r="BE84" t="str">
        <f>konkurs2!$AU$16</f>
        <v/>
      </c>
      <c r="BF84" t="str">
        <f>konkurs2!$AI$16</f>
        <v/>
      </c>
      <c r="BG84" s="50" t="str">
        <f>konkurs2!$C$16</f>
        <v/>
      </c>
      <c r="BH84" s="50" t="str">
        <f>konkurs2!$K$16</f>
        <v/>
      </c>
      <c r="BI84" s="50" t="str">
        <f>konkurs2!$AM$16</f>
        <v/>
      </c>
      <c r="BJ84" s="50" t="str">
        <f>konkurs2!$AQ$16</f>
        <v/>
      </c>
    </row>
    <row r="85" spans="2:62" ht="18" customHeight="1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AX85" s="49" t="s">
        <v>195</v>
      </c>
      <c r="AY85" t="str">
        <f>konkurs2!$S$16</f>
        <v/>
      </c>
      <c r="AZ85" t="str">
        <f>konkurs2!$AA$16</f>
        <v/>
      </c>
      <c r="BA85" t="str">
        <f>konkurs2!$G$16</f>
        <v/>
      </c>
      <c r="BB85" t="str">
        <f>konkurs2!$O$16</f>
        <v/>
      </c>
      <c r="BC85" t="str">
        <f>konkurs2!$AE$16</f>
        <v/>
      </c>
      <c r="BD85" t="str">
        <f>konkurs2!$W$16</f>
        <v/>
      </c>
      <c r="BE85" t="str">
        <f>konkurs2!$AI$16</f>
        <v/>
      </c>
      <c r="BF85" t="str">
        <f>konkurs2!$AQ$16</f>
        <v/>
      </c>
      <c r="BG85" s="50" t="str">
        <f>konkurs2!$C$16</f>
        <v/>
      </c>
      <c r="BH85" s="50" t="str">
        <f>konkurs2!$K$16</f>
        <v/>
      </c>
      <c r="BI85" s="50" t="str">
        <f>konkurs2!$AM$16</f>
        <v/>
      </c>
      <c r="BJ85" s="50" t="str">
        <f>konkurs2!$AU$16</f>
        <v/>
      </c>
    </row>
    <row r="86" spans="2:62" ht="18" customHeight="1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AX86" s="49" t="s">
        <v>196</v>
      </c>
      <c r="AY86" t="str">
        <f>konkurs2!$AE$16</f>
        <v/>
      </c>
      <c r="AZ86" t="str">
        <f>konkurs2!$AA$16</f>
        <v/>
      </c>
      <c r="BA86" t="str">
        <f>konkurs2!$G$16</f>
        <v/>
      </c>
      <c r="BB86" t="str">
        <f>konkurs2!$O$16</f>
        <v/>
      </c>
      <c r="BC86" t="str">
        <f>konkurs2!$AM$16</f>
        <v/>
      </c>
      <c r="BD86" t="str">
        <f>konkurs2!$W$16</f>
        <v/>
      </c>
      <c r="BE86" t="str">
        <f>konkurs2!$S$16</f>
        <v/>
      </c>
      <c r="BF86" t="str">
        <f>konkurs2!$AI$16</f>
        <v/>
      </c>
      <c r="BG86" s="50" t="str">
        <f>konkurs2!$C$16</f>
        <v/>
      </c>
      <c r="BH86" s="50" t="str">
        <f>konkurs2!$K$16</f>
        <v/>
      </c>
      <c r="BI86" s="50" t="str">
        <f>konkurs2!$AQ$16</f>
        <v/>
      </c>
      <c r="BJ86" s="50" t="str">
        <f>konkurs2!$AU$16</f>
        <v/>
      </c>
    </row>
    <row r="87" spans="2:62" ht="18" customHeight="1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AX87" s="49" t="s">
        <v>197</v>
      </c>
      <c r="AY87" t="str">
        <f>konkurs2!$AE$16</f>
        <v/>
      </c>
      <c r="AZ87" t="str">
        <f>konkurs2!$AM$16</f>
        <v/>
      </c>
      <c r="BA87" t="str">
        <f>konkurs2!$G$16</f>
        <v/>
      </c>
      <c r="BB87" t="str">
        <f>konkurs2!$K$16</f>
        <v/>
      </c>
      <c r="BC87" t="str">
        <f>konkurs2!$AI$16</f>
        <v/>
      </c>
      <c r="BD87" t="str">
        <f>konkurs2!$AA$16</f>
        <v/>
      </c>
      <c r="BE87" t="str">
        <f>konkurs2!$AU$16</f>
        <v/>
      </c>
      <c r="BF87" t="str">
        <f>konkurs2!$AQ$16</f>
        <v/>
      </c>
      <c r="BG87" s="50" t="str">
        <f>konkurs2!$C$16</f>
        <v/>
      </c>
      <c r="BH87" s="50" t="str">
        <f>konkurs2!$O$16</f>
        <v/>
      </c>
      <c r="BI87" s="50" t="str">
        <f>konkurs2!$S$16</f>
        <v/>
      </c>
      <c r="BJ87" s="50" t="str">
        <f>konkurs2!$W$16</f>
        <v/>
      </c>
    </row>
    <row r="88" spans="2:62" ht="18" customHeight="1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AX88" s="49" t="s">
        <v>198</v>
      </c>
      <c r="AY88" t="str">
        <f>konkurs2!$AE$16</f>
        <v/>
      </c>
      <c r="AZ88" t="str">
        <f>konkurs2!$AM$16</f>
        <v/>
      </c>
      <c r="BA88" t="str">
        <f>konkurs2!$G$16</f>
        <v/>
      </c>
      <c r="BB88" t="str">
        <f>konkurs2!$K$16</f>
        <v/>
      </c>
      <c r="BC88" t="str">
        <f>konkurs2!$AI$16</f>
        <v/>
      </c>
      <c r="BD88" t="str">
        <f>konkurs2!$W$16</f>
        <v/>
      </c>
      <c r="BE88" t="str">
        <f>konkurs2!$AU$16</f>
        <v/>
      </c>
      <c r="BF88" t="str">
        <f>konkurs2!$AQ$16</f>
        <v/>
      </c>
      <c r="BG88" s="50" t="str">
        <f>konkurs2!$C$16</f>
        <v/>
      </c>
      <c r="BH88" s="50" t="str">
        <f>konkurs2!$O$16</f>
        <v/>
      </c>
      <c r="BI88" s="50" t="str">
        <f>konkurs2!$S$16</f>
        <v/>
      </c>
      <c r="BJ88" s="50" t="str">
        <f>konkurs2!$AA$16</f>
        <v/>
      </c>
    </row>
    <row r="89" spans="2:62" ht="18" customHeight="1"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AX89" s="49" t="s">
        <v>199</v>
      </c>
      <c r="AY89" t="str">
        <f>konkurs2!$AI$16</f>
        <v/>
      </c>
      <c r="AZ89" t="str">
        <f>konkurs2!$AA$16</f>
        <v/>
      </c>
      <c r="BA89" t="str">
        <f>konkurs2!$G$16</f>
        <v/>
      </c>
      <c r="BB89" t="str">
        <f>konkurs2!$K$16</f>
        <v/>
      </c>
      <c r="BC89" t="str">
        <f>konkurs2!$AM$16</f>
        <v/>
      </c>
      <c r="BD89" t="str">
        <f>konkurs2!$W$16</f>
        <v/>
      </c>
      <c r="BE89" t="str">
        <f>konkurs2!$AU$16</f>
        <v/>
      </c>
      <c r="BF89" t="str">
        <f>konkurs2!$AQ$16</f>
        <v/>
      </c>
      <c r="BG89" s="50" t="str">
        <f>konkurs2!$C$16</f>
        <v/>
      </c>
      <c r="BH89" s="50" t="str">
        <f>konkurs2!$O$16</f>
        <v/>
      </c>
      <c r="BI89" s="50" t="str">
        <f>konkurs2!$S$16</f>
        <v/>
      </c>
      <c r="BJ89" s="50" t="str">
        <f>konkurs2!$AE$16</f>
        <v/>
      </c>
    </row>
    <row r="90" spans="2:62" ht="18" customHeight="1"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AX90" s="49" t="s">
        <v>200</v>
      </c>
      <c r="AY90" t="str">
        <f>konkurs2!$AE$16</f>
        <v/>
      </c>
      <c r="AZ90" t="str">
        <f>konkurs2!$AA$16</f>
        <v/>
      </c>
      <c r="BA90" t="str">
        <f>konkurs2!$G$16</f>
        <v/>
      </c>
      <c r="BB90" t="str">
        <f>konkurs2!$K$16</f>
        <v/>
      </c>
      <c r="BC90" t="str">
        <f>konkurs2!$AM$16</f>
        <v/>
      </c>
      <c r="BD90" t="str">
        <f>konkurs2!$W$16</f>
        <v/>
      </c>
      <c r="BE90" t="str">
        <f>konkurs2!$AU$16</f>
        <v/>
      </c>
      <c r="BF90" t="str">
        <f>konkurs2!$AQ$16</f>
        <v/>
      </c>
      <c r="BG90" s="50" t="str">
        <f>konkurs2!$C$16</f>
        <v/>
      </c>
      <c r="BH90" s="50" t="str">
        <f>konkurs2!$O$16</f>
        <v/>
      </c>
      <c r="BI90" s="50" t="str">
        <f>konkurs2!$S$16</f>
        <v/>
      </c>
      <c r="BJ90" s="50" t="str">
        <f>konkurs2!$AI$16</f>
        <v/>
      </c>
    </row>
    <row r="91" spans="2:62" ht="18" customHeight="1">
      <c r="B91" s="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AX91" s="49" t="s">
        <v>201</v>
      </c>
      <c r="AY91" t="str">
        <f>konkurs2!$AE$16</f>
        <v/>
      </c>
      <c r="AZ91" t="str">
        <f>konkurs2!$AA$16</f>
        <v/>
      </c>
      <c r="BA91" t="str">
        <f>konkurs2!$G$16</f>
        <v/>
      </c>
      <c r="BB91" t="str">
        <f>konkurs2!$K$16</f>
        <v/>
      </c>
      <c r="BC91" t="str">
        <f>konkurs2!$AI$16</f>
        <v/>
      </c>
      <c r="BD91" t="str">
        <f>konkurs2!$W$16</f>
        <v/>
      </c>
      <c r="BE91" t="str">
        <f>konkurs2!$AU$16</f>
        <v/>
      </c>
      <c r="BF91" t="str">
        <f>konkurs2!$AQ$16</f>
        <v/>
      </c>
      <c r="BG91" s="50" t="str">
        <f>konkurs2!$C$16</f>
        <v/>
      </c>
      <c r="BH91" s="50" t="str">
        <f>konkurs2!$O$16</f>
        <v/>
      </c>
      <c r="BI91" s="50" t="str">
        <f>konkurs2!$S$16</f>
        <v/>
      </c>
      <c r="BJ91" s="50" t="str">
        <f>konkurs2!$AM$16</f>
        <v/>
      </c>
    </row>
    <row r="92" spans="2:62" ht="18" customHeight="1">
      <c r="B92" s="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AX92" s="49" t="s">
        <v>202</v>
      </c>
      <c r="AY92" t="str">
        <f>konkurs2!$AE$16</f>
        <v/>
      </c>
      <c r="AZ92" t="str">
        <f>konkurs2!$AA$16</f>
        <v/>
      </c>
      <c r="BA92" t="str">
        <f>konkurs2!$G$16</f>
        <v/>
      </c>
      <c r="BB92" t="str">
        <f>konkurs2!$K$16</f>
        <v/>
      </c>
      <c r="BC92" t="str">
        <f>konkurs2!$AM$16</f>
        <v/>
      </c>
      <c r="BD92" t="str">
        <f>konkurs2!$W$16</f>
        <v/>
      </c>
      <c r="BE92" t="str">
        <f>konkurs2!$AU$16</f>
        <v/>
      </c>
      <c r="BF92" t="str">
        <f>konkurs2!$AI$16</f>
        <v/>
      </c>
      <c r="BG92" s="50" t="str">
        <f>konkurs2!$C$16</f>
        <v/>
      </c>
      <c r="BH92" s="50" t="str">
        <f>konkurs2!$O$16</f>
        <v/>
      </c>
      <c r="BI92" s="50" t="str">
        <f>konkurs2!$S$16</f>
        <v/>
      </c>
      <c r="BJ92" s="50" t="str">
        <f>konkurs2!$AQ$16</f>
        <v/>
      </c>
    </row>
    <row r="93" spans="2:62" ht="18" customHeight="1">
      <c r="B93" s="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AX93" s="49" t="s">
        <v>203</v>
      </c>
      <c r="AY93" t="str">
        <f>konkurs2!$AE$16</f>
        <v/>
      </c>
      <c r="AZ93" t="str">
        <f>konkurs2!$AA$16</f>
        <v/>
      </c>
      <c r="BA93" t="str">
        <f>konkurs2!$G$16</f>
        <v/>
      </c>
      <c r="BB93" t="str">
        <f>konkurs2!$K$16</f>
        <v/>
      </c>
      <c r="BC93" t="str">
        <f>konkurs2!$AM$16</f>
        <v/>
      </c>
      <c r="BD93" t="str">
        <f>konkurs2!$W$16</f>
        <v/>
      </c>
      <c r="BE93" t="str">
        <f>konkurs2!$AI$16</f>
        <v/>
      </c>
      <c r="BF93" t="str">
        <f>konkurs2!$AQ$16</f>
        <v/>
      </c>
      <c r="BG93" s="50" t="str">
        <f>konkurs2!$C$16</f>
        <v/>
      </c>
      <c r="BH93" s="50" t="str">
        <f>konkurs2!$O$16</f>
        <v/>
      </c>
      <c r="BI93" s="50" t="str">
        <f>konkurs2!$S$16</f>
        <v/>
      </c>
      <c r="BJ93" s="50" t="str">
        <f>konkurs2!$AU$16</f>
        <v/>
      </c>
    </row>
    <row r="94" spans="2:62" ht="18" customHeight="1"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AX94" s="49" t="s">
        <v>204</v>
      </c>
      <c r="AY94" t="str">
        <f>konkurs2!$S$16</f>
        <v/>
      </c>
      <c r="AZ94" t="str">
        <f>konkurs2!$AM$16</f>
        <v/>
      </c>
      <c r="BA94" t="str">
        <f>konkurs2!$G$16</f>
        <v/>
      </c>
      <c r="BB94" t="str">
        <f>konkurs2!$K$16</f>
        <v/>
      </c>
      <c r="BC94" t="str">
        <f>konkurs2!$AI$16</f>
        <v/>
      </c>
      <c r="BD94" t="str">
        <f>konkurs2!$AE$16</f>
        <v/>
      </c>
      <c r="BE94" t="str">
        <f>konkurs2!$AU$16</f>
        <v/>
      </c>
      <c r="BF94" t="str">
        <f>konkurs2!$AQ$16</f>
        <v/>
      </c>
      <c r="BG94" s="50" t="str">
        <f>konkurs2!$C$16</f>
        <v/>
      </c>
      <c r="BH94" s="50" t="str">
        <f>konkurs2!$O$16</f>
        <v/>
      </c>
      <c r="BI94" s="50" t="str">
        <f>konkurs2!$W$16</f>
        <v/>
      </c>
      <c r="BJ94" s="50" t="str">
        <f>konkurs2!$AA$16</f>
        <v/>
      </c>
    </row>
    <row r="95" spans="2:62" ht="18" customHeight="1">
      <c r="B95" s="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AX95" s="49" t="s">
        <v>205</v>
      </c>
      <c r="AY95" t="str">
        <f>konkurs2!$S$16</f>
        <v/>
      </c>
      <c r="AZ95" t="str">
        <f>konkurs2!$AM$16</f>
        <v/>
      </c>
      <c r="BA95" t="str">
        <f>konkurs2!$G$16</f>
        <v/>
      </c>
      <c r="BB95" t="str">
        <f>konkurs2!$K$16</f>
        <v/>
      </c>
      <c r="BC95" t="str">
        <f>konkurs2!$AI$16</f>
        <v/>
      </c>
      <c r="BD95" t="str">
        <f>konkurs2!$AA$16</f>
        <v/>
      </c>
      <c r="BE95" t="str">
        <f>konkurs2!$AU$16</f>
        <v/>
      </c>
      <c r="BF95" t="str">
        <f>konkurs2!$AQ$16</f>
        <v/>
      </c>
      <c r="BG95" s="50" t="str">
        <f>konkurs2!$C$16</f>
        <v/>
      </c>
      <c r="BH95" s="50" t="str">
        <f>konkurs2!$O$16</f>
        <v/>
      </c>
      <c r="BI95" s="50" t="str">
        <f>konkurs2!$W$16</f>
        <v/>
      </c>
      <c r="BJ95" s="50" t="str">
        <f>konkurs2!$AE$16</f>
        <v/>
      </c>
    </row>
    <row r="96" spans="2:62" ht="18" customHeight="1"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AX96" s="49" t="s">
        <v>206</v>
      </c>
      <c r="AY96" t="str">
        <f>konkurs2!$S$16</f>
        <v/>
      </c>
      <c r="AZ96" t="str">
        <f>konkurs2!$AM$16</f>
        <v/>
      </c>
      <c r="BA96" t="str">
        <f>konkurs2!$G$16</f>
        <v/>
      </c>
      <c r="BB96" t="str">
        <f>konkurs2!$K$16</f>
        <v/>
      </c>
      <c r="BC96" t="str">
        <f>konkurs2!$AE$16</f>
        <v/>
      </c>
      <c r="BD96" t="str">
        <f>konkurs2!$AA$16</f>
        <v/>
      </c>
      <c r="BE96" t="str">
        <f>konkurs2!$AU$16</f>
        <v/>
      </c>
      <c r="BF96" t="str">
        <f>konkurs2!$AQ$16</f>
        <v/>
      </c>
      <c r="BG96" s="50" t="str">
        <f>konkurs2!$C$16</f>
        <v/>
      </c>
      <c r="BH96" s="50" t="str">
        <f>konkurs2!$O$16</f>
        <v/>
      </c>
      <c r="BI96" s="50" t="str">
        <f>konkurs2!$W$16</f>
        <v/>
      </c>
      <c r="BJ96" s="50" t="str">
        <f>konkurs2!$AI$16</f>
        <v/>
      </c>
    </row>
    <row r="97" spans="2:62" ht="18" customHeight="1">
      <c r="B97" s="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AX97" s="49" t="s">
        <v>207</v>
      </c>
      <c r="AY97" t="str">
        <f>konkurs2!$S$16</f>
        <v/>
      </c>
      <c r="AZ97" t="str">
        <f>konkurs2!$AA$16</f>
        <v/>
      </c>
      <c r="BA97" t="str">
        <f>konkurs2!$G$16</f>
        <v/>
      </c>
      <c r="BB97" t="str">
        <f>konkurs2!$K$16</f>
        <v/>
      </c>
      <c r="BC97" t="str">
        <f>konkurs2!$AI$16</f>
        <v/>
      </c>
      <c r="BD97" t="str">
        <f>konkurs2!$AE$16</f>
        <v/>
      </c>
      <c r="BE97" t="str">
        <f>konkurs2!$AU$16</f>
        <v/>
      </c>
      <c r="BF97" t="str">
        <f>konkurs2!$AQ$16</f>
        <v/>
      </c>
      <c r="BG97" s="50" t="str">
        <f>konkurs2!$C$16</f>
        <v/>
      </c>
      <c r="BH97" s="50" t="str">
        <f>konkurs2!$O$16</f>
        <v/>
      </c>
      <c r="BI97" s="50" t="str">
        <f>konkurs2!$W$16</f>
        <v/>
      </c>
      <c r="BJ97" s="50" t="str">
        <f>konkurs2!$AM$16</f>
        <v/>
      </c>
    </row>
    <row r="98" spans="2:62">
      <c r="B98" s="1"/>
      <c r="AX98" s="49" t="s">
        <v>208</v>
      </c>
      <c r="AY98" t="str">
        <f>konkurs2!$S$16</f>
        <v/>
      </c>
      <c r="AZ98" t="str">
        <f>konkurs2!$AM$16</f>
        <v/>
      </c>
      <c r="BA98" t="str">
        <f>konkurs2!$G$16</f>
        <v/>
      </c>
      <c r="BB98" t="str">
        <f>konkurs2!$K$16</f>
        <v/>
      </c>
      <c r="BC98" t="str">
        <f>konkurs2!$AE$16</f>
        <v/>
      </c>
      <c r="BD98" t="str">
        <f>konkurs2!$AA$16</f>
        <v/>
      </c>
      <c r="BE98" t="str">
        <f>konkurs2!$AU$16</f>
        <v/>
      </c>
      <c r="BF98" t="str">
        <f>konkurs2!$AI$16</f>
        <v/>
      </c>
      <c r="BG98" s="50" t="str">
        <f>konkurs2!$C$16</f>
        <v/>
      </c>
      <c r="BH98" s="50" t="str">
        <f>konkurs2!$O$16</f>
        <v/>
      </c>
      <c r="BI98" s="50" t="str">
        <f>konkurs2!$W$16</f>
        <v/>
      </c>
      <c r="BJ98" s="50" t="str">
        <f>konkurs2!$AQ$16</f>
        <v/>
      </c>
    </row>
    <row r="99" spans="2:62">
      <c r="B99" s="1"/>
      <c r="AX99" s="49" t="s">
        <v>209</v>
      </c>
      <c r="AY99" t="str">
        <f>konkurs2!$S$16</f>
        <v/>
      </c>
      <c r="AZ99" t="str">
        <f>konkurs2!$AM$16</f>
        <v/>
      </c>
      <c r="BA99" t="str">
        <f>konkurs2!$G$16</f>
        <v/>
      </c>
      <c r="BB99" t="str">
        <f>konkurs2!$K$16</f>
        <v/>
      </c>
      <c r="BC99" t="str">
        <f>konkurs2!$AE$16</f>
        <v/>
      </c>
      <c r="BD99" t="str">
        <f>konkurs2!$AA$16</f>
        <v/>
      </c>
      <c r="BE99" t="str">
        <f>konkurs2!$AI$16</f>
        <v/>
      </c>
      <c r="BF99" t="str">
        <f>konkurs2!$AQ$16</f>
        <v/>
      </c>
      <c r="BG99" s="50" t="str">
        <f>konkurs2!$C$16</f>
        <v/>
      </c>
      <c r="BH99" s="50" t="str">
        <f>konkurs2!$O$16</f>
        <v/>
      </c>
      <c r="BI99" s="50" t="str">
        <f>konkurs2!$W$16</f>
        <v/>
      </c>
      <c r="BJ99" s="50" t="str">
        <f>konkurs2!$AU$16</f>
        <v/>
      </c>
    </row>
    <row r="100" spans="2:62">
      <c r="B100" s="1"/>
      <c r="AX100" s="49" t="s">
        <v>210</v>
      </c>
      <c r="AY100" t="str">
        <f>konkurs2!$S$16</f>
        <v/>
      </c>
      <c r="AZ100" t="str">
        <f>konkurs2!$AM$16</f>
        <v/>
      </c>
      <c r="BA100" t="str">
        <f>konkurs2!$G$16</f>
        <v/>
      </c>
      <c r="BB100" t="str">
        <f>konkurs2!$K$16</f>
        <v/>
      </c>
      <c r="BC100" t="str">
        <f>konkurs2!$AI$16</f>
        <v/>
      </c>
      <c r="BD100" t="str">
        <f>konkurs2!$W$16</f>
        <v/>
      </c>
      <c r="BE100" t="str">
        <f>konkurs2!$AU$16</f>
        <v/>
      </c>
      <c r="BF100" t="str">
        <f>konkurs2!$AQ$16</f>
        <v/>
      </c>
      <c r="BG100" s="50" t="str">
        <f>konkurs2!$C$16</f>
        <v/>
      </c>
      <c r="BH100" s="50" t="str">
        <f>konkurs2!$O$16</f>
        <v/>
      </c>
      <c r="BI100" s="50" t="str">
        <f>konkurs2!$AA$16</f>
        <v/>
      </c>
      <c r="BJ100" s="50" t="str">
        <f>konkurs2!$AE$16</f>
        <v/>
      </c>
    </row>
    <row r="101" spans="2:62">
      <c r="B101" s="1"/>
      <c r="AX101" s="49" t="s">
        <v>211</v>
      </c>
      <c r="AY101" t="str">
        <f>konkurs2!$S$16</f>
        <v/>
      </c>
      <c r="AZ101" t="str">
        <f>konkurs2!$AM$16</f>
        <v/>
      </c>
      <c r="BA101" t="str">
        <f>konkurs2!$G$16</f>
        <v/>
      </c>
      <c r="BB101" t="str">
        <f>konkurs2!$K$16</f>
        <v/>
      </c>
      <c r="BC101" t="str">
        <f>konkurs2!$AE$16</f>
        <v/>
      </c>
      <c r="BD101" t="str">
        <f>konkurs2!$W$16</f>
        <v/>
      </c>
      <c r="BE101" t="str">
        <f>konkurs2!$AU$16</f>
        <v/>
      </c>
      <c r="BF101" t="str">
        <f>konkurs2!$AQ$16</f>
        <v/>
      </c>
      <c r="BG101" s="50" t="str">
        <f>konkurs2!$C$16</f>
        <v/>
      </c>
      <c r="BH101" s="50" t="str">
        <f>konkurs2!$O$16</f>
        <v/>
      </c>
      <c r="BI101" s="50" t="str">
        <f>konkurs2!$AA$16</f>
        <v/>
      </c>
      <c r="BJ101" s="50" t="str">
        <f>konkurs2!$AI$16</f>
        <v/>
      </c>
    </row>
    <row r="102" spans="2:62">
      <c r="B102" s="1"/>
      <c r="AX102" s="49" t="s">
        <v>212</v>
      </c>
      <c r="AY102" t="str">
        <f>konkurs2!$S$16</f>
        <v/>
      </c>
      <c r="AZ102" t="str">
        <f>konkurs2!$AI$16</f>
        <v/>
      </c>
      <c r="BA102" t="str">
        <f>konkurs2!$G$16</f>
        <v/>
      </c>
      <c r="BB102" t="str">
        <f>konkurs2!$K$16</f>
        <v/>
      </c>
      <c r="BC102" t="str">
        <f>konkurs2!$AE$16</f>
        <v/>
      </c>
      <c r="BD102" t="str">
        <f>konkurs2!$W$16</f>
        <v/>
      </c>
      <c r="BE102" t="str">
        <f>konkurs2!$AU$16</f>
        <v/>
      </c>
      <c r="BF102" t="str">
        <f>konkurs2!$AQ$16</f>
        <v/>
      </c>
      <c r="BG102" s="50" t="str">
        <f>konkurs2!$C$16</f>
        <v/>
      </c>
      <c r="BH102" s="50" t="str">
        <f>konkurs2!$O$16</f>
        <v/>
      </c>
      <c r="BI102" s="50" t="str">
        <f>konkurs2!$AA$16</f>
        <v/>
      </c>
      <c r="BJ102" s="50" t="str">
        <f>konkurs2!$AM$16</f>
        <v/>
      </c>
    </row>
    <row r="103" spans="2:62">
      <c r="AX103" s="49" t="s">
        <v>213</v>
      </c>
      <c r="AY103" t="str">
        <f>konkurs2!$S$16</f>
        <v/>
      </c>
      <c r="AZ103" t="str">
        <f>konkurs2!$AM$16</f>
        <v/>
      </c>
      <c r="BA103" t="str">
        <f>konkurs2!$G$16</f>
        <v/>
      </c>
      <c r="BB103" t="str">
        <f>konkurs2!$K$16</f>
        <v/>
      </c>
      <c r="BC103" t="str">
        <f>konkurs2!$AE$16</f>
        <v/>
      </c>
      <c r="BD103" t="str">
        <f>konkurs2!$W$16</f>
        <v/>
      </c>
      <c r="BE103" t="str">
        <f>konkurs2!$AU$16</f>
        <v/>
      </c>
      <c r="BF103" t="str">
        <f>konkurs2!$AI$16</f>
        <v/>
      </c>
      <c r="BG103" s="50" t="str">
        <f>konkurs2!$C$16</f>
        <v/>
      </c>
      <c r="BH103" s="50" t="str">
        <f>konkurs2!$O$16</f>
        <v/>
      </c>
      <c r="BI103" s="50" t="str">
        <f>konkurs2!$AA$16</f>
        <v/>
      </c>
      <c r="BJ103" s="50" t="str">
        <f>konkurs2!$AQ$16</f>
        <v/>
      </c>
    </row>
    <row r="104" spans="2:62">
      <c r="AX104" s="49" t="s">
        <v>214</v>
      </c>
      <c r="AY104" t="str">
        <f>konkurs2!$S$16</f>
        <v/>
      </c>
      <c r="AZ104" t="str">
        <f>konkurs2!$AM$16</f>
        <v/>
      </c>
      <c r="BA104" t="str">
        <f>konkurs2!$G$16</f>
        <v/>
      </c>
      <c r="BB104" t="str">
        <f>konkurs2!$K$16</f>
        <v/>
      </c>
      <c r="BC104" t="str">
        <f>konkurs2!$AE$16</f>
        <v/>
      </c>
      <c r="BD104" t="str">
        <f>konkurs2!$W$16</f>
        <v/>
      </c>
      <c r="BE104" t="str">
        <f>konkurs2!$AI$16</f>
        <v/>
      </c>
      <c r="BF104" t="str">
        <f>konkurs2!$AQ$16</f>
        <v/>
      </c>
      <c r="BG104" s="50" t="str">
        <f>konkurs2!$C$16</f>
        <v/>
      </c>
      <c r="BH104" s="50" t="str">
        <f>konkurs2!$O$16</f>
        <v/>
      </c>
      <c r="BI104" s="50" t="str">
        <f>konkurs2!$AA$16</f>
        <v/>
      </c>
      <c r="BJ104" s="50" t="str">
        <f>konkurs2!$AU$16</f>
        <v/>
      </c>
    </row>
    <row r="105" spans="2:62">
      <c r="AX105" s="49" t="s">
        <v>215</v>
      </c>
      <c r="AY105" t="str">
        <f>konkurs2!$S$16</f>
        <v/>
      </c>
      <c r="AZ105" t="str">
        <f>konkurs2!$AA$16</f>
        <v/>
      </c>
      <c r="BA105" t="str">
        <f>konkurs2!$G$16</f>
        <v/>
      </c>
      <c r="BB105" t="str">
        <f>konkurs2!$K$16</f>
        <v/>
      </c>
      <c r="BC105" t="str">
        <f>konkurs2!$AM$16</f>
        <v/>
      </c>
      <c r="BD105" t="str">
        <f>konkurs2!$W$16</f>
        <v/>
      </c>
      <c r="BE105" t="str">
        <f>konkurs2!$AU$16</f>
        <v/>
      </c>
      <c r="BF105" t="str">
        <f>konkurs2!$AQ$16</f>
        <v/>
      </c>
      <c r="BG105" s="50" t="str">
        <f>konkurs2!$C$16</f>
        <v/>
      </c>
      <c r="BH105" s="50" t="str">
        <f>konkurs2!$O$16</f>
        <v/>
      </c>
      <c r="BI105" s="50" t="str">
        <f>konkurs2!$AE$16</f>
        <v/>
      </c>
      <c r="BJ105" s="50" t="str">
        <f>konkurs2!$AI$16</f>
        <v/>
      </c>
    </row>
    <row r="106" spans="2:62">
      <c r="AX106" s="49" t="s">
        <v>216</v>
      </c>
      <c r="AY106" t="str">
        <f>konkurs2!$S$16</f>
        <v/>
      </c>
      <c r="AZ106" t="str">
        <f>konkurs2!$AA$16</f>
        <v/>
      </c>
      <c r="BA106" t="str">
        <f>konkurs2!$G$16</f>
        <v/>
      </c>
      <c r="BB106" t="str">
        <f>konkurs2!$K$16</f>
        <v/>
      </c>
      <c r="BC106" t="str">
        <f>konkurs2!$AI$16</f>
        <v/>
      </c>
      <c r="BD106" t="str">
        <f>konkurs2!$W$16</f>
        <v/>
      </c>
      <c r="BE106" t="str">
        <f>konkurs2!$AU$16</f>
        <v/>
      </c>
      <c r="BF106" t="str">
        <f>konkurs2!$AQ$16</f>
        <v/>
      </c>
      <c r="BG106" s="50" t="str">
        <f>konkurs2!$C$16</f>
        <v/>
      </c>
      <c r="BH106" s="50" t="str">
        <f>konkurs2!$O$16</f>
        <v/>
      </c>
      <c r="BI106" s="50" t="str">
        <f>konkurs2!$AE$16</f>
        <v/>
      </c>
      <c r="BJ106" s="50" t="str">
        <f>konkurs2!$AM$16</f>
        <v/>
      </c>
    </row>
    <row r="107" spans="2:62">
      <c r="AX107" s="49" t="s">
        <v>217</v>
      </c>
      <c r="AY107" t="str">
        <f>konkurs2!$S$16</f>
        <v/>
      </c>
      <c r="AZ107" t="str">
        <f>konkurs2!$AA$16</f>
        <v/>
      </c>
      <c r="BA107" t="str">
        <f>konkurs2!$G$16</f>
        <v/>
      </c>
      <c r="BB107" t="str">
        <f>konkurs2!$K$16</f>
        <v/>
      </c>
      <c r="BC107" t="str">
        <f>konkurs2!$AM$16</f>
        <v/>
      </c>
      <c r="BD107" t="str">
        <f>konkurs2!$W$16</f>
        <v/>
      </c>
      <c r="BE107" t="str">
        <f>konkurs2!$AU$16</f>
        <v/>
      </c>
      <c r="BF107" t="str">
        <f>konkurs2!$AI$16</f>
        <v/>
      </c>
      <c r="BG107" s="50" t="str">
        <f>konkurs2!$C$16</f>
        <v/>
      </c>
      <c r="BH107" s="50" t="str">
        <f>konkurs2!$O$16</f>
        <v/>
      </c>
      <c r="BI107" s="50" t="str">
        <f>konkurs2!$AE$16</f>
        <v/>
      </c>
      <c r="BJ107" s="50" t="str">
        <f>konkurs2!$AQ$16</f>
        <v/>
      </c>
    </row>
    <row r="108" spans="2:62">
      <c r="AX108" s="49" t="s">
        <v>218</v>
      </c>
      <c r="AY108" t="str">
        <f>konkurs2!$S$16</f>
        <v/>
      </c>
      <c r="AZ108" t="str">
        <f>konkurs2!$AA$16</f>
        <v/>
      </c>
      <c r="BA108" t="str">
        <f>konkurs2!$G$16</f>
        <v/>
      </c>
      <c r="BB108" t="str">
        <f>konkurs2!$K$16</f>
        <v/>
      </c>
      <c r="BC108" t="str">
        <f>konkurs2!$AM$16</f>
        <v/>
      </c>
      <c r="BD108" t="str">
        <f>konkurs2!$W$16</f>
        <v/>
      </c>
      <c r="BE108" t="str">
        <f>konkurs2!$AI$16</f>
        <v/>
      </c>
      <c r="BF108" t="str">
        <f>konkurs2!$AQ$16</f>
        <v/>
      </c>
      <c r="BG108" s="50" t="str">
        <f>konkurs2!$C$16</f>
        <v/>
      </c>
      <c r="BH108" s="50" t="str">
        <f>konkurs2!$O$16</f>
        <v/>
      </c>
      <c r="BI108" s="50" t="str">
        <f>konkurs2!$AE$16</f>
        <v/>
      </c>
      <c r="BJ108" s="50" t="str">
        <f>konkurs2!$AU$16</f>
        <v/>
      </c>
    </row>
    <row r="109" spans="2:62">
      <c r="AX109" s="49" t="s">
        <v>219</v>
      </c>
      <c r="AY109" t="str">
        <f>konkurs2!$S$16</f>
        <v/>
      </c>
      <c r="AZ109" t="str">
        <f>konkurs2!$AA$16</f>
        <v/>
      </c>
      <c r="BA109" t="str">
        <f>konkurs2!$G$16</f>
        <v/>
      </c>
      <c r="BB109" t="str">
        <f>konkurs2!$K$16</f>
        <v/>
      </c>
      <c r="BC109" t="str">
        <f>konkurs2!$AE$16</f>
        <v/>
      </c>
      <c r="BD109" t="str">
        <f>konkurs2!$W$16</f>
        <v/>
      </c>
      <c r="BE109" t="str">
        <f>konkurs2!$AU$16</f>
        <v/>
      </c>
      <c r="BF109" t="str">
        <f>konkurs2!$AQ$16</f>
        <v/>
      </c>
      <c r="BG109" s="50" t="str">
        <f>konkurs2!$C$16</f>
        <v/>
      </c>
      <c r="BH109" s="50" t="str">
        <f>konkurs2!$O$16</f>
        <v/>
      </c>
      <c r="BI109" s="50" t="str">
        <f>konkurs2!$AI$16</f>
        <v/>
      </c>
      <c r="BJ109" s="50" t="str">
        <f>konkurs2!$AM$16</f>
        <v/>
      </c>
    </row>
    <row r="110" spans="2:62">
      <c r="AX110" s="49" t="s">
        <v>220</v>
      </c>
      <c r="AY110" t="str">
        <f>konkurs2!$AE$16</f>
        <v/>
      </c>
      <c r="AZ110" t="str">
        <f>konkurs2!$AA$16</f>
        <v/>
      </c>
      <c r="BA110" t="str">
        <f>konkurs2!$G$16</f>
        <v/>
      </c>
      <c r="BB110" t="str">
        <f>konkurs2!$K$16</f>
        <v/>
      </c>
      <c r="BC110" t="str">
        <f>konkurs2!$AM$16</f>
        <v/>
      </c>
      <c r="BD110" t="str">
        <f>konkurs2!$W$16</f>
        <v/>
      </c>
      <c r="BE110" t="str">
        <f>konkurs2!$AU$16</f>
        <v/>
      </c>
      <c r="BF110" t="str">
        <f>konkurs2!$S$16</f>
        <v/>
      </c>
      <c r="BG110" s="50" t="str">
        <f>konkurs2!$C$16</f>
        <v/>
      </c>
      <c r="BH110" s="50" t="str">
        <f>konkurs2!$O$16</f>
        <v/>
      </c>
      <c r="BI110" s="50" t="str">
        <f>konkurs2!$AI$16</f>
        <v/>
      </c>
      <c r="BJ110" s="50" t="str">
        <f>konkurs2!$AQ$16</f>
        <v/>
      </c>
    </row>
    <row r="111" spans="2:62">
      <c r="AX111" s="49" t="s">
        <v>221</v>
      </c>
      <c r="AY111" t="str">
        <f>konkurs2!$AE$16</f>
        <v/>
      </c>
      <c r="AZ111" t="str">
        <f>konkurs2!$AA$16</f>
        <v/>
      </c>
      <c r="BA111" t="str">
        <f>konkurs2!$G$16</f>
        <v/>
      </c>
      <c r="BB111" t="str">
        <f>konkurs2!$K$16</f>
        <v/>
      </c>
      <c r="BC111" t="str">
        <f>konkurs2!$AM$16</f>
        <v/>
      </c>
      <c r="BD111" t="str">
        <f>konkurs2!$W$16</f>
        <v/>
      </c>
      <c r="BE111" t="str">
        <f>konkurs2!$S$16</f>
        <v/>
      </c>
      <c r="BF111" t="str">
        <f>konkurs2!$AQ$16</f>
        <v/>
      </c>
      <c r="BG111" s="50" t="str">
        <f>konkurs2!$C$16</f>
        <v/>
      </c>
      <c r="BH111" s="50" t="str">
        <f>konkurs2!$O$16</f>
        <v/>
      </c>
      <c r="BI111" s="50" t="str">
        <f>konkurs2!$AI$16</f>
        <v/>
      </c>
      <c r="BJ111" s="50" t="str">
        <f>konkurs2!$AU$16</f>
        <v/>
      </c>
    </row>
    <row r="112" spans="2:62">
      <c r="AX112" s="49" t="s">
        <v>222</v>
      </c>
      <c r="AY112" t="str">
        <f>konkurs2!$S$16</f>
        <v/>
      </c>
      <c r="AZ112" t="str">
        <f>konkurs2!$AA$16</f>
        <v/>
      </c>
      <c r="BA112" t="str">
        <f>konkurs2!$G$16</f>
        <v/>
      </c>
      <c r="BB112" t="str">
        <f>konkurs2!$K$16</f>
        <v/>
      </c>
      <c r="BC112" t="str">
        <f>konkurs2!$AE$16</f>
        <v/>
      </c>
      <c r="BD112" t="str">
        <f>konkurs2!$W$16</f>
        <v/>
      </c>
      <c r="BE112" t="str">
        <f>konkurs2!$AU$16</f>
        <v/>
      </c>
      <c r="BF112" t="str">
        <f>konkurs2!$AI$16</f>
        <v/>
      </c>
      <c r="BG112" s="50" t="str">
        <f>konkurs2!$C$16</f>
        <v/>
      </c>
      <c r="BH112" s="50" t="str">
        <f>konkurs2!$O$16</f>
        <v/>
      </c>
      <c r="BI112" s="50" t="str">
        <f>konkurs2!$AM$16</f>
        <v/>
      </c>
      <c r="BJ112" s="50" t="str">
        <f>konkurs2!$AQ$16</f>
        <v/>
      </c>
    </row>
    <row r="113" spans="50:62">
      <c r="AX113" s="49" t="s">
        <v>223</v>
      </c>
      <c r="AY113" t="str">
        <f>konkurs2!$S$16</f>
        <v/>
      </c>
      <c r="AZ113" t="str">
        <f>konkurs2!$AA$16</f>
        <v/>
      </c>
      <c r="BA113" t="str">
        <f>konkurs2!$G$16</f>
        <v/>
      </c>
      <c r="BB113" t="str">
        <f>konkurs2!$K$16</f>
        <v/>
      </c>
      <c r="BC113" t="str">
        <f>konkurs2!$AE$16</f>
        <v/>
      </c>
      <c r="BD113" t="str">
        <f>konkurs2!$W$16</f>
        <v/>
      </c>
      <c r="BE113" t="str">
        <f>konkurs2!$AI$16</f>
        <v/>
      </c>
      <c r="BF113" t="str">
        <f>konkurs2!$AQ$16</f>
        <v/>
      </c>
      <c r="BG113" s="50" t="str">
        <f>konkurs2!$C$16</f>
        <v/>
      </c>
      <c r="BH113" s="50" t="str">
        <f>konkurs2!$O$16</f>
        <v/>
      </c>
      <c r="BI113" s="50" t="str">
        <f>konkurs2!$AM$16</f>
        <v/>
      </c>
      <c r="BJ113" s="50" t="str">
        <f>konkurs2!$AU$16</f>
        <v/>
      </c>
    </row>
    <row r="114" spans="50:62">
      <c r="AX114" s="49" t="s">
        <v>224</v>
      </c>
      <c r="AY114" t="str">
        <f>konkurs2!$AE$16</f>
        <v/>
      </c>
      <c r="AZ114" t="str">
        <f>konkurs2!$AA$16</f>
        <v/>
      </c>
      <c r="BA114" t="str">
        <f>konkurs2!$G$16</f>
        <v/>
      </c>
      <c r="BB114" t="str">
        <f>konkurs2!$K$16</f>
        <v/>
      </c>
      <c r="BC114" t="str">
        <f>konkurs2!$AM$16</f>
        <v/>
      </c>
      <c r="BD114" t="str">
        <f>konkurs2!$W$16</f>
        <v/>
      </c>
      <c r="BE114" t="str">
        <f>konkurs2!$S$16</f>
        <v/>
      </c>
      <c r="BF114" t="str">
        <f>konkurs2!$AI$16</f>
        <v/>
      </c>
      <c r="BG114" s="50" t="str">
        <f>konkurs2!$C$16</f>
        <v/>
      </c>
      <c r="BH114" s="50" t="str">
        <f>konkurs2!$O$16</f>
        <v/>
      </c>
      <c r="BI114" s="50" t="str">
        <f>konkurs2!$AQ$16</f>
        <v/>
      </c>
      <c r="BJ114" s="50" t="str">
        <f>konkurs2!$AU$16</f>
        <v/>
      </c>
    </row>
    <row r="115" spans="50:62">
      <c r="AX115" s="49" t="s">
        <v>225</v>
      </c>
      <c r="AY115" t="str">
        <f>konkurs2!$AE$16</f>
        <v/>
      </c>
      <c r="AZ115" t="str">
        <f>konkurs2!$AM$16</f>
        <v/>
      </c>
      <c r="BA115" t="str">
        <f>konkurs2!$G$16</f>
        <v/>
      </c>
      <c r="BB115" t="str">
        <f>konkurs2!$K$16</f>
        <v/>
      </c>
      <c r="BC115" t="str">
        <f>konkurs2!$AI$16</f>
        <v/>
      </c>
      <c r="BD115" t="str">
        <f>konkurs2!$O$16</f>
        <v/>
      </c>
      <c r="BE115" t="str">
        <f>konkurs2!$AU$16</f>
        <v/>
      </c>
      <c r="BF115" t="str">
        <f>konkurs2!$AQ$16</f>
        <v/>
      </c>
      <c r="BG115" s="50" t="str">
        <f>konkurs2!$C$16</f>
        <v/>
      </c>
      <c r="BH115" s="50" t="str">
        <f>konkurs2!$S$16</f>
        <v/>
      </c>
      <c r="BI115" s="50" t="str">
        <f>konkurs2!$W$16</f>
        <v/>
      </c>
      <c r="BJ115" s="50" t="str">
        <f>konkurs2!$AA$16</f>
        <v/>
      </c>
    </row>
    <row r="116" spans="50:62">
      <c r="AX116" s="49" t="s">
        <v>226</v>
      </c>
      <c r="AY116" t="str">
        <f>konkurs2!$AI$16</f>
        <v/>
      </c>
      <c r="AZ116" t="str">
        <f>konkurs2!$AA$16</f>
        <v/>
      </c>
      <c r="BA116" t="str">
        <f>konkurs2!$G$16</f>
        <v/>
      </c>
      <c r="BB116" t="str">
        <f>konkurs2!$K$16</f>
        <v/>
      </c>
      <c r="BC116" t="str">
        <f>konkurs2!$AM$16</f>
        <v/>
      </c>
      <c r="BD116" t="str">
        <f>konkurs2!$O$16</f>
        <v/>
      </c>
      <c r="BE116" t="str">
        <f>konkurs2!$AU$16</f>
        <v/>
      </c>
      <c r="BF116" t="str">
        <f>konkurs2!$AQ$16</f>
        <v/>
      </c>
      <c r="BG116" s="50" t="str">
        <f>konkurs2!$C$16</f>
        <v/>
      </c>
      <c r="BH116" s="50" t="str">
        <f>konkurs2!$S$16</f>
        <v/>
      </c>
      <c r="BI116" s="50" t="str">
        <f>konkurs2!$W$16</f>
        <v/>
      </c>
      <c r="BJ116" s="50" t="str">
        <f>konkurs2!$AE$16</f>
        <v/>
      </c>
    </row>
    <row r="117" spans="50:62">
      <c r="AX117" s="49" t="s">
        <v>227</v>
      </c>
      <c r="AY117" t="str">
        <f>konkurs2!$AE$16</f>
        <v/>
      </c>
      <c r="AZ117" t="str">
        <f>konkurs2!$AA$16</f>
        <v/>
      </c>
      <c r="BA117" t="str">
        <f>konkurs2!$G$16</f>
        <v/>
      </c>
      <c r="BB117" t="str">
        <f>konkurs2!$K$16</f>
        <v/>
      </c>
      <c r="BC117" t="str">
        <f>konkurs2!$AM$16</f>
        <v/>
      </c>
      <c r="BD117" t="str">
        <f>konkurs2!$O$16</f>
        <v/>
      </c>
      <c r="BE117" t="str">
        <f>konkurs2!$AU$16</f>
        <v/>
      </c>
      <c r="BF117" t="str">
        <f>konkurs2!$AQ$16</f>
        <v/>
      </c>
      <c r="BG117" s="50" t="str">
        <f>konkurs2!$C$16</f>
        <v/>
      </c>
      <c r="BH117" s="50" t="str">
        <f>konkurs2!$S$16</f>
        <v/>
      </c>
      <c r="BI117" s="50" t="str">
        <f>konkurs2!$W$16</f>
        <v/>
      </c>
      <c r="BJ117" s="50" t="str">
        <f>konkurs2!$AI$16</f>
        <v/>
      </c>
    </row>
    <row r="118" spans="50:62">
      <c r="AX118" s="49" t="s">
        <v>228</v>
      </c>
      <c r="AY118" t="str">
        <f>konkurs2!$AE$16</f>
        <v/>
      </c>
      <c r="AZ118" t="str">
        <f>konkurs2!$AA$16</f>
        <v/>
      </c>
      <c r="BA118" t="str">
        <f>konkurs2!$G$16</f>
        <v/>
      </c>
      <c r="BB118" t="str">
        <f>konkurs2!$K$16</f>
        <v/>
      </c>
      <c r="BC118" t="str">
        <f>konkurs2!$AI$16</f>
        <v/>
      </c>
      <c r="BD118" t="str">
        <f>konkurs2!$O$16</f>
        <v/>
      </c>
      <c r="BE118" t="str">
        <f>konkurs2!$AU$16</f>
        <v/>
      </c>
      <c r="BF118" t="str">
        <f>konkurs2!$AQ$16</f>
        <v/>
      </c>
      <c r="BG118" s="50" t="str">
        <f>konkurs2!$C$16</f>
        <v/>
      </c>
      <c r="BH118" s="50" t="str">
        <f>konkurs2!$S$16</f>
        <v/>
      </c>
      <c r="BI118" s="50" t="str">
        <f>konkurs2!$W$16</f>
        <v/>
      </c>
      <c r="BJ118" s="50" t="str">
        <f>konkurs2!$AM$16</f>
        <v/>
      </c>
    </row>
    <row r="119" spans="50:62">
      <c r="AX119" s="49" t="s">
        <v>229</v>
      </c>
      <c r="AY119" t="str">
        <f>konkurs2!$AE$16</f>
        <v/>
      </c>
      <c r="AZ119" t="str">
        <f>konkurs2!$AA$16</f>
        <v/>
      </c>
      <c r="BA119" t="str">
        <f>konkurs2!$G$16</f>
        <v/>
      </c>
      <c r="BB119" t="str">
        <f>konkurs2!$K$16</f>
        <v/>
      </c>
      <c r="BC119" t="str">
        <f>konkurs2!$AM$16</f>
        <v/>
      </c>
      <c r="BD119" t="str">
        <f>konkurs2!$O$16</f>
        <v/>
      </c>
      <c r="BE119" t="str">
        <f>konkurs2!$AU$16</f>
        <v/>
      </c>
      <c r="BF119" t="str">
        <f>konkurs2!$AI$16</f>
        <v/>
      </c>
      <c r="BG119" s="50" t="str">
        <f>konkurs2!$C$16</f>
        <v/>
      </c>
      <c r="BH119" s="50" t="str">
        <f>konkurs2!$S$16</f>
        <v/>
      </c>
      <c r="BI119" s="50" t="str">
        <f>konkurs2!$W$16</f>
        <v/>
      </c>
      <c r="BJ119" s="50" t="str">
        <f>konkurs2!$AQ$16</f>
        <v/>
      </c>
    </row>
    <row r="120" spans="50:62">
      <c r="AX120" s="49" t="s">
        <v>230</v>
      </c>
      <c r="AY120" t="str">
        <f>konkurs2!$AE$16</f>
        <v/>
      </c>
      <c r="AZ120" t="str">
        <f>konkurs2!$AA$16</f>
        <v/>
      </c>
      <c r="BA120" t="str">
        <f>konkurs2!$G$16</f>
        <v/>
      </c>
      <c r="BB120" t="str">
        <f>konkurs2!$K$16</f>
        <v/>
      </c>
      <c r="BC120" t="str">
        <f>konkurs2!$AM$16</f>
        <v/>
      </c>
      <c r="BD120" t="str">
        <f>konkurs2!$O$16</f>
        <v/>
      </c>
      <c r="BE120" t="str">
        <f>konkurs2!$AI$16</f>
        <v/>
      </c>
      <c r="BF120" t="str">
        <f>konkurs2!$AQ$16</f>
        <v/>
      </c>
      <c r="BG120" s="50" t="str">
        <f>konkurs2!$C$16</f>
        <v/>
      </c>
      <c r="BH120" s="50" t="str">
        <f>konkurs2!$S$16</f>
        <v/>
      </c>
      <c r="BI120" s="50" t="str">
        <f>konkurs2!$W$16</f>
        <v/>
      </c>
      <c r="BJ120" s="50" t="str">
        <f>konkurs2!$AU$16</f>
        <v/>
      </c>
    </row>
    <row r="121" spans="50:62">
      <c r="AX121" s="49" t="s">
        <v>231</v>
      </c>
      <c r="AY121" t="str">
        <f>konkurs2!$K$16</f>
        <v/>
      </c>
      <c r="AZ121" t="str">
        <f>konkurs2!$AM$16</f>
        <v/>
      </c>
      <c r="BA121" t="str">
        <f>konkurs2!$G$16</f>
        <v/>
      </c>
      <c r="BB121" t="str">
        <f>konkurs2!$O$16</f>
        <v/>
      </c>
      <c r="BC121" t="str">
        <f>konkurs2!$AI$16</f>
        <v/>
      </c>
      <c r="BD121" t="str">
        <f>konkurs2!$W$16</f>
        <v/>
      </c>
      <c r="BE121" t="str">
        <f>konkurs2!$AU$16</f>
        <v/>
      </c>
      <c r="BF121" t="str">
        <f>konkurs2!$AQ$16</f>
        <v/>
      </c>
      <c r="BG121" s="50" t="str">
        <f>konkurs2!$C$16</f>
        <v/>
      </c>
      <c r="BH121" s="50" t="str">
        <f>konkurs2!$S$16</f>
        <v/>
      </c>
      <c r="BI121" s="50" t="str">
        <f>konkurs2!$AA$16</f>
        <v/>
      </c>
      <c r="BJ121" s="50" t="str">
        <f>konkurs2!$AE$16</f>
        <v/>
      </c>
    </row>
    <row r="122" spans="50:62">
      <c r="AX122" s="49" t="s">
        <v>232</v>
      </c>
      <c r="AY122" t="str">
        <f>konkurs2!$K$16</f>
        <v/>
      </c>
      <c r="AZ122" t="str">
        <f>konkurs2!$AM$16</f>
        <v/>
      </c>
      <c r="BA122" t="str">
        <f>konkurs2!$G$16</f>
        <v/>
      </c>
      <c r="BB122" t="str">
        <f>konkurs2!$O$16</f>
        <v/>
      </c>
      <c r="BC122" t="str">
        <f>konkurs2!$AE$16</f>
        <v/>
      </c>
      <c r="BD122" t="str">
        <f>konkurs2!$W$16</f>
        <v/>
      </c>
      <c r="BE122" t="str">
        <f>konkurs2!$AU$16</f>
        <v/>
      </c>
      <c r="BF122" t="str">
        <f>konkurs2!$AQ$16</f>
        <v/>
      </c>
      <c r="BG122" s="50" t="str">
        <f>konkurs2!$C$16</f>
        <v/>
      </c>
      <c r="BH122" s="50" t="str">
        <f>konkurs2!$S$16</f>
        <v/>
      </c>
      <c r="BI122" s="50" t="str">
        <f>konkurs2!$AA$16</f>
        <v/>
      </c>
      <c r="BJ122" s="50" t="str">
        <f>konkurs2!$AI$16</f>
        <v/>
      </c>
    </row>
    <row r="123" spans="50:62">
      <c r="AX123" s="49" t="s">
        <v>233</v>
      </c>
      <c r="AY123" t="str">
        <f>konkurs2!$K$16</f>
        <v/>
      </c>
      <c r="AZ123" t="str">
        <f>konkurs2!$AI$16</f>
        <v/>
      </c>
      <c r="BA123" t="str">
        <f>konkurs2!$G$16</f>
        <v/>
      </c>
      <c r="BB123" t="str">
        <f>konkurs2!$O$16</f>
        <v/>
      </c>
      <c r="BC123" t="str">
        <f>konkurs2!$AE$16</f>
        <v/>
      </c>
      <c r="BD123" t="str">
        <f>konkurs2!$W$16</f>
        <v/>
      </c>
      <c r="BE123" t="str">
        <f>konkurs2!$AU$16</f>
        <v/>
      </c>
      <c r="BF123" t="str">
        <f>konkurs2!$AQ$16</f>
        <v/>
      </c>
      <c r="BG123" s="50" t="str">
        <f>konkurs2!$C$16</f>
        <v/>
      </c>
      <c r="BH123" s="50" t="str">
        <f>konkurs2!$S$16</f>
        <v/>
      </c>
      <c r="BI123" s="50" t="str">
        <f>konkurs2!$AA$16</f>
        <v/>
      </c>
      <c r="BJ123" s="50" t="str">
        <f>konkurs2!$AM$16</f>
        <v/>
      </c>
    </row>
    <row r="124" spans="50:62">
      <c r="AX124" s="49" t="s">
        <v>234</v>
      </c>
      <c r="AY124" t="str">
        <f>konkurs2!$K$16</f>
        <v/>
      </c>
      <c r="AZ124" t="str">
        <f>konkurs2!$AM$16</f>
        <v/>
      </c>
      <c r="BA124" t="str">
        <f>konkurs2!$G$16</f>
        <v/>
      </c>
      <c r="BB124" t="str">
        <f>konkurs2!$O$16</f>
        <v/>
      </c>
      <c r="BC124" t="str">
        <f>konkurs2!$AE$16</f>
        <v/>
      </c>
      <c r="BD124" t="str">
        <f>konkurs2!$W$16</f>
        <v/>
      </c>
      <c r="BE124" t="str">
        <f>konkurs2!$AU$16</f>
        <v/>
      </c>
      <c r="BF124" t="str">
        <f>konkurs2!$AI$16</f>
        <v/>
      </c>
      <c r="BG124" s="50" t="str">
        <f>konkurs2!$C$16</f>
        <v/>
      </c>
      <c r="BH124" s="50" t="str">
        <f>konkurs2!$S$16</f>
        <v/>
      </c>
      <c r="BI124" s="50" t="str">
        <f>konkurs2!$AA$16</f>
        <v/>
      </c>
      <c r="BJ124" s="50" t="str">
        <f>konkurs2!$AQ$16</f>
        <v/>
      </c>
    </row>
    <row r="125" spans="50:62">
      <c r="AX125" s="49" t="s">
        <v>235</v>
      </c>
      <c r="AY125" t="str">
        <f>konkurs2!$K$16</f>
        <v/>
      </c>
      <c r="AZ125" t="str">
        <f>konkurs2!$AM$16</f>
        <v/>
      </c>
      <c r="BA125" t="str">
        <f>konkurs2!$G$16</f>
        <v/>
      </c>
      <c r="BB125" t="str">
        <f>konkurs2!$O$16</f>
        <v/>
      </c>
      <c r="BC125" t="str">
        <f>konkurs2!$AE$16</f>
        <v/>
      </c>
      <c r="BD125" t="str">
        <f>konkurs2!$W$16</f>
        <v/>
      </c>
      <c r="BE125" t="str">
        <f>konkurs2!$AI$16</f>
        <v/>
      </c>
      <c r="BF125" t="str">
        <f>konkurs2!$AQ$16</f>
        <v/>
      </c>
      <c r="BG125" s="50" t="str">
        <f>konkurs2!$C$16</f>
        <v/>
      </c>
      <c r="BH125" s="50" t="str">
        <f>konkurs2!$S$16</f>
        <v/>
      </c>
      <c r="BI125" s="50" t="str">
        <f>konkurs2!$AA$16</f>
        <v/>
      </c>
      <c r="BJ125" s="50" t="str">
        <f>konkurs2!$AU$16</f>
        <v/>
      </c>
    </row>
    <row r="126" spans="50:62">
      <c r="AX126" s="49" t="s">
        <v>236</v>
      </c>
      <c r="AY126" t="str">
        <f>konkurs2!$K$16</f>
        <v/>
      </c>
      <c r="AZ126" t="str">
        <f>konkurs2!$AA$16</f>
        <v/>
      </c>
      <c r="BA126" t="str">
        <f>konkurs2!$G$16</f>
        <v/>
      </c>
      <c r="BB126" t="str">
        <f>konkurs2!$O$16</f>
        <v/>
      </c>
      <c r="BC126" t="str">
        <f>konkurs2!$AM$16</f>
        <v/>
      </c>
      <c r="BD126" t="str">
        <f>konkurs2!$W$16</f>
        <v/>
      </c>
      <c r="BE126" t="str">
        <f>konkurs2!$AU$16</f>
        <v/>
      </c>
      <c r="BF126" t="str">
        <f>konkurs2!$AQ$16</f>
        <v/>
      </c>
      <c r="BG126" s="50" t="str">
        <f>konkurs2!$C$16</f>
        <v/>
      </c>
      <c r="BH126" s="50" t="str">
        <f>konkurs2!$S$16</f>
        <v/>
      </c>
      <c r="BI126" s="50" t="str">
        <f>konkurs2!$AE$16</f>
        <v/>
      </c>
      <c r="BJ126" s="50" t="str">
        <f>konkurs2!$AI$16</f>
        <v/>
      </c>
    </row>
    <row r="127" spans="50:62">
      <c r="AX127" s="49" t="s">
        <v>237</v>
      </c>
      <c r="AY127" t="str">
        <f>konkurs2!$K$16</f>
        <v/>
      </c>
      <c r="AZ127" t="str">
        <f>konkurs2!$AA$16</f>
        <v/>
      </c>
      <c r="BA127" t="str">
        <f>konkurs2!$G$16</f>
        <v/>
      </c>
      <c r="BB127" t="str">
        <f>konkurs2!$O$16</f>
        <v/>
      </c>
      <c r="BC127" t="str">
        <f>konkurs2!$AI$16</f>
        <v/>
      </c>
      <c r="BD127" t="str">
        <f>konkurs2!$W$16</f>
        <v/>
      </c>
      <c r="BE127" t="str">
        <f>konkurs2!$AU$16</f>
        <v/>
      </c>
      <c r="BF127" t="str">
        <f>konkurs2!$AQ$16</f>
        <v/>
      </c>
      <c r="BG127" s="50" t="str">
        <f>konkurs2!$C$16</f>
        <v/>
      </c>
      <c r="BH127" s="50" t="str">
        <f>konkurs2!$S$16</f>
        <v/>
      </c>
      <c r="BI127" s="50" t="str">
        <f>konkurs2!$AE$16</f>
        <v/>
      </c>
      <c r="BJ127" s="50" t="str">
        <f>konkurs2!$AM$16</f>
        <v/>
      </c>
    </row>
    <row r="128" spans="50:62">
      <c r="AX128" s="49" t="s">
        <v>238</v>
      </c>
      <c r="AY128" t="str">
        <f>konkurs2!$K$16</f>
        <v/>
      </c>
      <c r="AZ128" t="str">
        <f>konkurs2!$AA$16</f>
        <v/>
      </c>
      <c r="BA128" t="str">
        <f>konkurs2!$G$16</f>
        <v/>
      </c>
      <c r="BB128" t="str">
        <f>konkurs2!$O$16</f>
        <v/>
      </c>
      <c r="BC128" t="str">
        <f>konkurs2!$AM$16</f>
        <v/>
      </c>
      <c r="BD128" t="str">
        <f>konkurs2!$W$16</f>
        <v/>
      </c>
      <c r="BE128" t="str">
        <f>konkurs2!$AU$16</f>
        <v/>
      </c>
      <c r="BF128" t="str">
        <f>konkurs2!$AI$16</f>
        <v/>
      </c>
      <c r="BG128" s="50" t="str">
        <f>konkurs2!$C$16</f>
        <v/>
      </c>
      <c r="BH128" s="50" t="str">
        <f>konkurs2!$S$16</f>
        <v/>
      </c>
      <c r="BI128" s="50" t="str">
        <f>konkurs2!$AE$16</f>
        <v/>
      </c>
      <c r="BJ128" s="50" t="str">
        <f>konkurs2!$AQ$16</f>
        <v/>
      </c>
    </row>
    <row r="129" spans="50:62">
      <c r="AX129" s="49" t="s">
        <v>239</v>
      </c>
      <c r="AY129" t="str">
        <f>konkurs2!$K$16</f>
        <v/>
      </c>
      <c r="AZ129" t="str">
        <f>konkurs2!$AA$16</f>
        <v/>
      </c>
      <c r="BA129" t="str">
        <f>konkurs2!$G$16</f>
        <v/>
      </c>
      <c r="BB129" t="str">
        <f>konkurs2!$O$16</f>
        <v/>
      </c>
      <c r="BC129" t="str">
        <f>konkurs2!$AM$16</f>
        <v/>
      </c>
      <c r="BD129" t="str">
        <f>konkurs2!$W$16</f>
        <v/>
      </c>
      <c r="BE129" t="str">
        <f>konkurs2!$AI$16</f>
        <v/>
      </c>
      <c r="BF129" t="str">
        <f>konkurs2!$AQ$16</f>
        <v/>
      </c>
      <c r="BG129" s="50" t="str">
        <f>konkurs2!$C$16</f>
        <v/>
      </c>
      <c r="BH129" s="50" t="str">
        <f>konkurs2!$S$16</f>
        <v/>
      </c>
      <c r="BI129" s="50" t="str">
        <f>konkurs2!$AE$16</f>
        <v/>
      </c>
      <c r="BJ129" s="50" t="str">
        <f>konkurs2!$AU$16</f>
        <v/>
      </c>
    </row>
    <row r="130" spans="50:62">
      <c r="AX130" s="49" t="s">
        <v>240</v>
      </c>
      <c r="AY130" t="str">
        <f>konkurs2!$K$16</f>
        <v/>
      </c>
      <c r="AZ130" t="str">
        <f>konkurs2!$AA$16</f>
        <v/>
      </c>
      <c r="BA130" t="str">
        <f>konkurs2!$G$16</f>
        <v/>
      </c>
      <c r="BB130" t="str">
        <f>konkurs2!$O$16</f>
        <v/>
      </c>
      <c r="BC130" t="str">
        <f>konkurs2!$AE$16</f>
        <v/>
      </c>
      <c r="BD130" t="str">
        <f>konkurs2!$W$16</f>
        <v/>
      </c>
      <c r="BE130" t="str">
        <f>konkurs2!$AU$16</f>
        <v/>
      </c>
      <c r="BF130" t="str">
        <f>konkurs2!$AQ$16</f>
        <v/>
      </c>
      <c r="BG130" s="50" t="str">
        <f>konkurs2!$C$16</f>
        <v/>
      </c>
      <c r="BH130" s="50" t="str">
        <f>konkurs2!$S$16</f>
        <v/>
      </c>
      <c r="BI130" s="50" t="str">
        <f>konkurs2!$AI$16</f>
        <v/>
      </c>
      <c r="BJ130" s="50" t="str">
        <f>konkurs2!$AM$16</f>
        <v/>
      </c>
    </row>
    <row r="131" spans="50:62">
      <c r="AX131" s="49" t="s">
        <v>241</v>
      </c>
      <c r="AY131" t="str">
        <f>konkurs2!$K$16</f>
        <v/>
      </c>
      <c r="AZ131" t="str">
        <f>konkurs2!$AA$16</f>
        <v/>
      </c>
      <c r="BA131" t="str">
        <f>konkurs2!$G$16</f>
        <v/>
      </c>
      <c r="BB131" t="str">
        <f>konkurs2!$O$16</f>
        <v/>
      </c>
      <c r="BC131" t="str">
        <f>konkurs2!$AE$16</f>
        <v/>
      </c>
      <c r="BD131" t="str">
        <f>konkurs2!$W$16</f>
        <v/>
      </c>
      <c r="BE131" t="str">
        <f>konkurs2!$AU$16</f>
        <v/>
      </c>
      <c r="BF131" t="str">
        <f>konkurs2!$AM$16</f>
        <v/>
      </c>
      <c r="BG131" s="50" t="str">
        <f>konkurs2!$C$16</f>
        <v/>
      </c>
      <c r="BH131" s="50" t="str">
        <f>konkurs2!$S$16</f>
        <v/>
      </c>
      <c r="BI131" s="50" t="str">
        <f>konkurs2!$AI$16</f>
        <v/>
      </c>
      <c r="BJ131" s="50" t="str">
        <f>konkurs2!$AQ$16</f>
        <v/>
      </c>
    </row>
    <row r="132" spans="50:62">
      <c r="AX132" s="49" t="s">
        <v>242</v>
      </c>
      <c r="AY132" t="str">
        <f>konkurs2!$AE$16</f>
        <v/>
      </c>
      <c r="AZ132" t="str">
        <f>konkurs2!$AA$16</f>
        <v/>
      </c>
      <c r="BA132" t="str">
        <f>konkurs2!$G$16</f>
        <v/>
      </c>
      <c r="BB132" t="str">
        <f>konkurs2!$K$16</f>
        <v/>
      </c>
      <c r="BC132" t="str">
        <f>konkurs2!$AM$16</f>
        <v/>
      </c>
      <c r="BD132" t="str">
        <f>konkurs2!$W$16</f>
        <v/>
      </c>
      <c r="BE132" t="str">
        <f>konkurs2!$O$16</f>
        <v/>
      </c>
      <c r="BF132" t="str">
        <f>konkurs2!$AQ$16</f>
        <v/>
      </c>
      <c r="BG132" s="50" t="str">
        <f>konkurs2!$C$16</f>
        <v/>
      </c>
      <c r="BH132" s="50" t="str">
        <f>konkurs2!$S$16</f>
        <v/>
      </c>
      <c r="BI132" s="50" t="str">
        <f>konkurs2!$AI$16</f>
        <v/>
      </c>
      <c r="BJ132" s="50" t="str">
        <f>konkurs2!$AU$16</f>
        <v/>
      </c>
    </row>
    <row r="133" spans="50:62">
      <c r="AX133" s="49" t="s">
        <v>243</v>
      </c>
      <c r="AY133" t="str">
        <f>konkurs2!$K$16</f>
        <v/>
      </c>
      <c r="AZ133" t="str">
        <f>konkurs2!$AA$16</f>
        <v/>
      </c>
      <c r="BA133" t="str">
        <f>konkurs2!$G$16</f>
        <v/>
      </c>
      <c r="BB133" t="str">
        <f>konkurs2!$O$16</f>
        <v/>
      </c>
      <c r="BC133" t="str">
        <f>konkurs2!$AE$16</f>
        <v/>
      </c>
      <c r="BD133" t="str">
        <f>konkurs2!$W$16</f>
        <v/>
      </c>
      <c r="BE133" t="str">
        <f>konkurs2!$AU$16</f>
        <v/>
      </c>
      <c r="BF133" t="str">
        <f>konkurs2!$AI$16</f>
        <v/>
      </c>
      <c r="BG133" s="50" t="str">
        <f>konkurs2!$C$16</f>
        <v/>
      </c>
      <c r="BH133" s="50" t="str">
        <f>konkurs2!$S$16</f>
        <v/>
      </c>
      <c r="BI133" s="50" t="str">
        <f>konkurs2!$AM$16</f>
        <v/>
      </c>
      <c r="BJ133" s="50" t="str">
        <f>konkurs2!$AQ$16</f>
        <v/>
      </c>
    </row>
    <row r="134" spans="50:62">
      <c r="AX134" s="49" t="s">
        <v>244</v>
      </c>
      <c r="AY134" t="str">
        <f>konkurs2!$K$16</f>
        <v/>
      </c>
      <c r="AZ134" t="str">
        <f>konkurs2!$AA$16</f>
        <v/>
      </c>
      <c r="BA134" t="str">
        <f>konkurs2!$G$16</f>
        <v/>
      </c>
      <c r="BB134" t="str">
        <f>konkurs2!$O$16</f>
        <v/>
      </c>
      <c r="BC134" t="str">
        <f>konkurs2!$AE$16</f>
        <v/>
      </c>
      <c r="BD134" t="str">
        <f>konkurs2!$W$16</f>
        <v/>
      </c>
      <c r="BE134" t="str">
        <f>konkurs2!$AI$16</f>
        <v/>
      </c>
      <c r="BF134" t="str">
        <f>konkurs2!$AQ$16</f>
        <v/>
      </c>
      <c r="BG134" s="50" t="str">
        <f>konkurs2!$C$16</f>
        <v/>
      </c>
      <c r="BH134" s="50" t="str">
        <f>konkurs2!$S$16</f>
        <v/>
      </c>
      <c r="BI134" s="50" t="str">
        <f>konkurs2!$AM$16</f>
        <v/>
      </c>
      <c r="BJ134" s="50" t="str">
        <f>konkurs2!$AU$16</f>
        <v/>
      </c>
    </row>
    <row r="135" spans="50:62">
      <c r="AX135" s="49" t="s">
        <v>245</v>
      </c>
      <c r="AY135" t="str">
        <f>konkurs2!$AE$16</f>
        <v/>
      </c>
      <c r="AZ135" t="str">
        <f>konkurs2!$AA$16</f>
        <v/>
      </c>
      <c r="BA135" t="str">
        <f>konkurs2!$G$16</f>
        <v/>
      </c>
      <c r="BB135" t="str">
        <f>konkurs2!$K$16</f>
        <v/>
      </c>
      <c r="BC135" t="str">
        <f>konkurs2!$AM$16</f>
        <v/>
      </c>
      <c r="BD135" t="str">
        <f>konkurs2!$W$16</f>
        <v/>
      </c>
      <c r="BE135" t="str">
        <f>konkurs2!$O$16</f>
        <v/>
      </c>
      <c r="BF135" t="str">
        <f>konkurs2!$AI$16</f>
        <v/>
      </c>
      <c r="BG135" s="50" t="str">
        <f>konkurs2!$C$16</f>
        <v/>
      </c>
      <c r="BH135" s="50" t="str">
        <f>konkurs2!$S$16</f>
        <v/>
      </c>
      <c r="BI135" s="50" t="str">
        <f>konkurs2!$AQ$16</f>
        <v/>
      </c>
      <c r="BJ135" s="50" t="str">
        <f>konkurs2!$AU$16</f>
        <v/>
      </c>
    </row>
    <row r="136" spans="50:62">
      <c r="AX136" s="49" t="s">
        <v>246</v>
      </c>
      <c r="AY136" t="str">
        <f>konkurs2!$S$16</f>
        <v/>
      </c>
      <c r="AZ136" t="str">
        <f>konkurs2!$AM$16</f>
        <v/>
      </c>
      <c r="BA136" t="str">
        <f>konkurs2!$G$16</f>
        <v/>
      </c>
      <c r="BB136" t="str">
        <f>konkurs2!$K$16</f>
        <v/>
      </c>
      <c r="BC136" t="str">
        <f>konkurs2!$AI$16</f>
        <v/>
      </c>
      <c r="BD136" t="str">
        <f>konkurs2!$O$16</f>
        <v/>
      </c>
      <c r="BE136" t="str">
        <f>konkurs2!$AU$16</f>
        <v/>
      </c>
      <c r="BF136" t="str">
        <f>konkurs2!$AQ$16</f>
        <v/>
      </c>
      <c r="BG136" s="50" t="str">
        <f>konkurs2!$C$16</f>
        <v/>
      </c>
      <c r="BH136" s="50" t="str">
        <f>konkurs2!$W$16</f>
        <v/>
      </c>
      <c r="BI136" s="50" t="str">
        <f>konkurs2!$AA$16</f>
        <v/>
      </c>
      <c r="BJ136" s="50" t="str">
        <f>konkurs2!$AE$16</f>
        <v/>
      </c>
    </row>
    <row r="137" spans="50:62">
      <c r="AX137" s="49" t="s">
        <v>247</v>
      </c>
      <c r="AY137" t="str">
        <f>konkurs2!$S$16</f>
        <v/>
      </c>
      <c r="AZ137" t="str">
        <f>konkurs2!$AM$16</f>
        <v/>
      </c>
      <c r="BA137" t="str">
        <f>konkurs2!$G$16</f>
        <v/>
      </c>
      <c r="BB137" t="str">
        <f>konkurs2!$K$16</f>
        <v/>
      </c>
      <c r="BC137" t="str">
        <f>konkurs2!$AE$16</f>
        <v/>
      </c>
      <c r="BD137" t="str">
        <f>konkurs2!$O$16</f>
        <v/>
      </c>
      <c r="BE137" t="str">
        <f>konkurs2!$AU$16</f>
        <v/>
      </c>
      <c r="BF137" t="str">
        <f>konkurs2!$AQ$16</f>
        <v/>
      </c>
      <c r="BG137" s="50" t="str">
        <f>konkurs2!$C$16</f>
        <v/>
      </c>
      <c r="BH137" s="50" t="str">
        <f>konkurs2!$W$16</f>
        <v/>
      </c>
      <c r="BI137" s="50" t="str">
        <f>konkurs2!$AA$16</f>
        <v/>
      </c>
      <c r="BJ137" s="50" t="str">
        <f>konkurs2!$AI$16</f>
        <v/>
      </c>
    </row>
    <row r="138" spans="50:62">
      <c r="AX138" s="49" t="s">
        <v>248</v>
      </c>
      <c r="AY138" t="str">
        <f>konkurs2!$S$16</f>
        <v/>
      </c>
      <c r="AZ138" t="str">
        <f>konkurs2!$AI$16</f>
        <v/>
      </c>
      <c r="BA138" t="str">
        <f>konkurs2!$G$16</f>
        <v/>
      </c>
      <c r="BB138" t="str">
        <f>konkurs2!$K$16</f>
        <v/>
      </c>
      <c r="BC138" t="str">
        <f>konkurs2!$AE$16</f>
        <v/>
      </c>
      <c r="BD138" t="str">
        <f>konkurs2!$O$16</f>
        <v/>
      </c>
      <c r="BE138" t="str">
        <f>konkurs2!$AU$16</f>
        <v/>
      </c>
      <c r="BF138" t="str">
        <f>konkurs2!$AQ$16</f>
        <v/>
      </c>
      <c r="BG138" s="50" t="str">
        <f>konkurs2!$C$16</f>
        <v/>
      </c>
      <c r="BH138" s="50" t="str">
        <f>konkurs2!$W$16</f>
        <v/>
      </c>
      <c r="BI138" s="50" t="str">
        <f>konkurs2!$AA$16</f>
        <v/>
      </c>
      <c r="BJ138" s="50" t="str">
        <f>konkurs2!$AM$16</f>
        <v/>
      </c>
    </row>
    <row r="139" spans="50:62">
      <c r="AX139" s="49" t="s">
        <v>249</v>
      </c>
      <c r="AY139" t="str">
        <f>konkurs2!$S$16</f>
        <v/>
      </c>
      <c r="AZ139" t="str">
        <f>konkurs2!$AM$16</f>
        <v/>
      </c>
      <c r="BA139" t="str">
        <f>konkurs2!$G$16</f>
        <v/>
      </c>
      <c r="BB139" t="str">
        <f>konkurs2!$K$16</f>
        <v/>
      </c>
      <c r="BC139" t="str">
        <f>konkurs2!$AE$16</f>
        <v/>
      </c>
      <c r="BD139" t="str">
        <f>konkurs2!$O$16</f>
        <v/>
      </c>
      <c r="BE139" t="str">
        <f>konkurs2!$AU$16</f>
        <v/>
      </c>
      <c r="BF139" t="str">
        <f>konkurs2!$AI$16</f>
        <v/>
      </c>
      <c r="BG139" s="50" t="str">
        <f>konkurs2!$C$16</f>
        <v/>
      </c>
      <c r="BH139" s="50" t="str">
        <f>konkurs2!$W$16</f>
        <v/>
      </c>
      <c r="BI139" s="50" t="str">
        <f>konkurs2!$AA$16</f>
        <v/>
      </c>
      <c r="BJ139" s="50" t="str">
        <f>konkurs2!$AQ$16</f>
        <v/>
      </c>
    </row>
    <row r="140" spans="50:62">
      <c r="AX140" s="49" t="s">
        <v>250</v>
      </c>
      <c r="AY140" t="str">
        <f>konkurs2!$S$16</f>
        <v/>
      </c>
      <c r="AZ140" t="str">
        <f>konkurs2!$AM$16</f>
        <v/>
      </c>
      <c r="BA140" t="str">
        <f>konkurs2!$G$16</f>
        <v/>
      </c>
      <c r="BB140" t="str">
        <f>konkurs2!$K$16</f>
        <v/>
      </c>
      <c r="BC140" t="str">
        <f>konkurs2!$AE$16</f>
        <v/>
      </c>
      <c r="BD140" t="str">
        <f>konkurs2!$O$16</f>
        <v/>
      </c>
      <c r="BE140" t="str">
        <f>konkurs2!$AI$16</f>
        <v/>
      </c>
      <c r="BF140" t="str">
        <f>konkurs2!$AQ$16</f>
        <v/>
      </c>
      <c r="BG140" s="50" t="str">
        <f>konkurs2!$C$16</f>
        <v/>
      </c>
      <c r="BH140" s="50" t="str">
        <f>konkurs2!$W$16</f>
        <v/>
      </c>
      <c r="BI140" s="50" t="str">
        <f>konkurs2!$AA$16</f>
        <v/>
      </c>
      <c r="BJ140" s="50" t="str">
        <f>konkurs2!$AU$16</f>
        <v/>
      </c>
    </row>
    <row r="141" spans="50:62">
      <c r="AX141" s="49" t="s">
        <v>251</v>
      </c>
      <c r="AY141" t="str">
        <f>konkurs2!$S$16</f>
        <v/>
      </c>
      <c r="AZ141" t="str">
        <f>konkurs2!$AA$16</f>
        <v/>
      </c>
      <c r="BA141" t="str">
        <f>konkurs2!$G$16</f>
        <v/>
      </c>
      <c r="BB141" t="str">
        <f>konkurs2!$K$16</f>
        <v/>
      </c>
      <c r="BC141" t="str">
        <f>konkurs2!$AM$16</f>
        <v/>
      </c>
      <c r="BD141" t="str">
        <f>konkurs2!$O$16</f>
        <v/>
      </c>
      <c r="BE141" t="str">
        <f>konkurs2!$AU$16</f>
        <v/>
      </c>
      <c r="BF141" t="str">
        <f>konkurs2!$AQ$16</f>
        <v/>
      </c>
      <c r="BG141" s="50" t="str">
        <f>konkurs2!$C$16</f>
        <v/>
      </c>
      <c r="BH141" s="50" t="str">
        <f>konkurs2!$W$16</f>
        <v/>
      </c>
      <c r="BI141" s="50" t="str">
        <f>konkurs2!$AE$16</f>
        <v/>
      </c>
      <c r="BJ141" s="50" t="str">
        <f>konkurs2!$AI$16</f>
        <v/>
      </c>
    </row>
    <row r="142" spans="50:62">
      <c r="AX142" s="49" t="s">
        <v>252</v>
      </c>
      <c r="AY142" t="str">
        <f>konkurs2!$S$16</f>
        <v/>
      </c>
      <c r="AZ142" t="str">
        <f>konkurs2!$AA$16</f>
        <v/>
      </c>
      <c r="BA142" t="str">
        <f>konkurs2!$G$16</f>
        <v/>
      </c>
      <c r="BB142" t="str">
        <f>konkurs2!$K$16</f>
        <v/>
      </c>
      <c r="BC142" t="str">
        <f>konkurs2!$AI$16</f>
        <v/>
      </c>
      <c r="BD142" t="str">
        <f>konkurs2!$O$16</f>
        <v/>
      </c>
      <c r="BE142" t="str">
        <f>konkurs2!$AU$16</f>
        <v/>
      </c>
      <c r="BF142" t="str">
        <f>konkurs2!$AQ$16</f>
        <v/>
      </c>
      <c r="BG142" s="50" t="str">
        <f>konkurs2!$C$16</f>
        <v/>
      </c>
      <c r="BH142" s="50" t="str">
        <f>konkurs2!$W$16</f>
        <v/>
      </c>
      <c r="BI142" s="50" t="str">
        <f>konkurs2!$AE$16</f>
        <v/>
      </c>
      <c r="BJ142" s="50" t="str">
        <f>konkurs2!$AM$16</f>
        <v/>
      </c>
    </row>
    <row r="143" spans="50:62">
      <c r="AX143" s="49" t="s">
        <v>253</v>
      </c>
      <c r="AY143" t="str">
        <f>konkurs2!$S$16</f>
        <v/>
      </c>
      <c r="AZ143" t="str">
        <f>konkurs2!$AA$16</f>
        <v/>
      </c>
      <c r="BA143" t="str">
        <f>konkurs2!$G$16</f>
        <v/>
      </c>
      <c r="BB143" t="str">
        <f>konkurs2!$K$16</f>
        <v/>
      </c>
      <c r="BC143" t="str">
        <f>konkurs2!$AM$16</f>
        <v/>
      </c>
      <c r="BD143" t="str">
        <f>konkurs2!$O$16</f>
        <v/>
      </c>
      <c r="BE143" t="str">
        <f>konkurs2!$AU$16</f>
        <v/>
      </c>
      <c r="BF143" t="str">
        <f>konkurs2!$AI$16</f>
        <v/>
      </c>
      <c r="BG143" s="50" t="str">
        <f>konkurs2!$C$16</f>
        <v/>
      </c>
      <c r="BH143" s="50" t="str">
        <f>konkurs2!$W$16</f>
        <v/>
      </c>
      <c r="BI143" s="50" t="str">
        <f>konkurs2!$AE$16</f>
        <v/>
      </c>
      <c r="BJ143" s="50" t="str">
        <f>konkurs2!$AQ$16</f>
        <v/>
      </c>
    </row>
    <row r="144" spans="50:62">
      <c r="AX144" s="49" t="s">
        <v>254</v>
      </c>
      <c r="AY144" t="str">
        <f>konkurs2!$S$16</f>
        <v/>
      </c>
      <c r="AZ144" t="str">
        <f>konkurs2!$AA$16</f>
        <v/>
      </c>
      <c r="BA144" t="str">
        <f>konkurs2!$G$16</f>
        <v/>
      </c>
      <c r="BB144" t="str">
        <f>konkurs2!$K$16</f>
        <v/>
      </c>
      <c r="BC144" t="str">
        <f>konkurs2!$AM$16</f>
        <v/>
      </c>
      <c r="BD144" t="str">
        <f>konkurs2!$O$16</f>
        <v/>
      </c>
      <c r="BE144" t="str">
        <f>konkurs2!$AI$16</f>
        <v/>
      </c>
      <c r="BF144" t="str">
        <f>konkurs2!$AQ$16</f>
        <v/>
      </c>
      <c r="BG144" s="50" t="str">
        <f>konkurs2!$C$16</f>
        <v/>
      </c>
      <c r="BH144" s="50" t="str">
        <f>konkurs2!$W$16</f>
        <v/>
      </c>
      <c r="BI144" s="50" t="str">
        <f>konkurs2!$AE$16</f>
        <v/>
      </c>
      <c r="BJ144" s="50" t="str">
        <f>konkurs2!$AU$16</f>
        <v/>
      </c>
    </row>
    <row r="145" spans="50:62">
      <c r="AX145" s="49" t="s">
        <v>255</v>
      </c>
      <c r="AY145" t="str">
        <f>konkurs2!$S$16</f>
        <v/>
      </c>
      <c r="AZ145" t="str">
        <f>konkurs2!$AA$16</f>
        <v/>
      </c>
      <c r="BA145" t="str">
        <f>konkurs2!$G$16</f>
        <v/>
      </c>
      <c r="BB145" t="str">
        <f>konkurs2!$K$16</f>
        <v/>
      </c>
      <c r="BC145" t="str">
        <f>konkurs2!$AE$16</f>
        <v/>
      </c>
      <c r="BD145" t="str">
        <f>konkurs2!$O$16</f>
        <v/>
      </c>
      <c r="BE145" t="str">
        <f>konkurs2!$AU$16</f>
        <v/>
      </c>
      <c r="BF145" t="str">
        <f>konkurs2!$AQ$16</f>
        <v/>
      </c>
      <c r="BG145" s="50" t="str">
        <f>konkurs2!$C$16</f>
        <v/>
      </c>
      <c r="BH145" s="50" t="str">
        <f>konkurs2!$W$16</f>
        <v/>
      </c>
      <c r="BI145" s="50" t="str">
        <f>konkurs2!$AI$16</f>
        <v/>
      </c>
      <c r="BJ145" s="50" t="str">
        <f>konkurs2!$AM$16</f>
        <v/>
      </c>
    </row>
    <row r="146" spans="50:62">
      <c r="AX146" s="49" t="s">
        <v>256</v>
      </c>
      <c r="AY146" t="str">
        <f>konkurs2!$AE$16</f>
        <v/>
      </c>
      <c r="AZ146" t="str">
        <f>konkurs2!$AA$16</f>
        <v/>
      </c>
      <c r="BA146" t="str">
        <f>konkurs2!$G$16</f>
        <v/>
      </c>
      <c r="BB146" t="str">
        <f>konkurs2!$K$16</f>
        <v/>
      </c>
      <c r="BC146" t="str">
        <f>konkurs2!$AM$16</f>
        <v/>
      </c>
      <c r="BD146" t="str">
        <f>konkurs2!$O$16</f>
        <v/>
      </c>
      <c r="BE146" t="str">
        <f>konkurs2!$AU$16</f>
        <v/>
      </c>
      <c r="BF146" t="str">
        <f>konkurs2!$S$16</f>
        <v/>
      </c>
      <c r="BG146" s="50" t="str">
        <f>konkurs2!$C$16</f>
        <v/>
      </c>
      <c r="BH146" s="50" t="str">
        <f>konkurs2!$W$16</f>
        <v/>
      </c>
      <c r="BI146" s="50" t="str">
        <f>konkurs2!$AI$16</f>
        <v/>
      </c>
      <c r="BJ146" s="50" t="str">
        <f>konkurs2!$AQ$16</f>
        <v/>
      </c>
    </row>
    <row r="147" spans="50:62">
      <c r="AX147" s="49" t="s">
        <v>257</v>
      </c>
      <c r="AY147" t="str">
        <f>konkurs2!$AE$16</f>
        <v/>
      </c>
      <c r="AZ147" t="str">
        <f>konkurs2!$AA$16</f>
        <v/>
      </c>
      <c r="BA147" t="str">
        <f>konkurs2!$G$16</f>
        <v/>
      </c>
      <c r="BB147" t="str">
        <f>konkurs2!$K$16</f>
        <v/>
      </c>
      <c r="BC147" t="str">
        <f>konkurs2!$AM$16</f>
        <v/>
      </c>
      <c r="BD147" t="str">
        <f>konkurs2!$O$16</f>
        <v/>
      </c>
      <c r="BE147" t="str">
        <f>konkurs2!$S$16</f>
        <v/>
      </c>
      <c r="BF147" t="str">
        <f>konkurs2!$AQ$16</f>
        <v/>
      </c>
      <c r="BG147" s="50" t="str">
        <f>konkurs2!$C$16</f>
        <v/>
      </c>
      <c r="BH147" s="50" t="str">
        <f>konkurs2!$W$16</f>
        <v/>
      </c>
      <c r="BI147" s="50" t="str">
        <f>konkurs2!$AI$16</f>
        <v/>
      </c>
      <c r="BJ147" s="50" t="str">
        <f>konkurs2!$AU$16</f>
        <v/>
      </c>
    </row>
    <row r="148" spans="50:62">
      <c r="AX148" s="49" t="s">
        <v>258</v>
      </c>
      <c r="AY148" t="str">
        <f>konkurs2!$S$16</f>
        <v/>
      </c>
      <c r="AZ148" t="str">
        <f>konkurs2!$AA$16</f>
        <v/>
      </c>
      <c r="BA148" t="str">
        <f>konkurs2!$G$16</f>
        <v/>
      </c>
      <c r="BB148" t="str">
        <f>konkurs2!$K$16</f>
        <v/>
      </c>
      <c r="BC148" t="str">
        <f>konkurs2!$AE$16</f>
        <v/>
      </c>
      <c r="BD148" t="str">
        <f>konkurs2!$O$16</f>
        <v/>
      </c>
      <c r="BE148" t="str">
        <f>konkurs2!$AU$16</f>
        <v/>
      </c>
      <c r="BF148" t="str">
        <f>konkurs2!$AI$16</f>
        <v/>
      </c>
      <c r="BG148" s="50" t="str">
        <f>konkurs2!$C$16</f>
        <v/>
      </c>
      <c r="BH148" s="50" t="str">
        <f>konkurs2!$W$16</f>
        <v/>
      </c>
      <c r="BI148" s="50" t="str">
        <f>konkurs2!$AM$16</f>
        <v/>
      </c>
      <c r="BJ148" s="50" t="str">
        <f>konkurs2!$AQ$16</f>
        <v/>
      </c>
    </row>
    <row r="149" spans="50:62">
      <c r="AX149" s="49" t="s">
        <v>259</v>
      </c>
      <c r="AY149" t="str">
        <f>konkurs2!$S$16</f>
        <v/>
      </c>
      <c r="AZ149" t="str">
        <f>konkurs2!$AA$16</f>
        <v/>
      </c>
      <c r="BA149" t="str">
        <f>konkurs2!$G$16</f>
        <v/>
      </c>
      <c r="BB149" t="str">
        <f>konkurs2!$K$16</f>
        <v/>
      </c>
      <c r="BC149" t="str">
        <f>konkurs2!$AE$16</f>
        <v/>
      </c>
      <c r="BD149" t="str">
        <f>konkurs2!$O$16</f>
        <v/>
      </c>
      <c r="BE149" t="str">
        <f>konkurs2!$AI$16</f>
        <v/>
      </c>
      <c r="BF149" t="str">
        <f>konkurs2!$AQ$16</f>
        <v/>
      </c>
      <c r="BG149" s="50" t="str">
        <f>konkurs2!$C$16</f>
        <v/>
      </c>
      <c r="BH149" s="50" t="str">
        <f>konkurs2!$W$16</f>
        <v/>
      </c>
      <c r="BI149" s="50" t="str">
        <f>konkurs2!$AM$16</f>
        <v/>
      </c>
      <c r="BJ149" s="50" t="str">
        <f>konkurs2!$AU$16</f>
        <v/>
      </c>
    </row>
    <row r="150" spans="50:62">
      <c r="AX150" s="49" t="s">
        <v>260</v>
      </c>
      <c r="AY150" t="str">
        <f>konkurs2!$AE$16</f>
        <v/>
      </c>
      <c r="AZ150" t="str">
        <f>konkurs2!$AA$16</f>
        <v/>
      </c>
      <c r="BA150" t="str">
        <f>konkurs2!$G$16</f>
        <v/>
      </c>
      <c r="BB150" t="str">
        <f>konkurs2!$K$16</f>
        <v/>
      </c>
      <c r="BC150" t="str">
        <f>konkurs2!$AM$16</f>
        <v/>
      </c>
      <c r="BD150" t="str">
        <f>konkurs2!$O$16</f>
        <v/>
      </c>
      <c r="BE150" t="str">
        <f>konkurs2!$S$16</f>
        <v/>
      </c>
      <c r="BF150" t="str">
        <f>konkurs2!$AI$16</f>
        <v/>
      </c>
      <c r="BG150" s="50" t="str">
        <f>konkurs2!$C$16</f>
        <v/>
      </c>
      <c r="BH150" s="50" t="str">
        <f>konkurs2!$W$16</f>
        <v/>
      </c>
      <c r="BI150" s="50" t="str">
        <f>konkurs2!$AQ$16</f>
        <v/>
      </c>
      <c r="BJ150" s="50" t="str">
        <f>konkurs2!$AU$16</f>
        <v/>
      </c>
    </row>
    <row r="151" spans="50:62">
      <c r="AX151" s="49" t="s">
        <v>261</v>
      </c>
      <c r="AY151" t="str">
        <f>konkurs2!$K$16</f>
        <v/>
      </c>
      <c r="AZ151" t="str">
        <f>konkurs2!$AM$16</f>
        <v/>
      </c>
      <c r="BA151" t="str">
        <f>konkurs2!$G$16</f>
        <v/>
      </c>
      <c r="BB151" t="str">
        <f>konkurs2!$O$16</f>
        <v/>
      </c>
      <c r="BC151" t="str">
        <f>konkurs2!$S$16</f>
        <v/>
      </c>
      <c r="BD151" t="str">
        <f>konkurs2!$W$16</f>
        <v/>
      </c>
      <c r="BE151" t="str">
        <f>konkurs2!$AU$16</f>
        <v/>
      </c>
      <c r="BF151" t="str">
        <f>konkurs2!$AQ$16</f>
        <v/>
      </c>
      <c r="BG151" s="50" t="str">
        <f>konkurs2!$C$16</f>
        <v/>
      </c>
      <c r="BH151" s="50" t="str">
        <f>konkurs2!$AA$16</f>
        <v/>
      </c>
      <c r="BI151" s="50" t="str">
        <f>konkurs2!$AE$16</f>
        <v/>
      </c>
      <c r="BJ151" s="50" t="str">
        <f>konkurs2!$AI$16</f>
        <v/>
      </c>
    </row>
    <row r="152" spans="50:62">
      <c r="AX152" s="49" t="s">
        <v>262</v>
      </c>
      <c r="AY152" t="str">
        <f>konkurs2!$K$16</f>
        <v/>
      </c>
      <c r="AZ152" t="str">
        <f>konkurs2!$S$16</f>
        <v/>
      </c>
      <c r="BA152" t="str">
        <f>konkurs2!$G$16</f>
        <v/>
      </c>
      <c r="BB152" t="str">
        <f>konkurs2!$O$16</f>
        <v/>
      </c>
      <c r="BC152" t="str">
        <f>konkurs2!$AI$16</f>
        <v/>
      </c>
      <c r="BD152" t="str">
        <f>konkurs2!$W$16</f>
        <v/>
      </c>
      <c r="BE152" t="str">
        <f>konkurs2!$AU$16</f>
        <v/>
      </c>
      <c r="BF152" t="str">
        <f>konkurs2!$AQ$16</f>
        <v/>
      </c>
      <c r="BG152" s="50" t="str">
        <f>konkurs2!$C$16</f>
        <v/>
      </c>
      <c r="BH152" s="50" t="str">
        <f>konkurs2!$AA$16</f>
        <v/>
      </c>
      <c r="BI152" s="50" t="str">
        <f>konkurs2!$AE$16</f>
        <v/>
      </c>
      <c r="BJ152" s="50" t="str">
        <f>konkurs2!$AM$16</f>
        <v/>
      </c>
    </row>
    <row r="153" spans="50:62">
      <c r="AX153" s="49" t="s">
        <v>263</v>
      </c>
      <c r="AY153" t="str">
        <f>konkurs2!$K$16</f>
        <v/>
      </c>
      <c r="AZ153" t="str">
        <f>konkurs2!$AM$16</f>
        <v/>
      </c>
      <c r="BA153" t="str">
        <f>konkurs2!$G$16</f>
        <v/>
      </c>
      <c r="BB153" t="str">
        <f>konkurs2!$O$16</f>
        <v/>
      </c>
      <c r="BC153" t="str">
        <f>konkurs2!$S$16</f>
        <v/>
      </c>
      <c r="BD153" t="str">
        <f>konkurs2!$W$16</f>
        <v/>
      </c>
      <c r="BE153" t="str">
        <f>konkurs2!$AU$16</f>
        <v/>
      </c>
      <c r="BF153" t="str">
        <f>konkurs2!$AI$16</f>
        <v/>
      </c>
      <c r="BG153" s="50" t="str">
        <f>konkurs2!$C$16</f>
        <v/>
      </c>
      <c r="BH153" s="50" t="str">
        <f>konkurs2!$AA$16</f>
        <v/>
      </c>
      <c r="BI153" s="50" t="str">
        <f>konkurs2!$AE$16</f>
        <v/>
      </c>
      <c r="BJ153" s="50" t="str">
        <f>konkurs2!$AQ$16</f>
        <v/>
      </c>
    </row>
    <row r="154" spans="50:62">
      <c r="AX154" s="49" t="s">
        <v>264</v>
      </c>
      <c r="AY154" t="str">
        <f>konkurs2!$K$16</f>
        <v/>
      </c>
      <c r="AZ154" t="str">
        <f>konkurs2!$AM$16</f>
        <v/>
      </c>
      <c r="BA154" t="str">
        <f>konkurs2!$G$16</f>
        <v/>
      </c>
      <c r="BB154" t="str">
        <f>konkurs2!$O$16</f>
        <v/>
      </c>
      <c r="BC154" t="str">
        <f>konkurs2!$S$16</f>
        <v/>
      </c>
      <c r="BD154" t="str">
        <f>konkurs2!$W$16</f>
        <v/>
      </c>
      <c r="BE154" t="str">
        <f>konkurs2!$AI$16</f>
        <v/>
      </c>
      <c r="BF154" t="str">
        <f>konkurs2!$AQ$16</f>
        <v/>
      </c>
      <c r="BG154" s="50" t="str">
        <f>konkurs2!$C$16</f>
        <v/>
      </c>
      <c r="BH154" s="50" t="str">
        <f>konkurs2!$AA$16</f>
        <v/>
      </c>
      <c r="BI154" s="50" t="str">
        <f>konkurs2!$AE$16</f>
        <v/>
      </c>
      <c r="BJ154" s="50" t="str">
        <f>konkurs2!$AU$16</f>
        <v/>
      </c>
    </row>
    <row r="155" spans="50:62">
      <c r="AX155" s="49" t="s">
        <v>265</v>
      </c>
      <c r="AY155" t="str">
        <f>konkurs2!$K$16</f>
        <v/>
      </c>
      <c r="AZ155" t="str">
        <f>konkurs2!$S$16</f>
        <v/>
      </c>
      <c r="BA155" t="str">
        <f>konkurs2!$G$16</f>
        <v/>
      </c>
      <c r="BB155" t="str">
        <f>konkurs2!$O$16</f>
        <v/>
      </c>
      <c r="BC155" t="str">
        <f>konkurs2!$AE$16</f>
        <v/>
      </c>
      <c r="BD155" t="str">
        <f>konkurs2!$W$16</f>
        <v/>
      </c>
      <c r="BE155" t="str">
        <f>konkurs2!$AU$16</f>
        <v/>
      </c>
      <c r="BF155" t="str">
        <f>konkurs2!$AQ$16</f>
        <v/>
      </c>
      <c r="BG155" s="50" t="str">
        <f>konkurs2!$C$16</f>
        <v/>
      </c>
      <c r="BH155" s="50" t="str">
        <f>konkurs2!$AA$16</f>
        <v/>
      </c>
      <c r="BI155" s="50" t="str">
        <f>konkurs2!$AI$16</f>
        <v/>
      </c>
      <c r="BJ155" s="50" t="str">
        <f>konkurs2!$AM$16</f>
        <v/>
      </c>
    </row>
    <row r="156" spans="50:62">
      <c r="AX156" s="49" t="s">
        <v>266</v>
      </c>
      <c r="AY156" t="str">
        <f>konkurs2!$K$16</f>
        <v/>
      </c>
      <c r="AZ156" t="str">
        <f>konkurs2!$AM$16</f>
        <v/>
      </c>
      <c r="BA156" t="str">
        <f>konkurs2!$G$16</f>
        <v/>
      </c>
      <c r="BB156" t="str">
        <f>konkurs2!$O$16</f>
        <v/>
      </c>
      <c r="BC156" t="str">
        <f>konkurs2!$AE$16</f>
        <v/>
      </c>
      <c r="BD156" t="str">
        <f>konkurs2!$W$16</f>
        <v/>
      </c>
      <c r="BE156" t="str">
        <f>konkurs2!$AU$16</f>
        <v/>
      </c>
      <c r="BF156" t="str">
        <f>konkurs2!$S$16</f>
        <v/>
      </c>
      <c r="BG156" s="50" t="str">
        <f>konkurs2!$C$16</f>
        <v/>
      </c>
      <c r="BH156" s="50" t="str">
        <f>konkurs2!$AA$16</f>
        <v/>
      </c>
      <c r="BI156" s="50" t="str">
        <f>konkurs2!$AI$16</f>
        <v/>
      </c>
      <c r="BJ156" s="50" t="str">
        <f>konkurs2!$AQ$16</f>
        <v/>
      </c>
    </row>
    <row r="157" spans="50:62">
      <c r="AX157" s="49" t="s">
        <v>267</v>
      </c>
      <c r="AY157" t="str">
        <f>konkurs2!$K$16</f>
        <v/>
      </c>
      <c r="AZ157" t="str">
        <f>konkurs2!$AM$16</f>
        <v/>
      </c>
      <c r="BA157" t="str">
        <f>konkurs2!$G$16</f>
        <v/>
      </c>
      <c r="BB157" t="str">
        <f>konkurs2!$O$16</f>
        <v/>
      </c>
      <c r="BC157" t="str">
        <f>konkurs2!$AE$16</f>
        <v/>
      </c>
      <c r="BD157" t="str">
        <f>konkurs2!$W$16</f>
        <v/>
      </c>
      <c r="BE157" t="str">
        <f>konkurs2!$S$16</f>
        <v/>
      </c>
      <c r="BF157" t="str">
        <f>konkurs2!$AQ$16</f>
        <v/>
      </c>
      <c r="BG157" s="50" t="str">
        <f>konkurs2!$C$16</f>
        <v/>
      </c>
      <c r="BH157" s="50" t="str">
        <f>konkurs2!$AA$16</f>
        <v/>
      </c>
      <c r="BI157" s="50" t="str">
        <f>konkurs2!$AI$16</f>
        <v/>
      </c>
      <c r="BJ157" s="50" t="str">
        <f>konkurs2!$AU$16</f>
        <v/>
      </c>
    </row>
    <row r="158" spans="50:62">
      <c r="AX158" s="49" t="s">
        <v>268</v>
      </c>
      <c r="AY158" t="str">
        <f>konkurs2!$K$16</f>
        <v/>
      </c>
      <c r="AZ158" t="str">
        <f>konkurs2!$S$16</f>
        <v/>
      </c>
      <c r="BA158" t="str">
        <f>konkurs2!$G$16</f>
        <v/>
      </c>
      <c r="BB158" t="str">
        <f>konkurs2!$O$16</f>
        <v/>
      </c>
      <c r="BC158" t="str">
        <f>konkurs2!$AE$16</f>
        <v/>
      </c>
      <c r="BD158" t="str">
        <f>konkurs2!$W$16</f>
        <v/>
      </c>
      <c r="BE158" t="str">
        <f>konkurs2!$AU$16</f>
        <v/>
      </c>
      <c r="BF158" t="str">
        <f>konkurs2!$AI$16</f>
        <v/>
      </c>
      <c r="BG158" s="50" t="str">
        <f>konkurs2!$C$16</f>
        <v/>
      </c>
      <c r="BH158" s="50" t="str">
        <f>konkurs2!$AA$16</f>
        <v/>
      </c>
      <c r="BI158" s="50" t="str">
        <f>konkurs2!$AM$16</f>
        <v/>
      </c>
      <c r="BJ158" s="50" t="str">
        <f>konkurs2!$AQ$16</f>
        <v/>
      </c>
    </row>
    <row r="159" spans="50:62">
      <c r="AX159" s="49" t="s">
        <v>269</v>
      </c>
      <c r="AY159" t="str">
        <f>konkurs2!$K$16</f>
        <v/>
      </c>
      <c r="AZ159" t="str">
        <f>konkurs2!$S$16</f>
        <v/>
      </c>
      <c r="BA159" t="str">
        <f>konkurs2!$G$16</f>
        <v/>
      </c>
      <c r="BB159" t="str">
        <f>konkurs2!$O$16</f>
        <v/>
      </c>
      <c r="BC159" t="str">
        <f>konkurs2!$AE$16</f>
        <v/>
      </c>
      <c r="BD159" t="str">
        <f>konkurs2!$W$16</f>
        <v/>
      </c>
      <c r="BE159" t="str">
        <f>konkurs2!$AI$16</f>
        <v/>
      </c>
      <c r="BF159" t="str">
        <f>konkurs2!$AQ$16</f>
        <v/>
      </c>
      <c r="BG159" s="50" t="str">
        <f>konkurs2!$C$16</f>
        <v/>
      </c>
      <c r="BH159" s="50" t="str">
        <f>konkurs2!$AA$16</f>
        <v/>
      </c>
      <c r="BI159" s="50" t="str">
        <f>konkurs2!$AM$16</f>
        <v/>
      </c>
      <c r="BJ159" s="50" t="str">
        <f>konkurs2!$AU$16</f>
        <v/>
      </c>
    </row>
    <row r="160" spans="50:62">
      <c r="AX160" s="49" t="s">
        <v>270</v>
      </c>
      <c r="AY160" t="str">
        <f>konkurs2!$K$16</f>
        <v/>
      </c>
      <c r="AZ160" t="str">
        <f>konkurs2!$AM$16</f>
        <v/>
      </c>
      <c r="BA160" t="str">
        <f>konkurs2!$G$16</f>
        <v/>
      </c>
      <c r="BB160" t="str">
        <f>konkurs2!$O$16</f>
        <v/>
      </c>
      <c r="BC160" t="str">
        <f>konkurs2!$AE$16</f>
        <v/>
      </c>
      <c r="BD160" t="str">
        <f>konkurs2!$W$16</f>
        <v/>
      </c>
      <c r="BE160" t="str">
        <f>konkurs2!$S$16</f>
        <v/>
      </c>
      <c r="BF160" t="str">
        <f>konkurs2!$AI$16</f>
        <v/>
      </c>
      <c r="BG160" s="50" t="str">
        <f>konkurs2!$C$16</f>
        <v/>
      </c>
      <c r="BH160" s="50" t="str">
        <f>konkurs2!$AA$16</f>
        <v/>
      </c>
      <c r="BI160" s="50" t="str">
        <f>konkurs2!$AQ$16</f>
        <v/>
      </c>
      <c r="BJ160" s="50" t="str">
        <f>konkurs2!$AU$16</f>
        <v/>
      </c>
    </row>
    <row r="161" spans="50:62">
      <c r="AX161" s="49" t="s">
        <v>271</v>
      </c>
      <c r="AY161" t="str">
        <f>konkurs2!$K$16</f>
        <v/>
      </c>
      <c r="AZ161" t="str">
        <f>konkurs2!$AA$16</f>
        <v/>
      </c>
      <c r="BA161" t="str">
        <f>konkurs2!$G$16</f>
        <v/>
      </c>
      <c r="BB161" t="str">
        <f>konkurs2!$O$16</f>
        <v/>
      </c>
      <c r="BC161" t="str">
        <f>konkurs2!$S$16</f>
        <v/>
      </c>
      <c r="BD161" t="str">
        <f>konkurs2!$W$16</f>
        <v/>
      </c>
      <c r="BE161" t="str">
        <f>konkurs2!$AU$16</f>
        <v/>
      </c>
      <c r="BF161" t="str">
        <f>konkurs2!$AQ$16</f>
        <v/>
      </c>
      <c r="BG161" s="50" t="str">
        <f>konkurs2!$C$16</f>
        <v/>
      </c>
      <c r="BH161" s="50" t="str">
        <f>konkurs2!$AE$16</f>
        <v/>
      </c>
      <c r="BI161" s="50" t="str">
        <f>konkurs2!$AI$16</f>
        <v/>
      </c>
      <c r="BJ161" s="50" t="str">
        <f>konkurs2!$AM$16</f>
        <v/>
      </c>
    </row>
    <row r="162" spans="50:62">
      <c r="AX162" s="49" t="s">
        <v>272</v>
      </c>
      <c r="AY162" t="str">
        <f>konkurs2!$K$16</f>
        <v/>
      </c>
      <c r="AZ162" t="str">
        <f>konkurs2!$AA$16</f>
        <v/>
      </c>
      <c r="BA162" t="str">
        <f>konkurs2!$G$16</f>
        <v/>
      </c>
      <c r="BB162" t="str">
        <f>konkurs2!$O$16</f>
        <v/>
      </c>
      <c r="BC162" t="str">
        <f>konkurs2!$AM$16</f>
        <v/>
      </c>
      <c r="BD162" t="str">
        <f>konkurs2!$W$16</f>
        <v/>
      </c>
      <c r="BE162" t="str">
        <f>konkurs2!$AU$16</f>
        <v/>
      </c>
      <c r="BF162" t="str">
        <f>konkurs2!$S$16</f>
        <v/>
      </c>
      <c r="BG162" s="50" t="str">
        <f>konkurs2!$C$16</f>
        <v/>
      </c>
      <c r="BH162" s="50" t="str">
        <f>konkurs2!$AE$16</f>
        <v/>
      </c>
      <c r="BI162" s="50" t="str">
        <f>konkurs2!$AI$16</f>
        <v/>
      </c>
      <c r="BJ162" s="50" t="str">
        <f>konkurs2!$AQ$16</f>
        <v/>
      </c>
    </row>
    <row r="163" spans="50:62">
      <c r="AX163" s="49" t="s">
        <v>273</v>
      </c>
      <c r="AY163" t="str">
        <f>konkurs2!$K$16</f>
        <v/>
      </c>
      <c r="AZ163" t="str">
        <f>konkurs2!$AA$16</f>
        <v/>
      </c>
      <c r="BA163" t="str">
        <f>konkurs2!$G$16</f>
        <v/>
      </c>
      <c r="BB163" t="str">
        <f>konkurs2!$O$16</f>
        <v/>
      </c>
      <c r="BC163" t="str">
        <f>konkurs2!$AM$16</f>
        <v/>
      </c>
      <c r="BD163" t="str">
        <f>konkurs2!$W$16</f>
        <v/>
      </c>
      <c r="BE163" t="str">
        <f>konkurs2!$S$16</f>
        <v/>
      </c>
      <c r="BF163" t="str">
        <f>konkurs2!$AQ$16</f>
        <v/>
      </c>
      <c r="BG163" s="50" t="str">
        <f>konkurs2!$C$16</f>
        <v/>
      </c>
      <c r="BH163" s="50" t="str">
        <f>konkurs2!$AE$16</f>
        <v/>
      </c>
      <c r="BI163" s="50" t="str">
        <f>konkurs2!$AI$16</f>
        <v/>
      </c>
      <c r="BJ163" s="50" t="str">
        <f>konkurs2!$AU$16</f>
        <v/>
      </c>
    </row>
    <row r="164" spans="50:62">
      <c r="AX164" s="49" t="s">
        <v>274</v>
      </c>
      <c r="AY164" t="str">
        <f>konkurs2!$K$16</f>
        <v/>
      </c>
      <c r="AZ164" t="str">
        <f>konkurs2!$AA$16</f>
        <v/>
      </c>
      <c r="BA164" t="str">
        <f>konkurs2!$G$16</f>
        <v/>
      </c>
      <c r="BB164" t="str">
        <f>konkurs2!$O$16</f>
        <v/>
      </c>
      <c r="BC164" t="str">
        <f>konkurs2!$S$16</f>
        <v/>
      </c>
      <c r="BD164" t="str">
        <f>konkurs2!$W$16</f>
        <v/>
      </c>
      <c r="BE164" t="str">
        <f>konkurs2!$AU$16</f>
        <v/>
      </c>
      <c r="BF164" t="str">
        <f>konkurs2!$AI$16</f>
        <v/>
      </c>
      <c r="BG164" s="50" t="str">
        <f>konkurs2!$C$16</f>
        <v/>
      </c>
      <c r="BH164" s="50" t="str">
        <f>konkurs2!$AE$16</f>
        <v/>
      </c>
      <c r="BI164" s="50" t="str">
        <f>konkurs2!$AM$16</f>
        <v/>
      </c>
      <c r="BJ164" s="50" t="str">
        <f>konkurs2!$AQ$16</f>
        <v/>
      </c>
    </row>
    <row r="165" spans="50:62">
      <c r="AX165" s="49" t="s">
        <v>275</v>
      </c>
      <c r="AY165" t="str">
        <f>konkurs2!$K$16</f>
        <v/>
      </c>
      <c r="AZ165" t="str">
        <f>konkurs2!$AA$16</f>
        <v/>
      </c>
      <c r="BA165" t="str">
        <f>konkurs2!$G$16</f>
        <v/>
      </c>
      <c r="BB165" t="str">
        <f>konkurs2!$O$16</f>
        <v/>
      </c>
      <c r="BC165" t="str">
        <f>konkurs2!$S$16</f>
        <v/>
      </c>
      <c r="BD165" t="str">
        <f>konkurs2!$W$16</f>
        <v/>
      </c>
      <c r="BE165" t="str">
        <f>konkurs2!$AI$16</f>
        <v/>
      </c>
      <c r="BF165" t="str">
        <f>konkurs2!$AQ$16</f>
        <v/>
      </c>
      <c r="BG165" s="50" t="str">
        <f>konkurs2!$C$16</f>
        <v/>
      </c>
      <c r="BH165" s="50" t="str">
        <f>konkurs2!$AE$16</f>
        <v/>
      </c>
      <c r="BI165" s="50" t="str">
        <f>konkurs2!$AM$16</f>
        <v/>
      </c>
      <c r="BJ165" s="50" t="str">
        <f>konkurs2!$AU$16</f>
        <v/>
      </c>
    </row>
    <row r="166" spans="50:62">
      <c r="AX166" s="49" t="s">
        <v>276</v>
      </c>
      <c r="AY166" t="str">
        <f>konkurs2!$K$16</f>
        <v/>
      </c>
      <c r="AZ166" t="str">
        <f>konkurs2!$AA$16</f>
        <v/>
      </c>
      <c r="BA166" t="str">
        <f>konkurs2!$G$16</f>
        <v/>
      </c>
      <c r="BB166" t="str">
        <f>konkurs2!$O$16</f>
        <v/>
      </c>
      <c r="BC166" t="str">
        <f>konkurs2!$AM$16</f>
        <v/>
      </c>
      <c r="BD166" t="str">
        <f>konkurs2!$W$16</f>
        <v/>
      </c>
      <c r="BE166" t="str">
        <f>konkurs2!$S$16</f>
        <v/>
      </c>
      <c r="BF166" t="str">
        <f>konkurs2!$AI$16</f>
        <v/>
      </c>
      <c r="BG166" s="50" t="str">
        <f>konkurs2!$C$16</f>
        <v/>
      </c>
      <c r="BH166" s="50" t="str">
        <f>konkurs2!$AE$16</f>
        <v/>
      </c>
      <c r="BI166" s="50" t="str">
        <f>konkurs2!$AQ$16</f>
        <v/>
      </c>
      <c r="BJ166" s="50" t="str">
        <f>konkurs2!$AU$16</f>
        <v/>
      </c>
    </row>
    <row r="167" spans="50:62">
      <c r="AX167" s="49" t="s">
        <v>277</v>
      </c>
      <c r="AY167" t="str">
        <f>konkurs2!$K$16</f>
        <v/>
      </c>
      <c r="AZ167" t="str">
        <f>konkurs2!$AA$16</f>
        <v/>
      </c>
      <c r="BA167" t="str">
        <f>konkurs2!$G$16</f>
        <v/>
      </c>
      <c r="BB167" t="str">
        <f>konkurs2!$O$16</f>
        <v/>
      </c>
      <c r="BC167" t="str">
        <f>konkurs2!$AE$16</f>
        <v/>
      </c>
      <c r="BD167" t="str">
        <f>konkurs2!$W$16</f>
        <v/>
      </c>
      <c r="BE167" t="str">
        <f>konkurs2!$AU$16</f>
        <v/>
      </c>
      <c r="BF167" t="str">
        <f>konkurs2!$S$16</f>
        <v/>
      </c>
      <c r="BG167" s="50" t="str">
        <f>konkurs2!$C$16</f>
        <v/>
      </c>
      <c r="BH167" s="50" t="str">
        <f>konkurs2!$AI$16</f>
        <v/>
      </c>
      <c r="BI167" s="50" t="str">
        <f>konkurs2!$AM$16</f>
        <v/>
      </c>
      <c r="BJ167" s="50" t="str">
        <f>konkurs2!$AQ$16</f>
        <v/>
      </c>
    </row>
    <row r="168" spans="50:62">
      <c r="AX168" s="49" t="s">
        <v>278</v>
      </c>
      <c r="AY168" t="str">
        <f>konkurs2!$K$16</f>
        <v/>
      </c>
      <c r="AZ168" t="str">
        <f>konkurs2!$AA$16</f>
        <v/>
      </c>
      <c r="BA168" t="str">
        <f>konkurs2!$G$16</f>
        <v/>
      </c>
      <c r="BB168" t="str">
        <f>konkurs2!$O$16</f>
        <v/>
      </c>
      <c r="BC168" t="str">
        <f>konkurs2!$AE$16</f>
        <v/>
      </c>
      <c r="BD168" t="str">
        <f>konkurs2!$W$16</f>
        <v/>
      </c>
      <c r="BE168" t="str">
        <f>konkurs2!$S$16</f>
        <v/>
      </c>
      <c r="BF168" t="str">
        <f>konkurs2!$AQ$16</f>
        <v/>
      </c>
      <c r="BG168" s="50" t="str">
        <f>konkurs2!$C$16</f>
        <v/>
      </c>
      <c r="BH168" s="50" t="str">
        <f>konkurs2!$AI$16</f>
        <v/>
      </c>
      <c r="BI168" s="50" t="str">
        <f>konkurs2!$AM$16</f>
        <v/>
      </c>
      <c r="BJ168" s="50" t="str">
        <f>konkurs2!$AU$16</f>
        <v/>
      </c>
    </row>
    <row r="169" spans="50:62">
      <c r="AX169" s="49" t="s">
        <v>279</v>
      </c>
      <c r="AY169" t="str">
        <f>konkurs2!$AE$16</f>
        <v/>
      </c>
      <c r="AZ169" t="str">
        <f>konkurs2!$AA$16</f>
        <v/>
      </c>
      <c r="BA169" t="str">
        <f>konkurs2!$G$16</f>
        <v/>
      </c>
      <c r="BB169" t="str">
        <f>konkurs2!$K$16</f>
        <v/>
      </c>
      <c r="BC169" t="str">
        <f>konkurs2!$AM$16</f>
        <v/>
      </c>
      <c r="BD169" t="str">
        <f>konkurs2!$W$16</f>
        <v/>
      </c>
      <c r="BE169" t="str">
        <f>konkurs2!$O$16</f>
        <v/>
      </c>
      <c r="BF169" t="str">
        <f>konkurs2!$S$16</f>
        <v/>
      </c>
      <c r="BG169" s="50" t="str">
        <f>konkurs2!$C$16</f>
        <v/>
      </c>
      <c r="BH169" s="50" t="str">
        <f>konkurs2!$AI$16</f>
        <v/>
      </c>
      <c r="BI169" s="50" t="str">
        <f>konkurs2!$AQ$16</f>
        <v/>
      </c>
      <c r="BJ169" s="50" t="str">
        <f>konkurs2!$AU$16</f>
        <v/>
      </c>
    </row>
    <row r="170" spans="50:62">
      <c r="AX170" s="49" t="s">
        <v>280</v>
      </c>
      <c r="AY170" t="str">
        <f>konkurs2!$K$16</f>
        <v/>
      </c>
      <c r="AZ170" t="str">
        <f>konkurs2!$AA$16</f>
        <v/>
      </c>
      <c r="BA170" t="str">
        <f>konkurs2!$G$16</f>
        <v/>
      </c>
      <c r="BB170" t="str">
        <f>konkurs2!$O$16</f>
        <v/>
      </c>
      <c r="BC170" t="str">
        <f>konkurs2!$AE$16</f>
        <v/>
      </c>
      <c r="BD170" t="str">
        <f>konkurs2!$W$16</f>
        <v/>
      </c>
      <c r="BE170" t="str">
        <f>konkurs2!$S$16</f>
        <v/>
      </c>
      <c r="BF170" t="str">
        <f>konkurs2!$AI$16</f>
        <v/>
      </c>
      <c r="BG170" s="50" t="str">
        <f>konkurs2!$C$16</f>
        <v/>
      </c>
      <c r="BH170" s="50" t="str">
        <f>konkurs2!$AM$16</f>
        <v/>
      </c>
      <c r="BI170" s="50" t="str">
        <f>konkurs2!$AQ$16</f>
        <v/>
      </c>
      <c r="BJ170" s="50" t="str">
        <f>konkurs2!$AU$16</f>
        <v/>
      </c>
    </row>
    <row r="171" spans="50:62">
      <c r="AX171" s="49" t="s">
        <v>281</v>
      </c>
      <c r="AY171" t="str">
        <f>konkurs2!$AE$16</f>
        <v/>
      </c>
      <c r="AZ171" t="str">
        <f>konkurs2!$AM$16</f>
        <v/>
      </c>
      <c r="BA171" t="str">
        <f>konkurs2!$AI$16</f>
        <v/>
      </c>
      <c r="BB171" t="str">
        <f>konkurs2!$W$16</f>
        <v/>
      </c>
      <c r="BC171" t="str">
        <f>konkurs2!$C$16</f>
        <v/>
      </c>
      <c r="BD171" t="str">
        <f>konkurs2!$AA$16</f>
        <v/>
      </c>
      <c r="BE171" t="str">
        <f>konkurs2!$AU$16</f>
        <v/>
      </c>
      <c r="BF171" t="str">
        <f>konkurs2!$AQ$16</f>
        <v/>
      </c>
      <c r="BG171" s="50" t="str">
        <f>konkurs2!$G$16</f>
        <v/>
      </c>
      <c r="BH171" s="50" t="str">
        <f>konkurs2!$K$16</f>
        <v/>
      </c>
      <c r="BI171" s="50" t="str">
        <f>konkurs2!$O$16</f>
        <v/>
      </c>
      <c r="BJ171" s="50" t="str">
        <f>konkurs2!$S$16</f>
        <v/>
      </c>
    </row>
    <row r="172" spans="50:62">
      <c r="AX172" s="49" t="s">
        <v>282</v>
      </c>
      <c r="AY172" t="str">
        <f>konkurs2!$S$16</f>
        <v/>
      </c>
      <c r="AZ172" t="str">
        <f>konkurs2!$AM$16</f>
        <v/>
      </c>
      <c r="BA172" t="str">
        <f>konkurs2!$AI$16</f>
        <v/>
      </c>
      <c r="BB172" t="str">
        <f>konkurs2!$C$16</f>
        <v/>
      </c>
      <c r="BC172" t="str">
        <f>konkurs2!$AE$16</f>
        <v/>
      </c>
      <c r="BD172" t="str">
        <f>konkurs2!$AA$16</f>
        <v/>
      </c>
      <c r="BE172" t="str">
        <f>konkurs2!$AU$16</f>
        <v/>
      </c>
      <c r="BF172" t="str">
        <f>konkurs2!$AQ$16</f>
        <v/>
      </c>
      <c r="BG172" s="50" t="str">
        <f>konkurs2!$G$16</f>
        <v/>
      </c>
      <c r="BH172" s="50" t="str">
        <f>konkurs2!$K$16</f>
        <v/>
      </c>
      <c r="BI172" s="50" t="str">
        <f>konkurs2!$O$16</f>
        <v/>
      </c>
      <c r="BJ172" s="50" t="str">
        <f>konkurs2!$W$16</f>
        <v/>
      </c>
    </row>
    <row r="173" spans="50:62">
      <c r="AX173" s="49" t="s">
        <v>283</v>
      </c>
      <c r="AY173" t="str">
        <f>konkurs2!$S$16</f>
        <v/>
      </c>
      <c r="AZ173" t="str">
        <f>konkurs2!$AM$16</f>
        <v/>
      </c>
      <c r="BA173" t="str">
        <f>konkurs2!$AI$16</f>
        <v/>
      </c>
      <c r="BB173" t="str">
        <f>konkurs2!$W$16</f>
        <v/>
      </c>
      <c r="BC173" t="str">
        <f>konkurs2!$C$16</f>
        <v/>
      </c>
      <c r="BD173" t="str">
        <f>konkurs2!$AE$16</f>
        <v/>
      </c>
      <c r="BE173" t="str">
        <f>konkurs2!$AU$16</f>
        <v/>
      </c>
      <c r="BF173" t="str">
        <f>konkurs2!$AQ$16</f>
        <v/>
      </c>
      <c r="BG173" s="50" t="str">
        <f>konkurs2!$G$16</f>
        <v/>
      </c>
      <c r="BH173" s="50" t="str">
        <f>konkurs2!$K$16</f>
        <v/>
      </c>
      <c r="BI173" s="50" t="str">
        <f>konkurs2!$O$16</f>
        <v/>
      </c>
      <c r="BJ173" s="50" t="str">
        <f>konkurs2!$AA$16</f>
        <v/>
      </c>
    </row>
    <row r="174" spans="50:62">
      <c r="AX174" s="49" t="s">
        <v>284</v>
      </c>
      <c r="AY174" t="str">
        <f>konkurs2!$S$16</f>
        <v/>
      </c>
      <c r="AZ174" t="str">
        <f>konkurs2!$AM$16</f>
        <v/>
      </c>
      <c r="BA174" t="str">
        <f>konkurs2!$AI$16</f>
        <v/>
      </c>
      <c r="BB174" t="str">
        <f>konkurs2!$W$16</f>
        <v/>
      </c>
      <c r="BC174" t="str">
        <f>konkurs2!$C$16</f>
        <v/>
      </c>
      <c r="BD174" t="str">
        <f>konkurs2!$AA$16</f>
        <v/>
      </c>
      <c r="BE174" t="str">
        <f>konkurs2!$AU$16</f>
        <v/>
      </c>
      <c r="BF174" t="str">
        <f>konkurs2!$AQ$16</f>
        <v/>
      </c>
      <c r="BG174" s="50" t="str">
        <f>konkurs2!$G$16</f>
        <v/>
      </c>
      <c r="BH174" s="50" t="str">
        <f>konkurs2!$K$16</f>
        <v/>
      </c>
      <c r="BI174" s="50" t="str">
        <f>konkurs2!$O$16</f>
        <v/>
      </c>
      <c r="BJ174" s="50" t="str">
        <f>konkurs2!$AE$16</f>
        <v/>
      </c>
    </row>
    <row r="175" spans="50:62">
      <c r="AX175" s="49" t="s">
        <v>285</v>
      </c>
      <c r="AY175" t="str">
        <f>konkurs2!$S$16</f>
        <v/>
      </c>
      <c r="AZ175" t="str">
        <f>konkurs2!$AA$16</f>
        <v/>
      </c>
      <c r="BA175" t="str">
        <f>konkurs2!$AM$16</f>
        <v/>
      </c>
      <c r="BB175" t="str">
        <f>konkurs2!$W$16</f>
        <v/>
      </c>
      <c r="BC175" t="str">
        <f>konkurs2!$C$16</f>
        <v/>
      </c>
      <c r="BD175" t="str">
        <f>konkurs2!$AE$16</f>
        <v/>
      </c>
      <c r="BE175" t="str">
        <f>konkurs2!$AU$16</f>
        <v/>
      </c>
      <c r="BF175" t="str">
        <f>konkurs2!$AQ$16</f>
        <v/>
      </c>
      <c r="BG175" s="50" t="str">
        <f>konkurs2!$G$16</f>
        <v/>
      </c>
      <c r="BH175" s="50" t="str">
        <f>konkurs2!$K$16</f>
        <v/>
      </c>
      <c r="BI175" s="50" t="str">
        <f>konkurs2!$O$16</f>
        <v/>
      </c>
      <c r="BJ175" s="50" t="str">
        <f>konkurs2!$AI$16</f>
        <v/>
      </c>
    </row>
    <row r="176" spans="50:62">
      <c r="AX176" s="49" t="s">
        <v>286</v>
      </c>
      <c r="AY176" t="str">
        <f>konkurs2!$S$16</f>
        <v/>
      </c>
      <c r="AZ176" t="str">
        <f>konkurs2!$AA$16</f>
        <v/>
      </c>
      <c r="BA176" t="str">
        <f>konkurs2!$AI$16</f>
        <v/>
      </c>
      <c r="BB176" t="str">
        <f>konkurs2!$W$16</f>
        <v/>
      </c>
      <c r="BC176" t="str">
        <f>konkurs2!$C$16</f>
        <v/>
      </c>
      <c r="BD176" t="str">
        <f>konkurs2!$AE$16</f>
        <v/>
      </c>
      <c r="BE176" t="str">
        <f>konkurs2!$AU$16</f>
        <v/>
      </c>
      <c r="BF176" t="str">
        <f>konkurs2!$AQ$16</f>
        <v/>
      </c>
      <c r="BG176" s="50" t="str">
        <f>konkurs2!$G$16</f>
        <v/>
      </c>
      <c r="BH176" s="50" t="str">
        <f>konkurs2!$K$16</f>
        <v/>
      </c>
      <c r="BI176" s="50" t="str">
        <f>konkurs2!$O$16</f>
        <v/>
      </c>
      <c r="BJ176" s="50" t="str">
        <f>konkurs2!$AM$16</f>
        <v/>
      </c>
    </row>
    <row r="177" spans="50:62">
      <c r="AX177" s="49" t="s">
        <v>287</v>
      </c>
      <c r="AY177" t="str">
        <f>konkurs2!$S$16</f>
        <v/>
      </c>
      <c r="AZ177" t="str">
        <f>konkurs2!$AA$16</f>
        <v/>
      </c>
      <c r="BA177" t="str">
        <f>konkurs2!$AM$16</f>
        <v/>
      </c>
      <c r="BB177" t="str">
        <f>konkurs2!$W$16</f>
        <v/>
      </c>
      <c r="BC177" t="str">
        <f>konkurs2!$C$16</f>
        <v/>
      </c>
      <c r="BD177" t="str">
        <f>konkurs2!$AE$16</f>
        <v/>
      </c>
      <c r="BE177" t="str">
        <f>konkurs2!$AU$16</f>
        <v/>
      </c>
      <c r="BF177" t="str">
        <f>konkurs2!$AI$16</f>
        <v/>
      </c>
      <c r="BG177" s="50" t="str">
        <f>konkurs2!$G$16</f>
        <v/>
      </c>
      <c r="BH177" s="50" t="str">
        <f>konkurs2!$K$16</f>
        <v/>
      </c>
      <c r="BI177" s="50" t="str">
        <f>konkurs2!$O$16</f>
        <v/>
      </c>
      <c r="BJ177" s="50" t="str">
        <f>konkurs2!$AQ$16</f>
        <v/>
      </c>
    </row>
    <row r="178" spans="50:62">
      <c r="AX178" s="49" t="s">
        <v>288</v>
      </c>
      <c r="AY178" t="str">
        <f>konkurs2!$S$16</f>
        <v/>
      </c>
      <c r="AZ178" t="str">
        <f>konkurs2!$AA$16</f>
        <v/>
      </c>
      <c r="BA178" t="str">
        <f>konkurs2!$AM$16</f>
        <v/>
      </c>
      <c r="BB178" t="str">
        <f>konkurs2!$W$16</f>
        <v/>
      </c>
      <c r="BC178" t="str">
        <f>konkurs2!$C$16</f>
        <v/>
      </c>
      <c r="BD178" t="str">
        <f>konkurs2!$AE$16</f>
        <v/>
      </c>
      <c r="BE178" t="str">
        <f>konkurs2!$AI$16</f>
        <v/>
      </c>
      <c r="BF178" t="str">
        <f>konkurs2!$AQ$16</f>
        <v/>
      </c>
      <c r="BG178" s="50" t="str">
        <f>konkurs2!$G$16</f>
        <v/>
      </c>
      <c r="BH178" s="50" t="str">
        <f>konkurs2!$K$16</f>
        <v/>
      </c>
      <c r="BI178" s="50" t="str">
        <f>konkurs2!$O$16</f>
        <v/>
      </c>
      <c r="BJ178" s="50" t="str">
        <f>konkurs2!$AU$16</f>
        <v/>
      </c>
    </row>
    <row r="179" spans="50:62">
      <c r="AX179" s="49" t="s">
        <v>289</v>
      </c>
      <c r="AY179" t="str">
        <f>konkurs2!$AE$16</f>
        <v/>
      </c>
      <c r="AZ179" t="str">
        <f>konkurs2!$AM$16</f>
        <v/>
      </c>
      <c r="BA179" t="str">
        <f>konkurs2!$AI$16</f>
        <v/>
      </c>
      <c r="BB179" t="str">
        <f>konkurs2!$O$16</f>
        <v/>
      </c>
      <c r="BC179" t="str">
        <f>konkurs2!$C$16</f>
        <v/>
      </c>
      <c r="BD179" t="str">
        <f>konkurs2!$AA$16</f>
        <v/>
      </c>
      <c r="BE179" t="str">
        <f>konkurs2!$AU$16</f>
        <v/>
      </c>
      <c r="BF179" t="str">
        <f>konkurs2!$AQ$16</f>
        <v/>
      </c>
      <c r="BG179" s="50" t="str">
        <f>konkurs2!$G$16</f>
        <v/>
      </c>
      <c r="BH179" s="50" t="str">
        <f>konkurs2!$K$16</f>
        <v/>
      </c>
      <c r="BI179" s="50" t="str">
        <f>konkurs2!$S$16</f>
        <v/>
      </c>
      <c r="BJ179" s="50" t="str">
        <f>konkurs2!$W$16</f>
        <v/>
      </c>
    </row>
    <row r="180" spans="50:62">
      <c r="AX180" s="49" t="s">
        <v>290</v>
      </c>
      <c r="AY180" t="str">
        <f>konkurs2!$AE$16</f>
        <v/>
      </c>
      <c r="AZ180" t="str">
        <f>konkurs2!$AM$16</f>
        <v/>
      </c>
      <c r="BA180" t="str">
        <f>konkurs2!$AI$16</f>
        <v/>
      </c>
      <c r="BB180" t="str">
        <f>konkurs2!$O$16</f>
        <v/>
      </c>
      <c r="BC180" t="str">
        <f>konkurs2!$C$16</f>
        <v/>
      </c>
      <c r="BD180" t="str">
        <f>konkurs2!$W$16</f>
        <v/>
      </c>
      <c r="BE180" t="str">
        <f>konkurs2!$AU$16</f>
        <v/>
      </c>
      <c r="BF180" t="str">
        <f>konkurs2!$AQ$16</f>
        <v/>
      </c>
      <c r="BG180" s="50" t="str">
        <f>konkurs2!$G$16</f>
        <v/>
      </c>
      <c r="BH180" s="50" t="str">
        <f>konkurs2!$K$16</f>
        <v/>
      </c>
      <c r="BI180" s="50" t="str">
        <f>konkurs2!$S$16</f>
        <v/>
      </c>
      <c r="BJ180" s="50" t="str">
        <f>konkurs2!$AA$16</f>
        <v/>
      </c>
    </row>
    <row r="181" spans="50:62">
      <c r="AX181" s="49" t="s">
        <v>291</v>
      </c>
      <c r="AY181" t="str">
        <f>konkurs2!$AI$16</f>
        <v/>
      </c>
      <c r="AZ181" t="str">
        <f>konkurs2!$AA$16</f>
        <v/>
      </c>
      <c r="BA181" t="str">
        <f>konkurs2!$AM$16</f>
        <v/>
      </c>
      <c r="BB181" t="str">
        <f>konkurs2!$O$16</f>
        <v/>
      </c>
      <c r="BC181" t="str">
        <f>konkurs2!$C$16</f>
        <v/>
      </c>
      <c r="BD181" t="str">
        <f>konkurs2!$W$16</f>
        <v/>
      </c>
      <c r="BE181" t="str">
        <f>konkurs2!$AU$16</f>
        <v/>
      </c>
      <c r="BF181" t="str">
        <f>konkurs2!$AQ$16</f>
        <v/>
      </c>
      <c r="BG181" s="50" t="str">
        <f>konkurs2!$G$16</f>
        <v/>
      </c>
      <c r="BH181" s="50" t="str">
        <f>konkurs2!$K$16</f>
        <v/>
      </c>
      <c r="BI181" s="50" t="str">
        <f>konkurs2!$S$16</f>
        <v/>
      </c>
      <c r="BJ181" s="50" t="str">
        <f>konkurs2!$AE$16</f>
        <v/>
      </c>
    </row>
    <row r="182" spans="50:62">
      <c r="AX182" s="49" t="s">
        <v>292</v>
      </c>
      <c r="AY182" t="str">
        <f>konkurs2!$AE$16</f>
        <v/>
      </c>
      <c r="AZ182" t="str">
        <f>konkurs2!$AA$16</f>
        <v/>
      </c>
      <c r="BA182" t="str">
        <f>konkurs2!$AM$16</f>
        <v/>
      </c>
      <c r="BB182" t="str">
        <f>konkurs2!$O$16</f>
        <v/>
      </c>
      <c r="BC182" t="str">
        <f>konkurs2!$C$16</f>
        <v/>
      </c>
      <c r="BD182" t="str">
        <f>konkurs2!$W$16</f>
        <v/>
      </c>
      <c r="BE182" t="str">
        <f>konkurs2!$AU$16</f>
        <v/>
      </c>
      <c r="BF182" t="str">
        <f>konkurs2!$AQ$16</f>
        <v/>
      </c>
      <c r="BG182" s="50" t="str">
        <f>konkurs2!$G$16</f>
        <v/>
      </c>
      <c r="BH182" s="50" t="str">
        <f>konkurs2!$K$16</f>
        <v/>
      </c>
      <c r="BI182" s="50" t="str">
        <f>konkurs2!$S$16</f>
        <v/>
      </c>
      <c r="BJ182" s="50" t="str">
        <f>konkurs2!$AI$16</f>
        <v/>
      </c>
    </row>
    <row r="183" spans="50:62">
      <c r="AX183" s="49" t="s">
        <v>293</v>
      </c>
      <c r="AY183" t="str">
        <f>konkurs2!$AE$16</f>
        <v/>
      </c>
      <c r="AZ183" t="str">
        <f>konkurs2!$AA$16</f>
        <v/>
      </c>
      <c r="BA183" t="str">
        <f>konkurs2!$AI$16</f>
        <v/>
      </c>
      <c r="BB183" t="str">
        <f>konkurs2!$O$16</f>
        <v/>
      </c>
      <c r="BC183" t="str">
        <f>konkurs2!$C$16</f>
        <v/>
      </c>
      <c r="BD183" t="str">
        <f>konkurs2!$W$16</f>
        <v/>
      </c>
      <c r="BE183" t="str">
        <f>konkurs2!$AU$16</f>
        <v/>
      </c>
      <c r="BF183" t="str">
        <f>konkurs2!$AQ$16</f>
        <v/>
      </c>
      <c r="BG183" s="50" t="str">
        <f>konkurs2!$G$16</f>
        <v/>
      </c>
      <c r="BH183" s="50" t="str">
        <f>konkurs2!$K$16</f>
        <v/>
      </c>
      <c r="BI183" s="50" t="str">
        <f>konkurs2!$S$16</f>
        <v/>
      </c>
      <c r="BJ183" s="50" t="str">
        <f>konkurs2!$AM$16</f>
        <v/>
      </c>
    </row>
    <row r="184" spans="50:62">
      <c r="AX184" s="49" t="s">
        <v>294</v>
      </c>
      <c r="AY184" t="str">
        <f>konkurs2!$AE$16</f>
        <v/>
      </c>
      <c r="AZ184" t="str">
        <f>konkurs2!$AA$16</f>
        <v/>
      </c>
      <c r="BA184" t="str">
        <f>konkurs2!$AM$16</f>
        <v/>
      </c>
      <c r="BB184" t="str">
        <f>konkurs2!$O$16</f>
        <v/>
      </c>
      <c r="BC184" t="str">
        <f>konkurs2!$C$16</f>
        <v/>
      </c>
      <c r="BD184" t="str">
        <f>konkurs2!$W$16</f>
        <v/>
      </c>
      <c r="BE184" t="str">
        <f>konkurs2!$AU$16</f>
        <v/>
      </c>
      <c r="BF184" t="str">
        <f>konkurs2!$AI$16</f>
        <v/>
      </c>
      <c r="BG184" s="50" t="str">
        <f>konkurs2!$G$16</f>
        <v/>
      </c>
      <c r="BH184" s="50" t="str">
        <f>konkurs2!$K$16</f>
        <v/>
      </c>
      <c r="BI184" s="50" t="str">
        <f>konkurs2!$S$16</f>
        <v/>
      </c>
      <c r="BJ184" s="50" t="str">
        <f>konkurs2!$AQ$16</f>
        <v/>
      </c>
    </row>
    <row r="185" spans="50:62">
      <c r="AX185" s="49" t="s">
        <v>295</v>
      </c>
      <c r="AY185" t="str">
        <f>konkurs2!$AE$16</f>
        <v/>
      </c>
      <c r="AZ185" t="str">
        <f>konkurs2!$AA$16</f>
        <v/>
      </c>
      <c r="BA185" t="str">
        <f>konkurs2!$AM$16</f>
        <v/>
      </c>
      <c r="BB185" t="str">
        <f>konkurs2!$O$16</f>
        <v/>
      </c>
      <c r="BC185" t="str">
        <f>konkurs2!$C$16</f>
        <v/>
      </c>
      <c r="BD185" t="str">
        <f>konkurs2!$W$16</f>
        <v/>
      </c>
      <c r="BE185" t="str">
        <f>konkurs2!$AI$16</f>
        <v/>
      </c>
      <c r="BF185" t="str">
        <f>konkurs2!$AQ$16</f>
        <v/>
      </c>
      <c r="BG185" s="50" t="str">
        <f>konkurs2!$G$16</f>
        <v/>
      </c>
      <c r="BH185" s="50" t="str">
        <f>konkurs2!$K$16</f>
        <v/>
      </c>
      <c r="BI185" s="50" t="str">
        <f>konkurs2!$S$16</f>
        <v/>
      </c>
      <c r="BJ185" s="50" t="str">
        <f>konkurs2!$AU$16</f>
        <v/>
      </c>
    </row>
    <row r="186" spans="50:62">
      <c r="AX186" s="49" t="s">
        <v>296</v>
      </c>
      <c r="AY186" t="str">
        <f>konkurs2!$S$16</f>
        <v/>
      </c>
      <c r="AZ186" t="str">
        <f>konkurs2!$AM$16</f>
        <v/>
      </c>
      <c r="BA186" t="str">
        <f>konkurs2!$AI$16</f>
        <v/>
      </c>
      <c r="BB186" t="str">
        <f>konkurs2!$O$16</f>
        <v/>
      </c>
      <c r="BC186" t="str">
        <f>konkurs2!$C$16</f>
        <v/>
      </c>
      <c r="BD186" t="str">
        <f>konkurs2!$AE$16</f>
        <v/>
      </c>
      <c r="BE186" t="str">
        <f>konkurs2!$AU$16</f>
        <v/>
      </c>
      <c r="BF186" t="str">
        <f>konkurs2!$AQ$16</f>
        <v/>
      </c>
      <c r="BG186" s="50" t="str">
        <f>konkurs2!$G$16</f>
        <v/>
      </c>
      <c r="BH186" s="50" t="str">
        <f>konkurs2!$K$16</f>
        <v/>
      </c>
      <c r="BI186" s="50" t="str">
        <f>konkurs2!$W$16</f>
        <v/>
      </c>
      <c r="BJ186" s="50" t="str">
        <f>konkurs2!$AA$16</f>
        <v/>
      </c>
    </row>
    <row r="187" spans="50:62">
      <c r="AX187" s="49" t="s">
        <v>297</v>
      </c>
      <c r="AY187" t="str">
        <f>konkurs2!$S$16</f>
        <v/>
      </c>
      <c r="AZ187" t="str">
        <f>konkurs2!$AM$16</f>
        <v/>
      </c>
      <c r="BA187" t="str">
        <f>konkurs2!$AI$16</f>
        <v/>
      </c>
      <c r="BB187" t="str">
        <f>konkurs2!$O$16</f>
        <v/>
      </c>
      <c r="BC187" t="str">
        <f>konkurs2!$C$16</f>
        <v/>
      </c>
      <c r="BD187" t="str">
        <f>konkurs2!$AA$16</f>
        <v/>
      </c>
      <c r="BE187" t="str">
        <f>konkurs2!$AU$16</f>
        <v/>
      </c>
      <c r="BF187" t="str">
        <f>konkurs2!$AQ$16</f>
        <v/>
      </c>
      <c r="BG187" s="50" t="str">
        <f>konkurs2!$G$16</f>
        <v/>
      </c>
      <c r="BH187" s="50" t="str">
        <f>konkurs2!$K$16</f>
        <v/>
      </c>
      <c r="BI187" s="50" t="str">
        <f>konkurs2!$W$16</f>
        <v/>
      </c>
      <c r="BJ187" s="50" t="str">
        <f>konkurs2!$AE$16</f>
        <v/>
      </c>
    </row>
    <row r="188" spans="50:62">
      <c r="AX188" s="49" t="s">
        <v>298</v>
      </c>
      <c r="AY188" t="str">
        <f>konkurs2!$S$16</f>
        <v/>
      </c>
      <c r="AZ188" t="str">
        <f>konkurs2!$AA$16</f>
        <v/>
      </c>
      <c r="BA188" t="str">
        <f>konkurs2!$AM$16</f>
        <v/>
      </c>
      <c r="BB188" t="str">
        <f>konkurs2!$O$16</f>
        <v/>
      </c>
      <c r="BC188" t="str">
        <f>konkurs2!$C$16</f>
        <v/>
      </c>
      <c r="BD188" t="str">
        <f>konkurs2!$AE$16</f>
        <v/>
      </c>
      <c r="BE188" t="str">
        <f>konkurs2!$AU$16</f>
        <v/>
      </c>
      <c r="BF188" t="str">
        <f>konkurs2!$AQ$16</f>
        <v/>
      </c>
      <c r="BG188" s="50" t="str">
        <f>konkurs2!$G$16</f>
        <v/>
      </c>
      <c r="BH188" s="50" t="str">
        <f>konkurs2!$K$16</f>
        <v/>
      </c>
      <c r="BI188" s="50" t="str">
        <f>konkurs2!$W$16</f>
        <v/>
      </c>
      <c r="BJ188" s="50" t="str">
        <f>konkurs2!$AI$16</f>
        <v/>
      </c>
    </row>
    <row r="189" spans="50:62">
      <c r="AX189" s="49" t="s">
        <v>299</v>
      </c>
      <c r="AY189" t="str">
        <f>konkurs2!$S$16</f>
        <v/>
      </c>
      <c r="AZ189" t="str">
        <f>konkurs2!$AA$16</f>
        <v/>
      </c>
      <c r="BA189" t="str">
        <f>konkurs2!$AI$16</f>
        <v/>
      </c>
      <c r="BB189" t="str">
        <f>konkurs2!$O$16</f>
        <v/>
      </c>
      <c r="BC189" t="str">
        <f>konkurs2!$C$16</f>
        <v/>
      </c>
      <c r="BD189" t="str">
        <f>konkurs2!$AE$16</f>
        <v/>
      </c>
      <c r="BE189" t="str">
        <f>konkurs2!$AU$16</f>
        <v/>
      </c>
      <c r="BF189" t="str">
        <f>konkurs2!$AQ$16</f>
        <v/>
      </c>
      <c r="BG189" s="50" t="str">
        <f>konkurs2!$G$16</f>
        <v/>
      </c>
      <c r="BH189" s="50" t="str">
        <f>konkurs2!$K$16</f>
        <v/>
      </c>
      <c r="BI189" s="50" t="str">
        <f>konkurs2!$W$16</f>
        <v/>
      </c>
      <c r="BJ189" s="50" t="str">
        <f>konkurs2!$AM$16</f>
        <v/>
      </c>
    </row>
    <row r="190" spans="50:62">
      <c r="AX190" s="49" t="s">
        <v>300</v>
      </c>
      <c r="AY190" t="str">
        <f>konkurs2!$S$16</f>
        <v/>
      </c>
      <c r="AZ190" t="str">
        <f>konkurs2!$AA$16</f>
        <v/>
      </c>
      <c r="BA190" t="str">
        <f>konkurs2!$AM$16</f>
        <v/>
      </c>
      <c r="BB190" t="str">
        <f>konkurs2!$O$16</f>
        <v/>
      </c>
      <c r="BC190" t="str">
        <f>konkurs2!$C$16</f>
        <v/>
      </c>
      <c r="BD190" t="str">
        <f>konkurs2!$AE$16</f>
        <v/>
      </c>
      <c r="BE190" t="str">
        <f>konkurs2!$AU$16</f>
        <v/>
      </c>
      <c r="BF190" t="str">
        <f>konkurs2!$AI$16</f>
        <v/>
      </c>
      <c r="BG190" s="50" t="str">
        <f>konkurs2!$G$16</f>
        <v/>
      </c>
      <c r="BH190" s="50" t="str">
        <f>konkurs2!$K$16</f>
        <v/>
      </c>
      <c r="BI190" s="50" t="str">
        <f>konkurs2!$W$16</f>
        <v/>
      </c>
      <c r="BJ190" s="50" t="str">
        <f>konkurs2!$AQ$16</f>
        <v/>
      </c>
    </row>
    <row r="191" spans="50:62">
      <c r="AX191" s="49" t="s">
        <v>301</v>
      </c>
      <c r="AY191" t="str">
        <f>konkurs2!$S$16</f>
        <v/>
      </c>
      <c r="AZ191" t="str">
        <f>konkurs2!$AA$16</f>
        <v/>
      </c>
      <c r="BA191" t="str">
        <f>konkurs2!$AM$16</f>
        <v/>
      </c>
      <c r="BB191" t="str">
        <f>konkurs2!$O$16</f>
        <v/>
      </c>
      <c r="BC191" t="str">
        <f>konkurs2!$C$16</f>
        <v/>
      </c>
      <c r="BD191" t="str">
        <f>konkurs2!$AE$16</f>
        <v/>
      </c>
      <c r="BE191" t="str">
        <f>konkurs2!$AI$16</f>
        <v/>
      </c>
      <c r="BF191" t="str">
        <f>konkurs2!$AQ$16</f>
        <v/>
      </c>
      <c r="BG191" s="50" t="str">
        <f>konkurs2!$G$16</f>
        <v/>
      </c>
      <c r="BH191" s="50" t="str">
        <f>konkurs2!$K$16</f>
        <v/>
      </c>
      <c r="BI191" s="50" t="str">
        <f>konkurs2!$W$16</f>
        <v/>
      </c>
      <c r="BJ191" s="50" t="str">
        <f>konkurs2!$AU$16</f>
        <v/>
      </c>
    </row>
    <row r="192" spans="50:62">
      <c r="AX192" s="49" t="s">
        <v>302</v>
      </c>
      <c r="AY192" t="str">
        <f>konkurs2!$S$16</f>
        <v/>
      </c>
      <c r="AZ192" t="str">
        <f>konkurs2!$AM$16</f>
        <v/>
      </c>
      <c r="BA192" t="str">
        <f>konkurs2!$AI$16</f>
        <v/>
      </c>
      <c r="BB192" t="str">
        <f>konkurs2!$O$16</f>
        <v/>
      </c>
      <c r="BC192" t="str">
        <f>konkurs2!$C$16</f>
        <v/>
      </c>
      <c r="BD192" t="str">
        <f>konkurs2!$W$16</f>
        <v/>
      </c>
      <c r="BE192" t="str">
        <f>konkurs2!$AU$16</f>
        <v/>
      </c>
      <c r="BF192" t="str">
        <f>konkurs2!$AQ$16</f>
        <v/>
      </c>
      <c r="BG192" s="50" t="str">
        <f>konkurs2!$G$16</f>
        <v/>
      </c>
      <c r="BH192" s="50" t="str">
        <f>konkurs2!$K$16</f>
        <v/>
      </c>
      <c r="BI192" s="50" t="str">
        <f>konkurs2!$AA$16</f>
        <v/>
      </c>
      <c r="BJ192" s="50" t="str">
        <f>konkurs2!$AE$16</f>
        <v/>
      </c>
    </row>
    <row r="193" spans="50:62">
      <c r="AX193" s="49" t="s">
        <v>303</v>
      </c>
      <c r="AY193" t="str">
        <f>konkurs2!$AE$16</f>
        <v/>
      </c>
      <c r="AZ193" t="str">
        <f>konkurs2!$AM$16</f>
        <v/>
      </c>
      <c r="BA193" t="str">
        <f>konkurs2!$S$16</f>
        <v/>
      </c>
      <c r="BB193" t="str">
        <f>konkurs2!$O$16</f>
        <v/>
      </c>
      <c r="BC193" t="str">
        <f>konkurs2!$C$16</f>
        <v/>
      </c>
      <c r="BD193" t="str">
        <f>konkurs2!$W$16</f>
        <v/>
      </c>
      <c r="BE193" t="str">
        <f>konkurs2!$AU$16</f>
        <v/>
      </c>
      <c r="BF193" t="str">
        <f>konkurs2!$AQ$16</f>
        <v/>
      </c>
      <c r="BG193" s="50" t="str">
        <f>konkurs2!$G$16</f>
        <v/>
      </c>
      <c r="BH193" s="50" t="str">
        <f>konkurs2!$K$16</f>
        <v/>
      </c>
      <c r="BI193" s="50" t="str">
        <f>konkurs2!$AA$16</f>
        <v/>
      </c>
      <c r="BJ193" s="50" t="str">
        <f>konkurs2!$AI$16</f>
        <v/>
      </c>
    </row>
    <row r="194" spans="50:62">
      <c r="AX194" s="49" t="s">
        <v>304</v>
      </c>
      <c r="AY194" t="str">
        <f>konkurs2!$AE$16</f>
        <v/>
      </c>
      <c r="AZ194" t="str">
        <f>konkurs2!$S$16</f>
        <v/>
      </c>
      <c r="BA194" t="str">
        <f>konkurs2!$AI$16</f>
        <v/>
      </c>
      <c r="BB194" t="str">
        <f>konkurs2!$O$16</f>
        <v/>
      </c>
      <c r="BC194" t="str">
        <f>konkurs2!$C$16</f>
        <v/>
      </c>
      <c r="BD194" t="str">
        <f>konkurs2!$W$16</f>
        <v/>
      </c>
      <c r="BE194" t="str">
        <f>konkurs2!$AU$16</f>
        <v/>
      </c>
      <c r="BF194" t="str">
        <f>konkurs2!$AQ$16</f>
        <v/>
      </c>
      <c r="BG194" s="50" t="str">
        <f>konkurs2!$G$16</f>
        <v/>
      </c>
      <c r="BH194" s="50" t="str">
        <f>konkurs2!$K$16</f>
        <v/>
      </c>
      <c r="BI194" s="50" t="str">
        <f>konkurs2!$AA$16</f>
        <v/>
      </c>
      <c r="BJ194" s="50" t="str">
        <f>konkurs2!$AM$16</f>
        <v/>
      </c>
    </row>
    <row r="195" spans="50:62">
      <c r="AX195" s="49" t="s">
        <v>305</v>
      </c>
      <c r="AY195" t="str">
        <f>konkurs2!$AE$16</f>
        <v/>
      </c>
      <c r="AZ195" t="str">
        <f>konkurs2!$AM$16</f>
        <v/>
      </c>
      <c r="BA195" t="str">
        <f>konkurs2!$S$16</f>
        <v/>
      </c>
      <c r="BB195" t="str">
        <f>konkurs2!$O$16</f>
        <v/>
      </c>
      <c r="BC195" t="str">
        <f>konkurs2!$C$16</f>
        <v/>
      </c>
      <c r="BD195" t="str">
        <f>konkurs2!$W$16</f>
        <v/>
      </c>
      <c r="BE195" t="str">
        <f>konkurs2!$AU$16</f>
        <v/>
      </c>
      <c r="BF195" t="str">
        <f>konkurs2!$AI$16</f>
        <v/>
      </c>
      <c r="BG195" s="50" t="str">
        <f>konkurs2!$G$16</f>
        <v/>
      </c>
      <c r="BH195" s="50" t="str">
        <f>konkurs2!$K$16</f>
        <v/>
      </c>
      <c r="BI195" s="50" t="str">
        <f>konkurs2!$AA$16</f>
        <v/>
      </c>
      <c r="BJ195" s="50" t="str">
        <f>konkurs2!$AQ$16</f>
        <v/>
      </c>
    </row>
    <row r="196" spans="50:62">
      <c r="AX196" s="49" t="s">
        <v>306</v>
      </c>
      <c r="AY196" t="str">
        <f>konkurs2!$AE$16</f>
        <v/>
      </c>
      <c r="AZ196" t="str">
        <f>konkurs2!$AM$16</f>
        <v/>
      </c>
      <c r="BA196" t="str">
        <f>konkurs2!$S$16</f>
        <v/>
      </c>
      <c r="BB196" t="str">
        <f>konkurs2!$O$16</f>
        <v/>
      </c>
      <c r="BC196" t="str">
        <f>konkurs2!$C$16</f>
        <v/>
      </c>
      <c r="BD196" t="str">
        <f>konkurs2!$W$16</f>
        <v/>
      </c>
      <c r="BE196" t="str">
        <f>konkurs2!$AI$16</f>
        <v/>
      </c>
      <c r="BF196" t="str">
        <f>konkurs2!$AQ$16</f>
        <v/>
      </c>
      <c r="BG196" s="50" t="str">
        <f>konkurs2!$G$16</f>
        <v/>
      </c>
      <c r="BH196" s="50" t="str">
        <f>konkurs2!$K$16</f>
        <v/>
      </c>
      <c r="BI196" s="50" t="str">
        <f>konkurs2!$AA$16</f>
        <v/>
      </c>
      <c r="BJ196" s="50" t="str">
        <f>konkurs2!$AU$16</f>
        <v/>
      </c>
    </row>
    <row r="197" spans="50:62">
      <c r="AX197" s="49" t="s">
        <v>307</v>
      </c>
      <c r="AY197" t="str">
        <f>konkurs2!$S$16</f>
        <v/>
      </c>
      <c r="AZ197" t="str">
        <f>konkurs2!$AA$16</f>
        <v/>
      </c>
      <c r="BA197" t="str">
        <f>konkurs2!$AM$16</f>
        <v/>
      </c>
      <c r="BB197" t="str">
        <f>konkurs2!$O$16</f>
        <v/>
      </c>
      <c r="BC197" t="str">
        <f>konkurs2!$C$16</f>
        <v/>
      </c>
      <c r="BD197" t="str">
        <f>konkurs2!$W$16</f>
        <v/>
      </c>
      <c r="BE197" t="str">
        <f>konkurs2!$AU$16</f>
        <v/>
      </c>
      <c r="BF197" t="str">
        <f>konkurs2!$AQ$16</f>
        <v/>
      </c>
      <c r="BG197" s="50" t="str">
        <f>konkurs2!$G$16</f>
        <v/>
      </c>
      <c r="BH197" s="50" t="str">
        <f>konkurs2!$K$16</f>
        <v/>
      </c>
      <c r="BI197" s="50" t="str">
        <f>konkurs2!$AE$16</f>
        <v/>
      </c>
      <c r="BJ197" s="50" t="str">
        <f>konkurs2!$AI$16</f>
        <v/>
      </c>
    </row>
    <row r="198" spans="50:62">
      <c r="AX198" s="49" t="s">
        <v>308</v>
      </c>
      <c r="AY198" t="str">
        <f>konkurs2!$S$16</f>
        <v/>
      </c>
      <c r="AZ198" t="str">
        <f>konkurs2!$AA$16</f>
        <v/>
      </c>
      <c r="BA198" t="str">
        <f>konkurs2!$AI$16</f>
        <v/>
      </c>
      <c r="BB198" t="str">
        <f>konkurs2!$O$16</f>
        <v/>
      </c>
      <c r="BC198" t="str">
        <f>konkurs2!$C$16</f>
        <v/>
      </c>
      <c r="BD198" t="str">
        <f>konkurs2!$W$16</f>
        <v/>
      </c>
      <c r="BE198" t="str">
        <f>konkurs2!$AU$16</f>
        <v/>
      </c>
      <c r="BF198" t="str">
        <f>konkurs2!$AQ$16</f>
        <v/>
      </c>
      <c r="BG198" s="50" t="str">
        <f>konkurs2!$G$16</f>
        <v/>
      </c>
      <c r="BH198" s="50" t="str">
        <f>konkurs2!$K$16</f>
        <v/>
      </c>
      <c r="BI198" s="50" t="str">
        <f>konkurs2!$AE$16</f>
        <v/>
      </c>
      <c r="BJ198" s="50" t="str">
        <f>konkurs2!$AM$16</f>
        <v/>
      </c>
    </row>
    <row r="199" spans="50:62">
      <c r="AX199" s="49" t="s">
        <v>309</v>
      </c>
      <c r="AY199" t="str">
        <f>konkurs2!$S$16</f>
        <v/>
      </c>
      <c r="AZ199" t="str">
        <f>konkurs2!$AA$16</f>
        <v/>
      </c>
      <c r="BA199" t="str">
        <f>konkurs2!$AM$16</f>
        <v/>
      </c>
      <c r="BB199" t="str">
        <f>konkurs2!$O$16</f>
        <v/>
      </c>
      <c r="BC199" t="str">
        <f>konkurs2!$C$16</f>
        <v/>
      </c>
      <c r="BD199" t="str">
        <f>konkurs2!$W$16</f>
        <v/>
      </c>
      <c r="BE199" t="str">
        <f>konkurs2!$AU$16</f>
        <v/>
      </c>
      <c r="BF199" t="str">
        <f>konkurs2!$AI$16</f>
        <v/>
      </c>
      <c r="BG199" s="50" t="str">
        <f>konkurs2!$G$16</f>
        <v/>
      </c>
      <c r="BH199" s="50" t="str">
        <f>konkurs2!$K$16</f>
        <v/>
      </c>
      <c r="BI199" s="50" t="str">
        <f>konkurs2!$AE$16</f>
        <v/>
      </c>
      <c r="BJ199" s="50" t="str">
        <f>konkurs2!$AQ$16</f>
        <v/>
      </c>
    </row>
    <row r="200" spans="50:62">
      <c r="AX200" s="49" t="s">
        <v>310</v>
      </c>
      <c r="AY200" t="str">
        <f>konkurs2!$S$16</f>
        <v/>
      </c>
      <c r="AZ200" t="str">
        <f>konkurs2!$AA$16</f>
        <v/>
      </c>
      <c r="BA200" t="str">
        <f>konkurs2!$AM$16</f>
        <v/>
      </c>
      <c r="BB200" t="str">
        <f>konkurs2!$O$16</f>
        <v/>
      </c>
      <c r="BC200" t="str">
        <f>konkurs2!$C$16</f>
        <v/>
      </c>
      <c r="BD200" t="str">
        <f>konkurs2!$W$16</f>
        <v/>
      </c>
      <c r="BE200" t="str">
        <f>konkurs2!$AI$16</f>
        <v/>
      </c>
      <c r="BF200" t="str">
        <f>konkurs2!$AQ$16</f>
        <v/>
      </c>
      <c r="BG200" s="50" t="str">
        <f>konkurs2!$G$16</f>
        <v/>
      </c>
      <c r="BH200" s="50" t="str">
        <f>konkurs2!$K$16</f>
        <v/>
      </c>
      <c r="BI200" s="50" t="str">
        <f>konkurs2!$AE$16</f>
        <v/>
      </c>
      <c r="BJ200" s="50" t="str">
        <f>konkurs2!$AU$16</f>
        <v/>
      </c>
    </row>
    <row r="201" spans="50:62">
      <c r="AX201" s="49" t="s">
        <v>311</v>
      </c>
      <c r="AY201" t="str">
        <f>konkurs2!$AE$16</f>
        <v/>
      </c>
      <c r="AZ201" t="str">
        <f>konkurs2!$AA$16</f>
        <v/>
      </c>
      <c r="BA201" t="str">
        <f>konkurs2!$S$16</f>
        <v/>
      </c>
      <c r="BB201" t="str">
        <f>konkurs2!$O$16</f>
        <v/>
      </c>
      <c r="BC201" t="str">
        <f>konkurs2!$C$16</f>
        <v/>
      </c>
      <c r="BD201" t="str">
        <f>konkurs2!$W$16</f>
        <v/>
      </c>
      <c r="BE201" t="str">
        <f>konkurs2!$AU$16</f>
        <v/>
      </c>
      <c r="BF201" t="str">
        <f>konkurs2!$AQ$16</f>
        <v/>
      </c>
      <c r="BG201" s="50" t="str">
        <f>konkurs2!$G$16</f>
        <v/>
      </c>
      <c r="BH201" s="50" t="str">
        <f>konkurs2!$K$16</f>
        <v/>
      </c>
      <c r="BI201" s="50" t="str">
        <f>konkurs2!$AI$16</f>
        <v/>
      </c>
      <c r="BJ201" s="50" t="str">
        <f>konkurs2!$AM$16</f>
        <v/>
      </c>
    </row>
    <row r="202" spans="50:62">
      <c r="AX202" s="49" t="s">
        <v>312</v>
      </c>
      <c r="AY202" t="str">
        <f>konkurs2!$AE$16</f>
        <v/>
      </c>
      <c r="AZ202" t="str">
        <f>konkurs2!$AA$16</f>
        <v/>
      </c>
      <c r="BA202" t="str">
        <f>konkurs2!$AM$16</f>
        <v/>
      </c>
      <c r="BB202" t="str">
        <f>konkurs2!$O$16</f>
        <v/>
      </c>
      <c r="BC202" t="str">
        <f>konkurs2!$C$16</f>
        <v/>
      </c>
      <c r="BD202" t="str">
        <f>konkurs2!$W$16</f>
        <v/>
      </c>
      <c r="BE202" t="str">
        <f>konkurs2!$AU$16</f>
        <v/>
      </c>
      <c r="BF202" t="str">
        <f>konkurs2!$S$16</f>
        <v/>
      </c>
      <c r="BG202" s="50" t="str">
        <f>konkurs2!$G$16</f>
        <v/>
      </c>
      <c r="BH202" s="50" t="str">
        <f>konkurs2!$K$16</f>
        <v/>
      </c>
      <c r="BI202" s="50" t="str">
        <f>konkurs2!$AI$16</f>
        <v/>
      </c>
      <c r="BJ202" s="50" t="str">
        <f>konkurs2!$AQ$16</f>
        <v/>
      </c>
    </row>
    <row r="203" spans="50:62">
      <c r="AX203" s="49" t="s">
        <v>313</v>
      </c>
      <c r="AY203" t="str">
        <f>konkurs2!$AE$16</f>
        <v/>
      </c>
      <c r="AZ203" t="str">
        <f>konkurs2!$AA$16</f>
        <v/>
      </c>
      <c r="BA203" t="str">
        <f>konkurs2!$AM$16</f>
        <v/>
      </c>
      <c r="BB203" t="str">
        <f>konkurs2!$O$16</f>
        <v/>
      </c>
      <c r="BC203" t="str">
        <f>konkurs2!$C$16</f>
        <v/>
      </c>
      <c r="BD203" t="str">
        <f>konkurs2!$W$16</f>
        <v/>
      </c>
      <c r="BE203" t="str">
        <f>konkurs2!$S$16</f>
        <v/>
      </c>
      <c r="BF203" t="str">
        <f>konkurs2!$AQ$16</f>
        <v/>
      </c>
      <c r="BG203" s="50" t="str">
        <f>konkurs2!$G$16</f>
        <v/>
      </c>
      <c r="BH203" s="50" t="str">
        <f>konkurs2!$K$16</f>
        <v/>
      </c>
      <c r="BI203" s="50" t="str">
        <f>konkurs2!$AI$16</f>
        <v/>
      </c>
      <c r="BJ203" s="50" t="str">
        <f>konkurs2!$AU$16</f>
        <v/>
      </c>
    </row>
    <row r="204" spans="50:62">
      <c r="AX204" s="49" t="s">
        <v>314</v>
      </c>
      <c r="AY204" t="str">
        <f>konkurs2!$AE$16</f>
        <v/>
      </c>
      <c r="AZ204" t="str">
        <f>konkurs2!$AA$16</f>
        <v/>
      </c>
      <c r="BA204" t="str">
        <f>konkurs2!$S$16</f>
        <v/>
      </c>
      <c r="BB204" t="str">
        <f>konkurs2!$O$16</f>
        <v/>
      </c>
      <c r="BC204" t="str">
        <f>konkurs2!$C$16</f>
        <v/>
      </c>
      <c r="BD204" t="str">
        <f>konkurs2!$W$16</f>
        <v/>
      </c>
      <c r="BE204" t="str">
        <f>konkurs2!$AU$16</f>
        <v/>
      </c>
      <c r="BF204" t="str">
        <f>konkurs2!$AI$16</f>
        <v/>
      </c>
      <c r="BG204" s="50" t="str">
        <f>konkurs2!$G$16</f>
        <v/>
      </c>
      <c r="BH204" s="50" t="str">
        <f>konkurs2!$K$16</f>
        <v/>
      </c>
      <c r="BI204" s="50" t="str">
        <f>konkurs2!$AM$16</f>
        <v/>
      </c>
      <c r="BJ204" s="50" t="str">
        <f>konkurs2!$AQ$16</f>
        <v/>
      </c>
    </row>
    <row r="205" spans="50:62">
      <c r="AX205" s="49" t="s">
        <v>315</v>
      </c>
      <c r="AY205" t="str">
        <f>konkurs2!$AE$16</f>
        <v/>
      </c>
      <c r="AZ205" t="str">
        <f>konkurs2!$AA$16</f>
        <v/>
      </c>
      <c r="BA205" t="str">
        <f>konkurs2!$S$16</f>
        <v/>
      </c>
      <c r="BB205" t="str">
        <f>konkurs2!$O$16</f>
        <v/>
      </c>
      <c r="BC205" t="str">
        <f>konkurs2!$C$16</f>
        <v/>
      </c>
      <c r="BD205" t="str">
        <f>konkurs2!$W$16</f>
        <v/>
      </c>
      <c r="BE205" t="str">
        <f>konkurs2!$AI$16</f>
        <v/>
      </c>
      <c r="BF205" t="str">
        <f>konkurs2!$AQ$16</f>
        <v/>
      </c>
      <c r="BG205" s="50" t="str">
        <f>konkurs2!$G$16</f>
        <v/>
      </c>
      <c r="BH205" s="50" t="str">
        <f>konkurs2!$K$16</f>
        <v/>
      </c>
      <c r="BI205" s="50" t="str">
        <f>konkurs2!$AM$16</f>
        <v/>
      </c>
      <c r="BJ205" s="50" t="str">
        <f>konkurs2!$AU$16</f>
        <v/>
      </c>
    </row>
    <row r="206" spans="50:62">
      <c r="AX206" s="49" t="s">
        <v>316</v>
      </c>
      <c r="AY206" t="str">
        <f>konkurs2!$AE$16</f>
        <v/>
      </c>
      <c r="AZ206" t="str">
        <f>konkurs2!$AA$16</f>
        <v/>
      </c>
      <c r="BA206" t="str">
        <f>konkurs2!$AM$16</f>
        <v/>
      </c>
      <c r="BB206" t="str">
        <f>konkurs2!$O$16</f>
        <v/>
      </c>
      <c r="BC206" t="str">
        <f>konkurs2!$C$16</f>
        <v/>
      </c>
      <c r="BD206" t="str">
        <f>konkurs2!$W$16</f>
        <v/>
      </c>
      <c r="BE206" t="str">
        <f>konkurs2!$S$16</f>
        <v/>
      </c>
      <c r="BF206" t="str">
        <f>konkurs2!$AI$16</f>
        <v/>
      </c>
      <c r="BG206" s="50" t="str">
        <f>konkurs2!$G$16</f>
        <v/>
      </c>
      <c r="BH206" s="50" t="str">
        <f>konkurs2!$K$16</f>
        <v/>
      </c>
      <c r="BI206" s="50" t="str">
        <f>konkurs2!$AQ$16</f>
        <v/>
      </c>
      <c r="BJ206" s="50" t="str">
        <f>konkurs2!$AU$16</f>
        <v/>
      </c>
    </row>
    <row r="207" spans="50:62">
      <c r="AX207" s="49" t="s">
        <v>317</v>
      </c>
      <c r="AY207" t="str">
        <f>konkurs2!$AE$16</f>
        <v/>
      </c>
      <c r="AZ207" t="str">
        <f>konkurs2!$AM$16</f>
        <v/>
      </c>
      <c r="BA207" t="str">
        <f>konkurs2!$AI$16</f>
        <v/>
      </c>
      <c r="BB207" t="str">
        <f>konkurs2!$K$16</f>
        <v/>
      </c>
      <c r="BC207" t="str">
        <f>konkurs2!$C$16</f>
        <v/>
      </c>
      <c r="BD207" t="str">
        <f>konkurs2!$AA$16</f>
        <v/>
      </c>
      <c r="BE207" t="str">
        <f>konkurs2!$AU$16</f>
        <v/>
      </c>
      <c r="BF207" t="str">
        <f>konkurs2!$AQ$16</f>
        <v/>
      </c>
      <c r="BG207" s="50" t="str">
        <f>konkurs2!$G$16</f>
        <v/>
      </c>
      <c r="BH207" s="50" t="str">
        <f>konkurs2!$O$16</f>
        <v/>
      </c>
      <c r="BI207" s="50" t="str">
        <f>konkurs2!$S$16</f>
        <v/>
      </c>
      <c r="BJ207" s="50" t="str">
        <f>konkurs2!$W$16</f>
        <v/>
      </c>
    </row>
    <row r="208" spans="50:62">
      <c r="AX208" s="49" t="s">
        <v>318</v>
      </c>
      <c r="AY208" t="str">
        <f>konkurs2!$AE$16</f>
        <v/>
      </c>
      <c r="AZ208" t="str">
        <f>konkurs2!$AM$16</f>
        <v/>
      </c>
      <c r="BA208" t="str">
        <f>konkurs2!$AI$16</f>
        <v/>
      </c>
      <c r="BB208" t="str">
        <f>konkurs2!$K$16</f>
        <v/>
      </c>
      <c r="BC208" t="str">
        <f>konkurs2!$C$16</f>
        <v/>
      </c>
      <c r="BD208" t="str">
        <f>konkurs2!$W$16</f>
        <v/>
      </c>
      <c r="BE208" t="str">
        <f>konkurs2!$AU$16</f>
        <v/>
      </c>
      <c r="BF208" t="str">
        <f>konkurs2!$AQ$16</f>
        <v/>
      </c>
      <c r="BG208" s="50" t="str">
        <f>konkurs2!$G$16</f>
        <v/>
      </c>
      <c r="BH208" s="50" t="str">
        <f>konkurs2!$O$16</f>
        <v/>
      </c>
      <c r="BI208" s="50" t="str">
        <f>konkurs2!$S$16</f>
        <v/>
      </c>
      <c r="BJ208" s="50" t="str">
        <f>konkurs2!$AA$16</f>
        <v/>
      </c>
    </row>
    <row r="209" spans="50:62">
      <c r="AX209" s="49" t="s">
        <v>319</v>
      </c>
      <c r="AY209" t="str">
        <f>konkurs2!$AI$16</f>
        <v/>
      </c>
      <c r="AZ209" t="str">
        <f>konkurs2!$AA$16</f>
        <v/>
      </c>
      <c r="BA209" t="str">
        <f>konkurs2!$AM$16</f>
        <v/>
      </c>
      <c r="BB209" t="str">
        <f>konkurs2!$K$16</f>
        <v/>
      </c>
      <c r="BC209" t="str">
        <f>konkurs2!$C$16</f>
        <v/>
      </c>
      <c r="BD209" t="str">
        <f>konkurs2!$W$16</f>
        <v/>
      </c>
      <c r="BE209" t="str">
        <f>konkurs2!$AU$16</f>
        <v/>
      </c>
      <c r="BF209" t="str">
        <f>konkurs2!$AQ$16</f>
        <v/>
      </c>
      <c r="BG209" s="50" t="str">
        <f>konkurs2!$G$16</f>
        <v/>
      </c>
      <c r="BH209" s="50" t="str">
        <f>konkurs2!$O$16</f>
        <v/>
      </c>
      <c r="BI209" s="50" t="str">
        <f>konkurs2!$S$16</f>
        <v/>
      </c>
      <c r="BJ209" s="50" t="str">
        <f>konkurs2!$AE$16</f>
        <v/>
      </c>
    </row>
    <row r="210" spans="50:62">
      <c r="AX210" s="49" t="s">
        <v>320</v>
      </c>
      <c r="AY210" t="str">
        <f>konkurs2!$AE$16</f>
        <v/>
      </c>
      <c r="AZ210" t="str">
        <f>konkurs2!$AA$16</f>
        <v/>
      </c>
      <c r="BA210" t="str">
        <f>konkurs2!$AM$16</f>
        <v/>
      </c>
      <c r="BB210" t="str">
        <f>konkurs2!$K$16</f>
        <v/>
      </c>
      <c r="BC210" t="str">
        <f>konkurs2!$C$16</f>
        <v/>
      </c>
      <c r="BD210" t="str">
        <f>konkurs2!$W$16</f>
        <v/>
      </c>
      <c r="BE210" t="str">
        <f>konkurs2!$AU$16</f>
        <v/>
      </c>
      <c r="BF210" t="str">
        <f>konkurs2!$AQ$16</f>
        <v/>
      </c>
      <c r="BG210" s="50" t="str">
        <f>konkurs2!$G$16</f>
        <v/>
      </c>
      <c r="BH210" s="50" t="str">
        <f>konkurs2!$O$16</f>
        <v/>
      </c>
      <c r="BI210" s="50" t="str">
        <f>konkurs2!$S$16</f>
        <v/>
      </c>
      <c r="BJ210" s="50" t="str">
        <f>konkurs2!$AI$16</f>
        <v/>
      </c>
    </row>
    <row r="211" spans="50:62">
      <c r="AX211" s="49" t="s">
        <v>321</v>
      </c>
      <c r="AY211" t="str">
        <f>konkurs2!$AE$16</f>
        <v/>
      </c>
      <c r="AZ211" t="str">
        <f>konkurs2!$AA$16</f>
        <v/>
      </c>
      <c r="BA211" t="str">
        <f>konkurs2!$AI$16</f>
        <v/>
      </c>
      <c r="BB211" t="str">
        <f>konkurs2!$K$16</f>
        <v/>
      </c>
      <c r="BC211" t="str">
        <f>konkurs2!$C$16</f>
        <v/>
      </c>
      <c r="BD211" t="str">
        <f>konkurs2!$W$16</f>
        <v/>
      </c>
      <c r="BE211" t="str">
        <f>konkurs2!$AU$16</f>
        <v/>
      </c>
      <c r="BF211" t="str">
        <f>konkurs2!$AQ$16</f>
        <v/>
      </c>
      <c r="BG211" s="50" t="str">
        <f>konkurs2!$G$16</f>
        <v/>
      </c>
      <c r="BH211" s="50" t="str">
        <f>konkurs2!$O$16</f>
        <v/>
      </c>
      <c r="BI211" s="50" t="str">
        <f>konkurs2!$S$16</f>
        <v/>
      </c>
      <c r="BJ211" s="50" t="str">
        <f>konkurs2!$AM$16</f>
        <v/>
      </c>
    </row>
    <row r="212" spans="50:62">
      <c r="AX212" s="49" t="s">
        <v>322</v>
      </c>
      <c r="AY212" t="str">
        <f>konkurs2!$AE$16</f>
        <v/>
      </c>
      <c r="AZ212" t="str">
        <f>konkurs2!$AA$16</f>
        <v/>
      </c>
      <c r="BA212" t="str">
        <f>konkurs2!$AM$16</f>
        <v/>
      </c>
      <c r="BB212" t="str">
        <f>konkurs2!$K$16</f>
        <v/>
      </c>
      <c r="BC212" t="str">
        <f>konkurs2!$C$16</f>
        <v/>
      </c>
      <c r="BD212" t="str">
        <f>konkurs2!$W$16</f>
        <v/>
      </c>
      <c r="BE212" t="str">
        <f>konkurs2!$AU$16</f>
        <v/>
      </c>
      <c r="BF212" t="str">
        <f>konkurs2!$AI$16</f>
        <v/>
      </c>
      <c r="BG212" s="50" t="str">
        <f>konkurs2!$G$16</f>
        <v/>
      </c>
      <c r="BH212" s="50" t="str">
        <f>konkurs2!$O$16</f>
        <v/>
      </c>
      <c r="BI212" s="50" t="str">
        <f>konkurs2!$S$16</f>
        <v/>
      </c>
      <c r="BJ212" s="50" t="str">
        <f>konkurs2!$AQ$16</f>
        <v/>
      </c>
    </row>
    <row r="213" spans="50:62">
      <c r="AX213" s="49" t="s">
        <v>323</v>
      </c>
      <c r="AY213" t="str">
        <f>konkurs2!$AE$16</f>
        <v/>
      </c>
      <c r="AZ213" t="str">
        <f>konkurs2!$AA$16</f>
        <v/>
      </c>
      <c r="BA213" t="str">
        <f>konkurs2!$AM$16</f>
        <v/>
      </c>
      <c r="BB213" t="str">
        <f>konkurs2!$K$16</f>
        <v/>
      </c>
      <c r="BC213" t="str">
        <f>konkurs2!$C$16</f>
        <v/>
      </c>
      <c r="BD213" t="str">
        <f>konkurs2!$W$16</f>
        <v/>
      </c>
      <c r="BE213" t="str">
        <f>konkurs2!$AI$16</f>
        <v/>
      </c>
      <c r="BF213" t="str">
        <f>konkurs2!$AQ$16</f>
        <v/>
      </c>
      <c r="BG213" s="50" t="str">
        <f>konkurs2!$G$16</f>
        <v/>
      </c>
      <c r="BH213" s="50" t="str">
        <f>konkurs2!$O$16</f>
        <v/>
      </c>
      <c r="BI213" s="50" t="str">
        <f>konkurs2!$S$16</f>
        <v/>
      </c>
      <c r="BJ213" s="50" t="str">
        <f>konkurs2!$AU$16</f>
        <v/>
      </c>
    </row>
    <row r="214" spans="50:62">
      <c r="AX214" s="49" t="s">
        <v>324</v>
      </c>
      <c r="AY214" t="str">
        <f>konkurs2!$S$16</f>
        <v/>
      </c>
      <c r="AZ214" t="str">
        <f>konkurs2!$AM$16</f>
        <v/>
      </c>
      <c r="BA214" t="str">
        <f>konkurs2!$AI$16</f>
        <v/>
      </c>
      <c r="BB214" t="str">
        <f>konkurs2!$K$16</f>
        <v/>
      </c>
      <c r="BC214" t="str">
        <f>konkurs2!$C$16</f>
        <v/>
      </c>
      <c r="BD214" t="str">
        <f>konkurs2!$AE$16</f>
        <v/>
      </c>
      <c r="BE214" t="str">
        <f>konkurs2!$AU$16</f>
        <v/>
      </c>
      <c r="BF214" t="str">
        <f>konkurs2!$AQ$16</f>
        <v/>
      </c>
      <c r="BG214" s="50" t="str">
        <f>konkurs2!$G$16</f>
        <v/>
      </c>
      <c r="BH214" s="50" t="str">
        <f>konkurs2!$O$16</f>
        <v/>
      </c>
      <c r="BI214" s="50" t="str">
        <f>konkurs2!$W$16</f>
        <v/>
      </c>
      <c r="BJ214" s="50" t="str">
        <f>konkurs2!$AA$16</f>
        <v/>
      </c>
    </row>
    <row r="215" spans="50:62">
      <c r="AX215" s="49" t="s">
        <v>325</v>
      </c>
      <c r="AY215" t="str">
        <f>konkurs2!$S$16</f>
        <v/>
      </c>
      <c r="AZ215" t="str">
        <f>konkurs2!$AM$16</f>
        <v/>
      </c>
      <c r="BA215" t="str">
        <f>konkurs2!$AI$16</f>
        <v/>
      </c>
      <c r="BB215" t="str">
        <f>konkurs2!$K$16</f>
        <v/>
      </c>
      <c r="BC215" t="str">
        <f>konkurs2!$C$16</f>
        <v/>
      </c>
      <c r="BD215" t="str">
        <f>konkurs2!$AA$16</f>
        <v/>
      </c>
      <c r="BE215" t="str">
        <f>konkurs2!$AU$16</f>
        <v/>
      </c>
      <c r="BF215" t="str">
        <f>konkurs2!$AQ$16</f>
        <v/>
      </c>
      <c r="BG215" s="50" t="str">
        <f>konkurs2!$G$16</f>
        <v/>
      </c>
      <c r="BH215" s="50" t="str">
        <f>konkurs2!$O$16</f>
        <v/>
      </c>
      <c r="BI215" s="50" t="str">
        <f>konkurs2!$W$16</f>
        <v/>
      </c>
      <c r="BJ215" s="50" t="str">
        <f>konkurs2!$AE$16</f>
        <v/>
      </c>
    </row>
    <row r="216" spans="50:62">
      <c r="AX216" s="49" t="s">
        <v>326</v>
      </c>
      <c r="AY216" t="str">
        <f>konkurs2!$S$16</f>
        <v/>
      </c>
      <c r="AZ216" t="str">
        <f>konkurs2!$AA$16</f>
        <v/>
      </c>
      <c r="BA216" t="str">
        <f>konkurs2!$AM$16</f>
        <v/>
      </c>
      <c r="BB216" t="str">
        <f>konkurs2!$K$16</f>
        <v/>
      </c>
      <c r="BC216" t="str">
        <f>konkurs2!$C$16</f>
        <v/>
      </c>
      <c r="BD216" t="str">
        <f>konkurs2!$AE$16</f>
        <v/>
      </c>
      <c r="BE216" t="str">
        <f>konkurs2!$AU$16</f>
        <v/>
      </c>
      <c r="BF216" t="str">
        <f>konkurs2!$AQ$16</f>
        <v/>
      </c>
      <c r="BG216" s="50" t="str">
        <f>konkurs2!$G$16</f>
        <v/>
      </c>
      <c r="BH216" s="50" t="str">
        <f>konkurs2!$O$16</f>
        <v/>
      </c>
      <c r="BI216" s="50" t="str">
        <f>konkurs2!$W$16</f>
        <v/>
      </c>
      <c r="BJ216" s="50" t="str">
        <f>konkurs2!$AI$16</f>
        <v/>
      </c>
    </row>
    <row r="217" spans="50:62">
      <c r="AX217" s="49" t="s">
        <v>327</v>
      </c>
      <c r="AY217" t="str">
        <f>konkurs2!$S$16</f>
        <v/>
      </c>
      <c r="AZ217" t="str">
        <f>konkurs2!$AA$16</f>
        <v/>
      </c>
      <c r="BA217" t="str">
        <f>konkurs2!$AI$16</f>
        <v/>
      </c>
      <c r="BB217" t="str">
        <f>konkurs2!$K$16</f>
        <v/>
      </c>
      <c r="BC217" t="str">
        <f>konkurs2!$C$16</f>
        <v/>
      </c>
      <c r="BD217" t="str">
        <f>konkurs2!$AE$16</f>
        <v/>
      </c>
      <c r="BE217" t="str">
        <f>konkurs2!$AU$16</f>
        <v/>
      </c>
      <c r="BF217" t="str">
        <f>konkurs2!$AQ$16</f>
        <v/>
      </c>
      <c r="BG217" s="50" t="str">
        <f>konkurs2!$G$16</f>
        <v/>
      </c>
      <c r="BH217" s="50" t="str">
        <f>konkurs2!$O$16</f>
        <v/>
      </c>
      <c r="BI217" s="50" t="str">
        <f>konkurs2!$W$16</f>
        <v/>
      </c>
      <c r="BJ217" s="50" t="str">
        <f>konkurs2!$AM$16</f>
        <v/>
      </c>
    </row>
    <row r="218" spans="50:62">
      <c r="AX218" s="49" t="s">
        <v>328</v>
      </c>
      <c r="AY218" t="str">
        <f>konkurs2!$S$16</f>
        <v/>
      </c>
      <c r="AZ218" t="str">
        <f>konkurs2!$AA$16</f>
        <v/>
      </c>
      <c r="BA218" t="str">
        <f>konkurs2!$AM$16</f>
        <v/>
      </c>
      <c r="BB218" t="str">
        <f>konkurs2!$K$16</f>
        <v/>
      </c>
      <c r="BC218" t="str">
        <f>konkurs2!$C$16</f>
        <v/>
      </c>
      <c r="BD218" t="str">
        <f>konkurs2!$AE$16</f>
        <v/>
      </c>
      <c r="BE218" t="str">
        <f>konkurs2!$AU$16</f>
        <v/>
      </c>
      <c r="BF218" t="str">
        <f>konkurs2!$AI$16</f>
        <v/>
      </c>
      <c r="BG218" s="50" t="str">
        <f>konkurs2!$G$16</f>
        <v/>
      </c>
      <c r="BH218" s="50" t="str">
        <f>konkurs2!$O$16</f>
        <v/>
      </c>
      <c r="BI218" s="50" t="str">
        <f>konkurs2!$W$16</f>
        <v/>
      </c>
      <c r="BJ218" s="50" t="str">
        <f>konkurs2!$AQ$16</f>
        <v/>
      </c>
    </row>
    <row r="219" spans="50:62">
      <c r="AX219" s="49" t="s">
        <v>329</v>
      </c>
      <c r="AY219" t="str">
        <f>konkurs2!$S$16</f>
        <v/>
      </c>
      <c r="AZ219" t="str">
        <f>konkurs2!$AA$16</f>
        <v/>
      </c>
      <c r="BA219" t="str">
        <f>konkurs2!$AM$16</f>
        <v/>
      </c>
      <c r="BB219" t="str">
        <f>konkurs2!$K$16</f>
        <v/>
      </c>
      <c r="BC219" t="str">
        <f>konkurs2!$C$16</f>
        <v/>
      </c>
      <c r="BD219" t="str">
        <f>konkurs2!$AE$16</f>
        <v/>
      </c>
      <c r="BE219" t="str">
        <f>konkurs2!$AI$16</f>
        <v/>
      </c>
      <c r="BF219" t="str">
        <f>konkurs2!$AQ$16</f>
        <v/>
      </c>
      <c r="BG219" s="50" t="str">
        <f>konkurs2!$G$16</f>
        <v/>
      </c>
      <c r="BH219" s="50" t="str">
        <f>konkurs2!$O$16</f>
        <v/>
      </c>
      <c r="BI219" s="50" t="str">
        <f>konkurs2!$W$16</f>
        <v/>
      </c>
      <c r="BJ219" s="50" t="str">
        <f>konkurs2!$AU$16</f>
        <v/>
      </c>
    </row>
    <row r="220" spans="50:62">
      <c r="AX220" s="49" t="s">
        <v>330</v>
      </c>
      <c r="AY220" t="str">
        <f>konkurs2!$S$16</f>
        <v/>
      </c>
      <c r="AZ220" t="str">
        <f>konkurs2!$AM$16</f>
        <v/>
      </c>
      <c r="BA220" t="str">
        <f>konkurs2!$AI$16</f>
        <v/>
      </c>
      <c r="BB220" t="str">
        <f>konkurs2!$K$16</f>
        <v/>
      </c>
      <c r="BC220" t="str">
        <f>konkurs2!$C$16</f>
        <v/>
      </c>
      <c r="BD220" t="str">
        <f>konkurs2!$W$16</f>
        <v/>
      </c>
      <c r="BE220" t="str">
        <f>konkurs2!$AU$16</f>
        <v/>
      </c>
      <c r="BF220" t="str">
        <f>konkurs2!$AQ$16</f>
        <v/>
      </c>
      <c r="BG220" s="50" t="str">
        <f>konkurs2!$G$16</f>
        <v/>
      </c>
      <c r="BH220" s="50" t="str">
        <f>konkurs2!$O$16</f>
        <v/>
      </c>
      <c r="BI220" s="50" t="str">
        <f>konkurs2!$AA$16</f>
        <v/>
      </c>
      <c r="BJ220" s="50" t="str">
        <f>konkurs2!$AE$16</f>
        <v/>
      </c>
    </row>
    <row r="221" spans="50:62">
      <c r="AX221" s="49" t="s">
        <v>331</v>
      </c>
      <c r="AY221" t="str">
        <f>konkurs2!$AE$16</f>
        <v/>
      </c>
      <c r="AZ221" t="str">
        <f>konkurs2!$AM$16</f>
        <v/>
      </c>
      <c r="BA221" t="str">
        <f>konkurs2!$S$16</f>
        <v/>
      </c>
      <c r="BB221" t="str">
        <f>konkurs2!$K$16</f>
        <v/>
      </c>
      <c r="BC221" t="str">
        <f>konkurs2!$C$16</f>
        <v/>
      </c>
      <c r="BD221" t="str">
        <f>konkurs2!$W$16</f>
        <v/>
      </c>
      <c r="BE221" t="str">
        <f>konkurs2!$AU$16</f>
        <v/>
      </c>
      <c r="BF221" t="str">
        <f>konkurs2!$AQ$16</f>
        <v/>
      </c>
      <c r="BG221" s="50" t="str">
        <f>konkurs2!$G$16</f>
        <v/>
      </c>
      <c r="BH221" s="50" t="str">
        <f>konkurs2!$O$16</f>
        <v/>
      </c>
      <c r="BI221" s="50" t="str">
        <f>konkurs2!$AA$16</f>
        <v/>
      </c>
      <c r="BJ221" s="50" t="str">
        <f>konkurs2!$AI$16</f>
        <v/>
      </c>
    </row>
    <row r="222" spans="50:62">
      <c r="AX222" s="49" t="s">
        <v>332</v>
      </c>
      <c r="AY222" t="str">
        <f>konkurs2!$AE$16</f>
        <v/>
      </c>
      <c r="AZ222" t="str">
        <f>konkurs2!$S$16</f>
        <v/>
      </c>
      <c r="BA222" t="str">
        <f>konkurs2!$AI$16</f>
        <v/>
      </c>
      <c r="BB222" t="str">
        <f>konkurs2!$K$16</f>
        <v/>
      </c>
      <c r="BC222" t="str">
        <f>konkurs2!$C$16</f>
        <v/>
      </c>
      <c r="BD222" t="str">
        <f>konkurs2!$W$16</f>
        <v/>
      </c>
      <c r="BE222" t="str">
        <f>konkurs2!$AU$16</f>
        <v/>
      </c>
      <c r="BF222" t="str">
        <f>konkurs2!$AQ$16</f>
        <v/>
      </c>
      <c r="BG222" s="50" t="str">
        <f>konkurs2!$G$16</f>
        <v/>
      </c>
      <c r="BH222" s="50" t="str">
        <f>konkurs2!$O$16</f>
        <v/>
      </c>
      <c r="BI222" s="50" t="str">
        <f>konkurs2!$AA$16</f>
        <v/>
      </c>
      <c r="BJ222" s="50" t="str">
        <f>konkurs2!$AM$16</f>
        <v/>
      </c>
    </row>
    <row r="223" spans="50:62">
      <c r="AX223" s="49" t="s">
        <v>333</v>
      </c>
      <c r="AY223" t="str">
        <f>konkurs2!$AE$16</f>
        <v/>
      </c>
      <c r="AZ223" t="str">
        <f>konkurs2!$AM$16</f>
        <v/>
      </c>
      <c r="BA223" t="str">
        <f>konkurs2!$S$16</f>
        <v/>
      </c>
      <c r="BB223" t="str">
        <f>konkurs2!$K$16</f>
        <v/>
      </c>
      <c r="BC223" t="str">
        <f>konkurs2!$C$16</f>
        <v/>
      </c>
      <c r="BD223" t="str">
        <f>konkurs2!$W$16</f>
        <v/>
      </c>
      <c r="BE223" t="str">
        <f>konkurs2!$AU$16</f>
        <v/>
      </c>
      <c r="BF223" t="str">
        <f>konkurs2!$AI$16</f>
        <v/>
      </c>
      <c r="BG223" s="50" t="str">
        <f>konkurs2!$G$16</f>
        <v/>
      </c>
      <c r="BH223" s="50" t="str">
        <f>konkurs2!$O$16</f>
        <v/>
      </c>
      <c r="BI223" s="50" t="str">
        <f>konkurs2!$AA$16</f>
        <v/>
      </c>
      <c r="BJ223" s="50" t="str">
        <f>konkurs2!$AQ$16</f>
        <v/>
      </c>
    </row>
    <row r="224" spans="50:62">
      <c r="AX224" s="49" t="s">
        <v>334</v>
      </c>
      <c r="AY224" t="str">
        <f>konkurs2!$AE$16</f>
        <v/>
      </c>
      <c r="AZ224" t="str">
        <f>konkurs2!$AM$16</f>
        <v/>
      </c>
      <c r="BA224" t="str">
        <f>konkurs2!$S$16</f>
        <v/>
      </c>
      <c r="BB224" t="str">
        <f>konkurs2!$K$16</f>
        <v/>
      </c>
      <c r="BC224" t="str">
        <f>konkurs2!$C$16</f>
        <v/>
      </c>
      <c r="BD224" t="str">
        <f>konkurs2!$W$16</f>
        <v/>
      </c>
      <c r="BE224" t="str">
        <f>konkurs2!$AI$16</f>
        <v/>
      </c>
      <c r="BF224" t="str">
        <f>konkurs2!$AQ$16</f>
        <v/>
      </c>
      <c r="BG224" s="50" t="str">
        <f>konkurs2!$G$16</f>
        <v/>
      </c>
      <c r="BH224" s="50" t="str">
        <f>konkurs2!$O$16</f>
        <v/>
      </c>
      <c r="BI224" s="50" t="str">
        <f>konkurs2!$AA$16</f>
        <v/>
      </c>
      <c r="BJ224" s="50" t="str">
        <f>konkurs2!$AU$16</f>
        <v/>
      </c>
    </row>
    <row r="225" spans="50:62">
      <c r="AX225" s="49" t="s">
        <v>335</v>
      </c>
      <c r="AY225" t="str">
        <f>konkurs2!$S$16</f>
        <v/>
      </c>
      <c r="AZ225" t="str">
        <f>konkurs2!$AA$16</f>
        <v/>
      </c>
      <c r="BA225" t="str">
        <f>konkurs2!$AM$16</f>
        <v/>
      </c>
      <c r="BB225" t="str">
        <f>konkurs2!$K$16</f>
        <v/>
      </c>
      <c r="BC225" t="str">
        <f>konkurs2!$C$16</f>
        <v/>
      </c>
      <c r="BD225" t="str">
        <f>konkurs2!$W$16</f>
        <v/>
      </c>
      <c r="BE225" t="str">
        <f>konkurs2!$AU$16</f>
        <v/>
      </c>
      <c r="BF225" t="str">
        <f>konkurs2!$AQ$16</f>
        <v/>
      </c>
      <c r="BG225" s="50" t="str">
        <f>konkurs2!$G$16</f>
        <v/>
      </c>
      <c r="BH225" s="50" t="str">
        <f>konkurs2!$O$16</f>
        <v/>
      </c>
      <c r="BI225" s="50" t="str">
        <f>konkurs2!$AE$16</f>
        <v/>
      </c>
      <c r="BJ225" s="50" t="str">
        <f>konkurs2!$AI$16</f>
        <v/>
      </c>
    </row>
    <row r="226" spans="50:62">
      <c r="AX226" s="49" t="s">
        <v>336</v>
      </c>
      <c r="AY226" t="str">
        <f>konkurs2!$S$16</f>
        <v/>
      </c>
      <c r="AZ226" t="str">
        <f>konkurs2!$AA$16</f>
        <v/>
      </c>
      <c r="BA226" t="str">
        <f>konkurs2!$AI$16</f>
        <v/>
      </c>
      <c r="BB226" t="str">
        <f>konkurs2!$K$16</f>
        <v/>
      </c>
      <c r="BC226" t="str">
        <f>konkurs2!$C$16</f>
        <v/>
      </c>
      <c r="BD226" t="str">
        <f>konkurs2!$W$16</f>
        <v/>
      </c>
      <c r="BE226" t="str">
        <f>konkurs2!$AU$16</f>
        <v/>
      </c>
      <c r="BF226" t="str">
        <f>konkurs2!$AQ$16</f>
        <v/>
      </c>
      <c r="BG226" s="50" t="str">
        <f>konkurs2!$G$16</f>
        <v/>
      </c>
      <c r="BH226" s="50" t="str">
        <f>konkurs2!$O$16</f>
        <v/>
      </c>
      <c r="BI226" s="50" t="str">
        <f>konkurs2!$AE$16</f>
        <v/>
      </c>
      <c r="BJ226" s="50" t="str">
        <f>konkurs2!$AM$16</f>
        <v/>
      </c>
    </row>
    <row r="227" spans="50:62">
      <c r="AX227" s="49" t="s">
        <v>337</v>
      </c>
      <c r="AY227" t="str">
        <f>konkurs2!$S$16</f>
        <v/>
      </c>
      <c r="AZ227" t="str">
        <f>konkurs2!$AA$16</f>
        <v/>
      </c>
      <c r="BA227" t="str">
        <f>konkurs2!$AM$16</f>
        <v/>
      </c>
      <c r="BB227" t="str">
        <f>konkurs2!$K$16</f>
        <v/>
      </c>
      <c r="BC227" t="str">
        <f>konkurs2!$C$16</f>
        <v/>
      </c>
      <c r="BD227" t="str">
        <f>konkurs2!$W$16</f>
        <v/>
      </c>
      <c r="BE227" t="str">
        <f>konkurs2!$AU$16</f>
        <v/>
      </c>
      <c r="BF227" t="str">
        <f>konkurs2!$AI$16</f>
        <v/>
      </c>
      <c r="BG227" s="50" t="str">
        <f>konkurs2!$G$16</f>
        <v/>
      </c>
      <c r="BH227" s="50" t="str">
        <f>konkurs2!$O$16</f>
        <v/>
      </c>
      <c r="BI227" s="50" t="str">
        <f>konkurs2!$AE$16</f>
        <v/>
      </c>
      <c r="BJ227" s="50" t="str">
        <f>konkurs2!$AQ$16</f>
        <v/>
      </c>
    </row>
    <row r="228" spans="50:62">
      <c r="AX228" s="49" t="s">
        <v>338</v>
      </c>
      <c r="AY228" t="str">
        <f>konkurs2!$S$16</f>
        <v/>
      </c>
      <c r="AZ228" t="str">
        <f>konkurs2!$AA$16</f>
        <v/>
      </c>
      <c r="BA228" t="str">
        <f>konkurs2!$AM$16</f>
        <v/>
      </c>
      <c r="BB228" t="str">
        <f>konkurs2!$K$16</f>
        <v/>
      </c>
      <c r="BC228" t="str">
        <f>konkurs2!$C$16</f>
        <v/>
      </c>
      <c r="BD228" t="str">
        <f>konkurs2!$W$16</f>
        <v/>
      </c>
      <c r="BE228" t="str">
        <f>konkurs2!$AI$16</f>
        <v/>
      </c>
      <c r="BF228" t="str">
        <f>konkurs2!$AQ$16</f>
        <v/>
      </c>
      <c r="BG228" s="50" t="str">
        <f>konkurs2!$G$16</f>
        <v/>
      </c>
      <c r="BH228" s="50" t="str">
        <f>konkurs2!$O$16</f>
        <v/>
      </c>
      <c r="BI228" s="50" t="str">
        <f>konkurs2!$AE$16</f>
        <v/>
      </c>
      <c r="BJ228" s="50" t="str">
        <f>konkurs2!$AU$16</f>
        <v/>
      </c>
    </row>
    <row r="229" spans="50:62">
      <c r="AX229" s="49" t="s">
        <v>339</v>
      </c>
      <c r="AY229" t="str">
        <f>konkurs2!$AE$16</f>
        <v/>
      </c>
      <c r="AZ229" t="str">
        <f>konkurs2!$AA$16</f>
        <v/>
      </c>
      <c r="BA229" t="str">
        <f>konkurs2!$S$16</f>
        <v/>
      </c>
      <c r="BB229" t="str">
        <f>konkurs2!$K$16</f>
        <v/>
      </c>
      <c r="BC229" t="str">
        <f>konkurs2!$C$16</f>
        <v/>
      </c>
      <c r="BD229" t="str">
        <f>konkurs2!$W$16</f>
        <v/>
      </c>
      <c r="BE229" t="str">
        <f>konkurs2!$AU$16</f>
        <v/>
      </c>
      <c r="BF229" t="str">
        <f>konkurs2!$AQ$16</f>
        <v/>
      </c>
      <c r="BG229" s="50" t="str">
        <f>konkurs2!$G$16</f>
        <v/>
      </c>
      <c r="BH229" s="50" t="str">
        <f>konkurs2!$O$16</f>
        <v/>
      </c>
      <c r="BI229" s="50" t="str">
        <f>konkurs2!$AI$16</f>
        <v/>
      </c>
      <c r="BJ229" s="50" t="str">
        <f>konkurs2!$AM$16</f>
        <v/>
      </c>
    </row>
    <row r="230" spans="50:62">
      <c r="AX230" s="49" t="s">
        <v>340</v>
      </c>
      <c r="AY230" t="str">
        <f>konkurs2!$AE$16</f>
        <v/>
      </c>
      <c r="AZ230" t="str">
        <f>konkurs2!$AA$16</f>
        <v/>
      </c>
      <c r="BA230" t="str">
        <f>konkurs2!$AM$16</f>
        <v/>
      </c>
      <c r="BB230" t="str">
        <f>konkurs2!$K$16</f>
        <v/>
      </c>
      <c r="BC230" t="str">
        <f>konkurs2!$C$16</f>
        <v/>
      </c>
      <c r="BD230" t="str">
        <f>konkurs2!$W$16</f>
        <v/>
      </c>
      <c r="BE230" t="str">
        <f>konkurs2!$AU$16</f>
        <v/>
      </c>
      <c r="BF230" t="str">
        <f>konkurs2!$S$16</f>
        <v/>
      </c>
      <c r="BG230" s="50" t="str">
        <f>konkurs2!$G$16</f>
        <v/>
      </c>
      <c r="BH230" s="50" t="str">
        <f>konkurs2!$O$16</f>
        <v/>
      </c>
      <c r="BI230" s="50" t="str">
        <f>konkurs2!$AI$16</f>
        <v/>
      </c>
      <c r="BJ230" s="50" t="str">
        <f>konkurs2!$AQ$16</f>
        <v/>
      </c>
    </row>
    <row r="231" spans="50:62">
      <c r="AX231" s="49" t="s">
        <v>341</v>
      </c>
      <c r="AY231" t="str">
        <f>konkurs2!$AE$16</f>
        <v/>
      </c>
      <c r="AZ231" t="str">
        <f>konkurs2!$AA$16</f>
        <v/>
      </c>
      <c r="BA231" t="str">
        <f>konkurs2!$AM$16</f>
        <v/>
      </c>
      <c r="BB231" t="str">
        <f>konkurs2!$K$16</f>
        <v/>
      </c>
      <c r="BC231" t="str">
        <f>konkurs2!$C$16</f>
        <v/>
      </c>
      <c r="BD231" t="str">
        <f>konkurs2!$W$16</f>
        <v/>
      </c>
      <c r="BE231" t="str">
        <f>konkurs2!$S$16</f>
        <v/>
      </c>
      <c r="BF231" t="str">
        <f>konkurs2!$AQ$16</f>
        <v/>
      </c>
      <c r="BG231" s="50" t="str">
        <f>konkurs2!$G$16</f>
        <v/>
      </c>
      <c r="BH231" s="50" t="str">
        <f>konkurs2!$O$16</f>
        <v/>
      </c>
      <c r="BI231" s="50" t="str">
        <f>konkurs2!$AI$16</f>
        <v/>
      </c>
      <c r="BJ231" s="50" t="str">
        <f>konkurs2!$AU$16</f>
        <v/>
      </c>
    </row>
    <row r="232" spans="50:62">
      <c r="AX232" s="49" t="s">
        <v>342</v>
      </c>
      <c r="AY232" t="str">
        <f>konkurs2!$AE$16</f>
        <v/>
      </c>
      <c r="AZ232" t="str">
        <f>konkurs2!$AA$16</f>
        <v/>
      </c>
      <c r="BA232" t="str">
        <f>konkurs2!$S$16</f>
        <v/>
      </c>
      <c r="BB232" t="str">
        <f>konkurs2!$K$16</f>
        <v/>
      </c>
      <c r="BC232" t="str">
        <f>konkurs2!$C$16</f>
        <v/>
      </c>
      <c r="BD232" t="str">
        <f>konkurs2!$W$16</f>
        <v/>
      </c>
      <c r="BE232" t="str">
        <f>konkurs2!$AU$16</f>
        <v/>
      </c>
      <c r="BF232" t="str">
        <f>konkurs2!$AI$16</f>
        <v/>
      </c>
      <c r="BG232" s="50" t="str">
        <f>konkurs2!$G$16</f>
        <v/>
      </c>
      <c r="BH232" s="50" t="str">
        <f>konkurs2!$O$16</f>
        <v/>
      </c>
      <c r="BI232" s="50" t="str">
        <f>konkurs2!$AM$16</f>
        <v/>
      </c>
      <c r="BJ232" s="50" t="str">
        <f>konkurs2!$AQ$16</f>
        <v/>
      </c>
    </row>
    <row r="233" spans="50:62">
      <c r="AX233" s="49" t="s">
        <v>343</v>
      </c>
      <c r="AY233" t="str">
        <f>konkurs2!$AE$16</f>
        <v/>
      </c>
      <c r="AZ233" t="str">
        <f>konkurs2!$AA$16</f>
        <v/>
      </c>
      <c r="BA233" t="str">
        <f>konkurs2!$S$16</f>
        <v/>
      </c>
      <c r="BB233" t="str">
        <f>konkurs2!$K$16</f>
        <v/>
      </c>
      <c r="BC233" t="str">
        <f>konkurs2!$C$16</f>
        <v/>
      </c>
      <c r="BD233" t="str">
        <f>konkurs2!$W$16</f>
        <v/>
      </c>
      <c r="BE233" t="str">
        <f>konkurs2!$AI$16</f>
        <v/>
      </c>
      <c r="BF233" t="str">
        <f>konkurs2!$AQ$16</f>
        <v/>
      </c>
      <c r="BG233" s="50" t="str">
        <f>konkurs2!$G$16</f>
        <v/>
      </c>
      <c r="BH233" s="50" t="str">
        <f>konkurs2!$O$16</f>
        <v/>
      </c>
      <c r="BI233" s="50" t="str">
        <f>konkurs2!$AM$16</f>
        <v/>
      </c>
      <c r="BJ233" s="50" t="str">
        <f>konkurs2!$AU$16</f>
        <v/>
      </c>
    </row>
    <row r="234" spans="50:62">
      <c r="AX234" s="49" t="s">
        <v>344</v>
      </c>
      <c r="AY234" t="str">
        <f>konkurs2!$AE$16</f>
        <v/>
      </c>
      <c r="AZ234" t="str">
        <f>konkurs2!$AA$16</f>
        <v/>
      </c>
      <c r="BA234" t="str">
        <f>konkurs2!$AM$16</f>
        <v/>
      </c>
      <c r="BB234" t="str">
        <f>konkurs2!$K$16</f>
        <v/>
      </c>
      <c r="BC234" t="str">
        <f>konkurs2!$C$16</f>
        <v/>
      </c>
      <c r="BD234" t="str">
        <f>konkurs2!$W$16</f>
        <v/>
      </c>
      <c r="BE234" t="str">
        <f>konkurs2!$S$16</f>
        <v/>
      </c>
      <c r="BF234" t="str">
        <f>konkurs2!$AI$16</f>
        <v/>
      </c>
      <c r="BG234" s="50" t="str">
        <f>konkurs2!$G$16</f>
        <v/>
      </c>
      <c r="BH234" s="50" t="str">
        <f>konkurs2!$O$16</f>
        <v/>
      </c>
      <c r="BI234" s="50" t="str">
        <f>konkurs2!$AQ$16</f>
        <v/>
      </c>
      <c r="BJ234" s="50" t="str">
        <f>konkurs2!$AU$16</f>
        <v/>
      </c>
    </row>
    <row r="235" spans="50:62">
      <c r="AX235" s="49" t="s">
        <v>345</v>
      </c>
      <c r="AY235" t="str">
        <f>konkurs2!$AE$16</f>
        <v/>
      </c>
      <c r="AZ235" t="str">
        <f>konkurs2!$AM$16</f>
        <v/>
      </c>
      <c r="BA235" t="str">
        <f>konkurs2!$AI$16</f>
        <v/>
      </c>
      <c r="BB235" t="str">
        <f>konkurs2!$K$16</f>
        <v/>
      </c>
      <c r="BC235" t="str">
        <f>konkurs2!$C$16</f>
        <v/>
      </c>
      <c r="BD235" t="str">
        <f>konkurs2!$O$16</f>
        <v/>
      </c>
      <c r="BE235" t="str">
        <f>konkurs2!$AU$16</f>
        <v/>
      </c>
      <c r="BF235" t="str">
        <f>konkurs2!$AQ$16</f>
        <v/>
      </c>
      <c r="BG235" s="50" t="str">
        <f>konkurs2!$G$16</f>
        <v/>
      </c>
      <c r="BH235" s="50" t="str">
        <f>konkurs2!$S$16</f>
        <v/>
      </c>
      <c r="BI235" s="50" t="str">
        <f>konkurs2!$W$16</f>
        <v/>
      </c>
      <c r="BJ235" s="50" t="str">
        <f>konkurs2!$AA$16</f>
        <v/>
      </c>
    </row>
    <row r="236" spans="50:62">
      <c r="AX236" s="49" t="s">
        <v>346</v>
      </c>
      <c r="AY236" t="str">
        <f>konkurs2!$AI$16</f>
        <v/>
      </c>
      <c r="AZ236" t="str">
        <f>konkurs2!$AA$16</f>
        <v/>
      </c>
      <c r="BA236" t="str">
        <f>konkurs2!$AM$16</f>
        <v/>
      </c>
      <c r="BB236" t="str">
        <f>konkurs2!$K$16</f>
        <v/>
      </c>
      <c r="BC236" t="str">
        <f>konkurs2!$C$16</f>
        <v/>
      </c>
      <c r="BD236" t="str">
        <f>konkurs2!$O$16</f>
        <v/>
      </c>
      <c r="BE236" t="str">
        <f>konkurs2!$AU$16</f>
        <v/>
      </c>
      <c r="BF236" t="str">
        <f>konkurs2!$AQ$16</f>
        <v/>
      </c>
      <c r="BG236" s="50" t="str">
        <f>konkurs2!$G$16</f>
        <v/>
      </c>
      <c r="BH236" s="50" t="str">
        <f>konkurs2!$S$16</f>
        <v/>
      </c>
      <c r="BI236" s="50" t="str">
        <f>konkurs2!$W$16</f>
        <v/>
      </c>
      <c r="BJ236" s="50" t="str">
        <f>konkurs2!$AE$16</f>
        <v/>
      </c>
    </row>
    <row r="237" spans="50:62">
      <c r="AX237" s="49" t="s">
        <v>347</v>
      </c>
      <c r="AY237" t="str">
        <f>konkurs2!$AE$16</f>
        <v/>
      </c>
      <c r="AZ237" t="str">
        <f>konkurs2!$AA$16</f>
        <v/>
      </c>
      <c r="BA237" t="str">
        <f>konkurs2!$AM$16</f>
        <v/>
      </c>
      <c r="BB237" t="str">
        <f>konkurs2!$K$16</f>
        <v/>
      </c>
      <c r="BC237" t="str">
        <f>konkurs2!$C$16</f>
        <v/>
      </c>
      <c r="BD237" t="str">
        <f>konkurs2!$O$16</f>
        <v/>
      </c>
      <c r="BE237" t="str">
        <f>konkurs2!$AU$16</f>
        <v/>
      </c>
      <c r="BF237" t="str">
        <f>konkurs2!$AQ$16</f>
        <v/>
      </c>
      <c r="BG237" s="50" t="str">
        <f>konkurs2!$G$16</f>
        <v/>
      </c>
      <c r="BH237" s="50" t="str">
        <f>konkurs2!$S$16</f>
        <v/>
      </c>
      <c r="BI237" s="50" t="str">
        <f>konkurs2!$W$16</f>
        <v/>
      </c>
      <c r="BJ237" s="50" t="str">
        <f>konkurs2!$AI$16</f>
        <v/>
      </c>
    </row>
    <row r="238" spans="50:62">
      <c r="AX238" s="49" t="s">
        <v>348</v>
      </c>
      <c r="AY238" t="str">
        <f>konkurs2!$AE$16</f>
        <v/>
      </c>
      <c r="AZ238" t="str">
        <f>konkurs2!$AA$16</f>
        <v/>
      </c>
      <c r="BA238" t="str">
        <f>konkurs2!$AI$16</f>
        <v/>
      </c>
      <c r="BB238" t="str">
        <f>konkurs2!$K$16</f>
        <v/>
      </c>
      <c r="BC238" t="str">
        <f>konkurs2!$C$16</f>
        <v/>
      </c>
      <c r="BD238" t="str">
        <f>konkurs2!$O$16</f>
        <v/>
      </c>
      <c r="BE238" t="str">
        <f>konkurs2!$AU$16</f>
        <v/>
      </c>
      <c r="BF238" t="str">
        <f>konkurs2!$AQ$16</f>
        <v/>
      </c>
      <c r="BG238" s="50" t="str">
        <f>konkurs2!$G$16</f>
        <v/>
      </c>
      <c r="BH238" s="50" t="str">
        <f>konkurs2!$S$16</f>
        <v/>
      </c>
      <c r="BI238" s="50" t="str">
        <f>konkurs2!$W$16</f>
        <v/>
      </c>
      <c r="BJ238" s="50" t="str">
        <f>konkurs2!$AM$16</f>
        <v/>
      </c>
    </row>
    <row r="239" spans="50:62">
      <c r="AX239" s="49" t="s">
        <v>349</v>
      </c>
      <c r="AY239" t="str">
        <f>konkurs2!$AE$16</f>
        <v/>
      </c>
      <c r="AZ239" t="str">
        <f>konkurs2!$AA$16</f>
        <v/>
      </c>
      <c r="BA239" t="str">
        <f>konkurs2!$AM$16</f>
        <v/>
      </c>
      <c r="BB239" t="str">
        <f>konkurs2!$K$16</f>
        <v/>
      </c>
      <c r="BC239" t="str">
        <f>konkurs2!$C$16</f>
        <v/>
      </c>
      <c r="BD239" t="str">
        <f>konkurs2!$O$16</f>
        <v/>
      </c>
      <c r="BE239" t="str">
        <f>konkurs2!$AU$16</f>
        <v/>
      </c>
      <c r="BF239" t="str">
        <f>konkurs2!$AI$16</f>
        <v/>
      </c>
      <c r="BG239" s="50" t="str">
        <f>konkurs2!$G$16</f>
        <v/>
      </c>
      <c r="BH239" s="50" t="str">
        <f>konkurs2!$S$16</f>
        <v/>
      </c>
      <c r="BI239" s="50" t="str">
        <f>konkurs2!$W$16</f>
        <v/>
      </c>
      <c r="BJ239" s="50" t="str">
        <f>konkurs2!$AQ$16</f>
        <v/>
      </c>
    </row>
    <row r="240" spans="50:62">
      <c r="AX240" s="49" t="s">
        <v>350</v>
      </c>
      <c r="AY240" t="str">
        <f>konkurs2!$AE$16</f>
        <v/>
      </c>
      <c r="AZ240" t="str">
        <f>konkurs2!$AA$16</f>
        <v/>
      </c>
      <c r="BA240" t="str">
        <f>konkurs2!$AM$16</f>
        <v/>
      </c>
      <c r="BB240" t="str">
        <f>konkurs2!$K$16</f>
        <v/>
      </c>
      <c r="BC240" t="str">
        <f>konkurs2!$C$16</f>
        <v/>
      </c>
      <c r="BD240" t="str">
        <f>konkurs2!$O$16</f>
        <v/>
      </c>
      <c r="BE240" t="str">
        <f>konkurs2!$AI$16</f>
        <v/>
      </c>
      <c r="BF240" t="str">
        <f>konkurs2!$AQ$16</f>
        <v/>
      </c>
      <c r="BG240" s="50" t="str">
        <f>konkurs2!$G$16</f>
        <v/>
      </c>
      <c r="BH240" s="50" t="str">
        <f>konkurs2!$S$16</f>
        <v/>
      </c>
      <c r="BI240" s="50" t="str">
        <f>konkurs2!$W$16</f>
        <v/>
      </c>
      <c r="BJ240" s="50" t="str">
        <f>konkurs2!$AU$16</f>
        <v/>
      </c>
    </row>
    <row r="241" spans="50:62">
      <c r="AX241" s="49" t="s">
        <v>351</v>
      </c>
      <c r="AY241" t="str">
        <f>konkurs2!$K$16</f>
        <v/>
      </c>
      <c r="AZ241" t="str">
        <f>konkurs2!$AM$16</f>
        <v/>
      </c>
      <c r="BA241" t="str">
        <f>konkurs2!$AI$16</f>
        <v/>
      </c>
      <c r="BB241" t="str">
        <f>konkurs2!$O$16</f>
        <v/>
      </c>
      <c r="BC241" t="str">
        <f>konkurs2!$C$16</f>
        <v/>
      </c>
      <c r="BD241" t="str">
        <f>konkurs2!$W$16</f>
        <v/>
      </c>
      <c r="BE241" t="str">
        <f>konkurs2!$AU$16</f>
        <v/>
      </c>
      <c r="BF241" t="str">
        <f>konkurs2!$AQ$16</f>
        <v/>
      </c>
      <c r="BG241" s="50" t="str">
        <f>konkurs2!$G$16</f>
        <v/>
      </c>
      <c r="BH241" s="50" t="str">
        <f>konkurs2!$S$16</f>
        <v/>
      </c>
      <c r="BI241" s="50" t="str">
        <f>konkurs2!$AA$16</f>
        <v/>
      </c>
      <c r="BJ241" s="50" t="str">
        <f>konkurs2!$AE$16</f>
        <v/>
      </c>
    </row>
    <row r="242" spans="50:62">
      <c r="AX242" s="49" t="s">
        <v>352</v>
      </c>
      <c r="AY242" t="str">
        <f>konkurs2!$AE$16</f>
        <v/>
      </c>
      <c r="AZ242" t="str">
        <f>konkurs2!$AM$16</f>
        <v/>
      </c>
      <c r="BA242" t="str">
        <f>konkurs2!$W$16</f>
        <v/>
      </c>
      <c r="BB242" t="str">
        <f>konkurs2!$K$16</f>
        <v/>
      </c>
      <c r="BC242" t="str">
        <f>konkurs2!$C$16</f>
        <v/>
      </c>
      <c r="BD242" t="str">
        <f>konkurs2!$O$16</f>
        <v/>
      </c>
      <c r="BE242" t="str">
        <f>konkurs2!$AU$16</f>
        <v/>
      </c>
      <c r="BF242" t="str">
        <f>konkurs2!$AQ$16</f>
        <v/>
      </c>
      <c r="BG242" s="50" t="str">
        <f>konkurs2!$G$16</f>
        <v/>
      </c>
      <c r="BH242" s="50" t="str">
        <f>konkurs2!$S$16</f>
        <v/>
      </c>
      <c r="BI242" s="50" t="str">
        <f>konkurs2!$AA$16</f>
        <v/>
      </c>
      <c r="BJ242" s="50" t="str">
        <f>konkurs2!$AI$16</f>
        <v/>
      </c>
    </row>
    <row r="243" spans="50:62">
      <c r="AX243" s="49" t="s">
        <v>353</v>
      </c>
      <c r="AY243" t="str">
        <f>konkurs2!$AE$16</f>
        <v/>
      </c>
      <c r="AZ243" t="str">
        <f>konkurs2!$W$16</f>
        <v/>
      </c>
      <c r="BA243" t="str">
        <f>konkurs2!$AI$16</f>
        <v/>
      </c>
      <c r="BB243" t="str">
        <f>konkurs2!$K$16</f>
        <v/>
      </c>
      <c r="BC243" t="str">
        <f>konkurs2!$C$16</f>
        <v/>
      </c>
      <c r="BD243" t="str">
        <f>konkurs2!$O$16</f>
        <v/>
      </c>
      <c r="BE243" t="str">
        <f>konkurs2!$AU$16</f>
        <v/>
      </c>
      <c r="BF243" t="str">
        <f>konkurs2!$AQ$16</f>
        <v/>
      </c>
      <c r="BG243" s="50" t="str">
        <f>konkurs2!$G$16</f>
        <v/>
      </c>
      <c r="BH243" s="50" t="str">
        <f>konkurs2!$S$16</f>
        <v/>
      </c>
      <c r="BI243" s="50" t="str">
        <f>konkurs2!$AA$16</f>
        <v/>
      </c>
      <c r="BJ243" s="50" t="str">
        <f>konkurs2!$AM$16</f>
        <v/>
      </c>
    </row>
    <row r="244" spans="50:62">
      <c r="AX244" s="49" t="s">
        <v>354</v>
      </c>
      <c r="AY244" t="str">
        <f>konkurs2!$AE$16</f>
        <v/>
      </c>
      <c r="AZ244" t="str">
        <f>konkurs2!$AM$16</f>
        <v/>
      </c>
      <c r="BA244" t="str">
        <f>konkurs2!$W$16</f>
        <v/>
      </c>
      <c r="BB244" t="str">
        <f>konkurs2!$K$16</f>
        <v/>
      </c>
      <c r="BC244" t="str">
        <f>konkurs2!$C$16</f>
        <v/>
      </c>
      <c r="BD244" t="str">
        <f>konkurs2!$O$16</f>
        <v/>
      </c>
      <c r="BE244" t="str">
        <f>konkurs2!$AU$16</f>
        <v/>
      </c>
      <c r="BF244" t="str">
        <f>konkurs2!$AI$16</f>
        <v/>
      </c>
      <c r="BG244" s="50" t="str">
        <f>konkurs2!$G$16</f>
        <v/>
      </c>
      <c r="BH244" s="50" t="str">
        <f>konkurs2!$S$16</f>
        <v/>
      </c>
      <c r="BI244" s="50" t="str">
        <f>konkurs2!$AA$16</f>
        <v/>
      </c>
      <c r="BJ244" s="50" t="str">
        <f>konkurs2!$AQ$16</f>
        <v/>
      </c>
    </row>
    <row r="245" spans="50:62">
      <c r="AX245" s="49" t="s">
        <v>355</v>
      </c>
      <c r="AY245" t="str">
        <f>konkurs2!$AE$16</f>
        <v/>
      </c>
      <c r="AZ245" t="str">
        <f>konkurs2!$AM$16</f>
        <v/>
      </c>
      <c r="BA245" t="str">
        <f>konkurs2!$W$16</f>
        <v/>
      </c>
      <c r="BB245" t="str">
        <f>konkurs2!$K$16</f>
        <v/>
      </c>
      <c r="BC245" t="str">
        <f>konkurs2!$C$16</f>
        <v/>
      </c>
      <c r="BD245" t="str">
        <f>konkurs2!$O$16</f>
        <v/>
      </c>
      <c r="BE245" t="str">
        <f>konkurs2!$AI$16</f>
        <v/>
      </c>
      <c r="BF245" t="str">
        <f>konkurs2!$AQ$16</f>
        <v/>
      </c>
      <c r="BG245" s="50" t="str">
        <f>konkurs2!$G$16</f>
        <v/>
      </c>
      <c r="BH245" s="50" t="str">
        <f>konkurs2!$S$16</f>
        <v/>
      </c>
      <c r="BI245" s="50" t="str">
        <f>konkurs2!$AA$16</f>
        <v/>
      </c>
      <c r="BJ245" s="50" t="str">
        <f>konkurs2!$AU$16</f>
        <v/>
      </c>
    </row>
    <row r="246" spans="50:62">
      <c r="AX246" s="49" t="s">
        <v>356</v>
      </c>
      <c r="AY246" t="str">
        <f>konkurs2!$K$16</f>
        <v/>
      </c>
      <c r="AZ246" t="str">
        <f>konkurs2!$AA$16</f>
        <v/>
      </c>
      <c r="BA246" t="str">
        <f>konkurs2!$AM$16</f>
        <v/>
      </c>
      <c r="BB246" t="str">
        <f>konkurs2!$O$16</f>
        <v/>
      </c>
      <c r="BC246" t="str">
        <f>konkurs2!$C$16</f>
        <v/>
      </c>
      <c r="BD246" t="str">
        <f>konkurs2!$W$16</f>
        <v/>
      </c>
      <c r="BE246" t="str">
        <f>konkurs2!$AU$16</f>
        <v/>
      </c>
      <c r="BF246" t="str">
        <f>konkurs2!$AQ$16</f>
        <v/>
      </c>
      <c r="BG246" s="50" t="str">
        <f>konkurs2!$G$16</f>
        <v/>
      </c>
      <c r="BH246" s="50" t="str">
        <f>konkurs2!$S$16</f>
        <v/>
      </c>
      <c r="BI246" s="50" t="str">
        <f>konkurs2!$AE$16</f>
        <v/>
      </c>
      <c r="BJ246" s="50" t="str">
        <f>konkurs2!$AI$16</f>
        <v/>
      </c>
    </row>
    <row r="247" spans="50:62">
      <c r="AX247" s="49" t="s">
        <v>357</v>
      </c>
      <c r="AY247" t="str">
        <f>konkurs2!$K$16</f>
        <v/>
      </c>
      <c r="AZ247" t="str">
        <f>konkurs2!$AA$16</f>
        <v/>
      </c>
      <c r="BA247" t="str">
        <f>konkurs2!$AI$16</f>
        <v/>
      </c>
      <c r="BB247" t="str">
        <f>konkurs2!$O$16</f>
        <v/>
      </c>
      <c r="BC247" t="str">
        <f>konkurs2!$C$16</f>
        <v/>
      </c>
      <c r="BD247" t="str">
        <f>konkurs2!$W$16</f>
        <v/>
      </c>
      <c r="BE247" t="str">
        <f>konkurs2!$AU$16</f>
        <v/>
      </c>
      <c r="BF247" t="str">
        <f>konkurs2!$AQ$16</f>
        <v/>
      </c>
      <c r="BG247" s="50" t="str">
        <f>konkurs2!$G$16</f>
        <v/>
      </c>
      <c r="BH247" s="50" t="str">
        <f>konkurs2!$S$16</f>
        <v/>
      </c>
      <c r="BI247" s="50" t="str">
        <f>konkurs2!$AE$16</f>
        <v/>
      </c>
      <c r="BJ247" s="50" t="str">
        <f>konkurs2!$AM$16</f>
        <v/>
      </c>
    </row>
    <row r="248" spans="50:62">
      <c r="AX248" s="49" t="s">
        <v>358</v>
      </c>
      <c r="AY248" t="str">
        <f>konkurs2!$K$16</f>
        <v/>
      </c>
      <c r="AZ248" t="str">
        <f>konkurs2!$AA$16</f>
        <v/>
      </c>
      <c r="BA248" t="str">
        <f>konkurs2!$AM$16</f>
        <v/>
      </c>
      <c r="BB248" t="str">
        <f>konkurs2!$O$16</f>
        <v/>
      </c>
      <c r="BC248" t="str">
        <f>konkurs2!$C$16</f>
        <v/>
      </c>
      <c r="BD248" t="str">
        <f>konkurs2!$W$16</f>
        <v/>
      </c>
      <c r="BE248" t="str">
        <f>konkurs2!$AU$16</f>
        <v/>
      </c>
      <c r="BF248" t="str">
        <f>konkurs2!$AI$16</f>
        <v/>
      </c>
      <c r="BG248" s="50" t="str">
        <f>konkurs2!$G$16</f>
        <v/>
      </c>
      <c r="BH248" s="50" t="str">
        <f>konkurs2!$S$16</f>
        <v/>
      </c>
      <c r="BI248" s="50" t="str">
        <f>konkurs2!$AE$16</f>
        <v/>
      </c>
      <c r="BJ248" s="50" t="str">
        <f>konkurs2!$AQ$16</f>
        <v/>
      </c>
    </row>
    <row r="249" spans="50:62">
      <c r="AX249" s="49" t="s">
        <v>359</v>
      </c>
      <c r="AY249" t="str">
        <f>konkurs2!$K$16</f>
        <v/>
      </c>
      <c r="AZ249" t="str">
        <f>konkurs2!$AA$16</f>
        <v/>
      </c>
      <c r="BA249" t="str">
        <f>konkurs2!$AM$16</f>
        <v/>
      </c>
      <c r="BB249" t="str">
        <f>konkurs2!$O$16</f>
        <v/>
      </c>
      <c r="BC249" t="str">
        <f>konkurs2!$C$16</f>
        <v/>
      </c>
      <c r="BD249" t="str">
        <f>konkurs2!$W$16</f>
        <v/>
      </c>
      <c r="BE249" t="str">
        <f>konkurs2!$AI$16</f>
        <v/>
      </c>
      <c r="BF249" t="str">
        <f>konkurs2!$AQ$16</f>
        <v/>
      </c>
      <c r="BG249" s="50" t="str">
        <f>konkurs2!$G$16</f>
        <v/>
      </c>
      <c r="BH249" s="50" t="str">
        <f>konkurs2!$S$16</f>
        <v/>
      </c>
      <c r="BI249" s="50" t="str">
        <f>konkurs2!$AE$16</f>
        <v/>
      </c>
      <c r="BJ249" s="50" t="str">
        <f>konkurs2!$AU$16</f>
        <v/>
      </c>
    </row>
    <row r="250" spans="50:62">
      <c r="AX250" s="49" t="s">
        <v>360</v>
      </c>
      <c r="AY250" t="str">
        <f>konkurs2!$AE$16</f>
        <v/>
      </c>
      <c r="AZ250" t="str">
        <f>konkurs2!$AA$16</f>
        <v/>
      </c>
      <c r="BA250" t="str">
        <f>konkurs2!$W$16</f>
        <v/>
      </c>
      <c r="BB250" t="str">
        <f>konkurs2!$K$16</f>
        <v/>
      </c>
      <c r="BC250" t="str">
        <f>konkurs2!$C$16</f>
        <v/>
      </c>
      <c r="BD250" t="str">
        <f>konkurs2!$O$16</f>
        <v/>
      </c>
      <c r="BE250" t="str">
        <f>konkurs2!$AU$16</f>
        <v/>
      </c>
      <c r="BF250" t="str">
        <f>konkurs2!$AQ$16</f>
        <v/>
      </c>
      <c r="BG250" s="50" t="str">
        <f>konkurs2!$G$16</f>
        <v/>
      </c>
      <c r="BH250" s="50" t="str">
        <f>konkurs2!$S$16</f>
        <v/>
      </c>
      <c r="BI250" s="50" t="str">
        <f>konkurs2!$AI$16</f>
        <v/>
      </c>
      <c r="BJ250" s="50" t="str">
        <f>konkurs2!$AM$16</f>
        <v/>
      </c>
    </row>
    <row r="251" spans="50:62">
      <c r="AX251" s="49" t="s">
        <v>361</v>
      </c>
      <c r="AY251" t="str">
        <f>konkurs2!$K$16</f>
        <v/>
      </c>
      <c r="AZ251" t="str">
        <f>konkurs2!$AA$16</f>
        <v/>
      </c>
      <c r="BA251" t="str">
        <f>konkurs2!$AM$16</f>
        <v/>
      </c>
      <c r="BB251" t="str">
        <f>konkurs2!$O$16</f>
        <v/>
      </c>
      <c r="BC251" t="str">
        <f>konkurs2!$C$16</f>
        <v/>
      </c>
      <c r="BD251" t="str">
        <f>konkurs2!$W$16</f>
        <v/>
      </c>
      <c r="BE251" t="str">
        <f>konkurs2!$AU$16</f>
        <v/>
      </c>
      <c r="BF251" t="str">
        <f>konkurs2!$AE$16</f>
        <v/>
      </c>
      <c r="BG251" s="50" t="str">
        <f>konkurs2!$G$16</f>
        <v/>
      </c>
      <c r="BH251" s="50" t="str">
        <f>konkurs2!$S$16</f>
        <v/>
      </c>
      <c r="BI251" s="50" t="str">
        <f>konkurs2!$AI$16</f>
        <v/>
      </c>
      <c r="BJ251" s="50" t="str">
        <f>konkurs2!$AQ$16</f>
        <v/>
      </c>
    </row>
    <row r="252" spans="50:62">
      <c r="AX252" s="49" t="s">
        <v>362</v>
      </c>
      <c r="AY252" t="str">
        <f>konkurs2!$AE$16</f>
        <v/>
      </c>
      <c r="AZ252" t="str">
        <f>konkurs2!$AA$16</f>
        <v/>
      </c>
      <c r="BA252" t="str">
        <f>konkurs2!$AM$16</f>
        <v/>
      </c>
      <c r="BB252" t="str">
        <f>konkurs2!$K$16</f>
        <v/>
      </c>
      <c r="BC252" t="str">
        <f>konkurs2!$C$16</f>
        <v/>
      </c>
      <c r="BD252" t="str">
        <f>konkurs2!$W$16</f>
        <v/>
      </c>
      <c r="BE252" t="str">
        <f>konkurs2!$O$16</f>
        <v/>
      </c>
      <c r="BF252" t="str">
        <f>konkurs2!$AQ$16</f>
        <v/>
      </c>
      <c r="BG252" s="50" t="str">
        <f>konkurs2!$G$16</f>
        <v/>
      </c>
      <c r="BH252" s="50" t="str">
        <f>konkurs2!$S$16</f>
        <v/>
      </c>
      <c r="BI252" s="50" t="str">
        <f>konkurs2!$AI$16</f>
        <v/>
      </c>
      <c r="BJ252" s="50" t="str">
        <f>konkurs2!$AU$16</f>
        <v/>
      </c>
    </row>
    <row r="253" spans="50:62">
      <c r="AX253" s="49" t="s">
        <v>363</v>
      </c>
      <c r="AY253" t="str">
        <f>konkurs2!$AE$16</f>
        <v/>
      </c>
      <c r="AZ253" t="str">
        <f>konkurs2!$AA$16</f>
        <v/>
      </c>
      <c r="BA253" t="str">
        <f>konkurs2!$W$16</f>
        <v/>
      </c>
      <c r="BB253" t="str">
        <f>konkurs2!$K$16</f>
        <v/>
      </c>
      <c r="BC253" t="str">
        <f>konkurs2!$C$16</f>
        <v/>
      </c>
      <c r="BD253" t="str">
        <f>konkurs2!$O$16</f>
        <v/>
      </c>
      <c r="BE253" t="str">
        <f>konkurs2!$AU$16</f>
        <v/>
      </c>
      <c r="BF253" t="str">
        <f>konkurs2!$AI$16</f>
        <v/>
      </c>
      <c r="BG253" s="50" t="str">
        <f>konkurs2!$G$16</f>
        <v/>
      </c>
      <c r="BH253" s="50" t="str">
        <f>konkurs2!$S$16</f>
        <v/>
      </c>
      <c r="BI253" s="50" t="str">
        <f>konkurs2!$AM$16</f>
        <v/>
      </c>
      <c r="BJ253" s="50" t="str">
        <f>konkurs2!$AQ$16</f>
        <v/>
      </c>
    </row>
    <row r="254" spans="50:62">
      <c r="AX254" s="49" t="s">
        <v>364</v>
      </c>
      <c r="AY254" t="str">
        <f>konkurs2!$AE$16</f>
        <v/>
      </c>
      <c r="AZ254" t="str">
        <f>konkurs2!$AA$16</f>
        <v/>
      </c>
      <c r="BA254" t="str">
        <f>konkurs2!$W$16</f>
        <v/>
      </c>
      <c r="BB254" t="str">
        <f>konkurs2!$K$16</f>
        <v/>
      </c>
      <c r="BC254" t="str">
        <f>konkurs2!$C$16</f>
        <v/>
      </c>
      <c r="BD254" t="str">
        <f>konkurs2!$O$16</f>
        <v/>
      </c>
      <c r="BE254" t="str">
        <f>konkurs2!$AI$16</f>
        <v/>
      </c>
      <c r="BF254" t="str">
        <f>konkurs2!$AQ$16</f>
        <v/>
      </c>
      <c r="BG254" s="50" t="str">
        <f>konkurs2!$G$16</f>
        <v/>
      </c>
      <c r="BH254" s="50" t="str">
        <f>konkurs2!$S$16</f>
        <v/>
      </c>
      <c r="BI254" s="50" t="str">
        <f>konkurs2!$AM$16</f>
        <v/>
      </c>
      <c r="BJ254" s="50" t="str">
        <f>konkurs2!$AU$16</f>
        <v/>
      </c>
    </row>
    <row r="255" spans="50:62">
      <c r="AX255" s="49" t="s">
        <v>365</v>
      </c>
      <c r="AY255" t="str">
        <f>konkurs2!$AE$16</f>
        <v/>
      </c>
      <c r="AZ255" t="str">
        <f>konkurs2!$AA$16</f>
        <v/>
      </c>
      <c r="BA255" t="str">
        <f>konkurs2!$AM$16</f>
        <v/>
      </c>
      <c r="BB255" t="str">
        <f>konkurs2!$K$16</f>
        <v/>
      </c>
      <c r="BC255" t="str">
        <f>konkurs2!$C$16</f>
        <v/>
      </c>
      <c r="BD255" t="str">
        <f>konkurs2!$W$16</f>
        <v/>
      </c>
      <c r="BE255" t="str">
        <f>konkurs2!$O$16</f>
        <v/>
      </c>
      <c r="BF255" t="str">
        <f>konkurs2!$AI$16</f>
        <v/>
      </c>
      <c r="BG255" s="50" t="str">
        <f>konkurs2!$G$16</f>
        <v/>
      </c>
      <c r="BH255" s="50" t="str">
        <f>konkurs2!$S$16</f>
        <v/>
      </c>
      <c r="BI255" s="50" t="str">
        <f>konkurs2!$AQ$16</f>
        <v/>
      </c>
      <c r="BJ255" s="50" t="str">
        <f>konkurs2!$AU$16</f>
        <v/>
      </c>
    </row>
    <row r="256" spans="50:62">
      <c r="AX256" s="49" t="s">
        <v>366</v>
      </c>
      <c r="AY256" t="str">
        <f>konkurs2!$S$16</f>
        <v/>
      </c>
      <c r="AZ256" t="str">
        <f>konkurs2!$AM$16</f>
        <v/>
      </c>
      <c r="BA256" t="str">
        <f>konkurs2!$AI$16</f>
        <v/>
      </c>
      <c r="BB256" t="str">
        <f>konkurs2!$K$16</f>
        <v/>
      </c>
      <c r="BC256" t="str">
        <f>konkurs2!$C$16</f>
        <v/>
      </c>
      <c r="BD256" t="str">
        <f>konkurs2!$O$16</f>
        <v/>
      </c>
      <c r="BE256" t="str">
        <f>konkurs2!$AU$16</f>
        <v/>
      </c>
      <c r="BF256" t="str">
        <f>konkurs2!$AQ$16</f>
        <v/>
      </c>
      <c r="BG256" s="50" t="str">
        <f>konkurs2!$G$16</f>
        <v/>
      </c>
      <c r="BH256" s="50" t="str">
        <f>konkurs2!$W$16</f>
        <v/>
      </c>
      <c r="BI256" s="50" t="str">
        <f>konkurs2!$AA$16</f>
        <v/>
      </c>
      <c r="BJ256" s="50" t="str">
        <f>konkurs2!$AE$16</f>
        <v/>
      </c>
    </row>
    <row r="257" spans="50:62">
      <c r="AX257" s="49" t="s">
        <v>367</v>
      </c>
      <c r="AY257" t="str">
        <f>konkurs2!$AE$16</f>
        <v/>
      </c>
      <c r="AZ257" t="str">
        <f>konkurs2!$AM$16</f>
        <v/>
      </c>
      <c r="BA257" t="str">
        <f>konkurs2!$S$16</f>
        <v/>
      </c>
      <c r="BB257" t="str">
        <f>konkurs2!$K$16</f>
        <v/>
      </c>
      <c r="BC257" t="str">
        <f>konkurs2!$C$16</f>
        <v/>
      </c>
      <c r="BD257" t="str">
        <f>konkurs2!$O$16</f>
        <v/>
      </c>
      <c r="BE257" t="str">
        <f>konkurs2!$AU$16</f>
        <v/>
      </c>
      <c r="BF257" t="str">
        <f>konkurs2!$AQ$16</f>
        <v/>
      </c>
      <c r="BG257" s="50" t="str">
        <f>konkurs2!$G$16</f>
        <v/>
      </c>
      <c r="BH257" s="50" t="str">
        <f>konkurs2!$W$16</f>
        <v/>
      </c>
      <c r="BI257" s="50" t="str">
        <f>konkurs2!$AA$16</f>
        <v/>
      </c>
      <c r="BJ257" s="50" t="str">
        <f>konkurs2!$AI$16</f>
        <v/>
      </c>
    </row>
    <row r="258" spans="50:62">
      <c r="AX258" s="49" t="s">
        <v>368</v>
      </c>
      <c r="AY258" t="str">
        <f>konkurs2!$AE$16</f>
        <v/>
      </c>
      <c r="AZ258" t="str">
        <f>konkurs2!$S$16</f>
        <v/>
      </c>
      <c r="BA258" t="str">
        <f>konkurs2!$AI$16</f>
        <v/>
      </c>
      <c r="BB258" t="str">
        <f>konkurs2!$K$16</f>
        <v/>
      </c>
      <c r="BC258" t="str">
        <f>konkurs2!$C$16</f>
        <v/>
      </c>
      <c r="BD258" t="str">
        <f>konkurs2!$O$16</f>
        <v/>
      </c>
      <c r="BE258" t="str">
        <f>konkurs2!$AU$16</f>
        <v/>
      </c>
      <c r="BF258" t="str">
        <f>konkurs2!$AQ$16</f>
        <v/>
      </c>
      <c r="BG258" s="50" t="str">
        <f>konkurs2!$G$16</f>
        <v/>
      </c>
      <c r="BH258" s="50" t="str">
        <f>konkurs2!$W$16</f>
        <v/>
      </c>
      <c r="BI258" s="50" t="str">
        <f>konkurs2!$AA$16</f>
        <v/>
      </c>
      <c r="BJ258" s="50" t="str">
        <f>konkurs2!$AM$16</f>
        <v/>
      </c>
    </row>
    <row r="259" spans="50:62">
      <c r="AX259" s="49" t="s">
        <v>369</v>
      </c>
      <c r="AY259" t="str">
        <f>konkurs2!$AE$16</f>
        <v/>
      </c>
      <c r="AZ259" t="str">
        <f>konkurs2!$AM$16</f>
        <v/>
      </c>
      <c r="BA259" t="str">
        <f>konkurs2!$S$16</f>
        <v/>
      </c>
      <c r="BB259" t="str">
        <f>konkurs2!$K$16</f>
        <v/>
      </c>
      <c r="BC259" t="str">
        <f>konkurs2!$C$16</f>
        <v/>
      </c>
      <c r="BD259" t="str">
        <f>konkurs2!$O$16</f>
        <v/>
      </c>
      <c r="BE259" t="str">
        <f>konkurs2!$AU$16</f>
        <v/>
      </c>
      <c r="BF259" t="str">
        <f>konkurs2!$AI$16</f>
        <v/>
      </c>
      <c r="BG259" s="50" t="str">
        <f>konkurs2!$G$16</f>
        <v/>
      </c>
      <c r="BH259" s="50" t="str">
        <f>konkurs2!$W$16</f>
        <v/>
      </c>
      <c r="BI259" s="50" t="str">
        <f>konkurs2!$AA$16</f>
        <v/>
      </c>
      <c r="BJ259" s="50" t="str">
        <f>konkurs2!$AQ$16</f>
        <v/>
      </c>
    </row>
    <row r="260" spans="50:62">
      <c r="AX260" s="49" t="s">
        <v>370</v>
      </c>
      <c r="AY260" t="str">
        <f>konkurs2!$AE$16</f>
        <v/>
      </c>
      <c r="AZ260" t="str">
        <f>konkurs2!$AM$16</f>
        <v/>
      </c>
      <c r="BA260" t="str">
        <f>konkurs2!$S$16</f>
        <v/>
      </c>
      <c r="BB260" t="str">
        <f>konkurs2!$K$16</f>
        <v/>
      </c>
      <c r="BC260" t="str">
        <f>konkurs2!$C$16</f>
        <v/>
      </c>
      <c r="BD260" t="str">
        <f>konkurs2!$O$16</f>
        <v/>
      </c>
      <c r="BE260" t="str">
        <f>konkurs2!$AI$16</f>
        <v/>
      </c>
      <c r="BF260" t="str">
        <f>konkurs2!$AQ$16</f>
        <v/>
      </c>
      <c r="BG260" s="50" t="str">
        <f>konkurs2!$G$16</f>
        <v/>
      </c>
      <c r="BH260" s="50" t="str">
        <f>konkurs2!$W$16</f>
        <v/>
      </c>
      <c r="BI260" s="50" t="str">
        <f>konkurs2!$AA$16</f>
        <v/>
      </c>
      <c r="BJ260" s="50" t="str">
        <f>konkurs2!$AU$16</f>
        <v/>
      </c>
    </row>
    <row r="261" spans="50:62">
      <c r="AX261" s="49" t="s">
        <v>371</v>
      </c>
      <c r="AY261" t="str">
        <f>konkurs2!$S$16</f>
        <v/>
      </c>
      <c r="AZ261" t="str">
        <f>konkurs2!$AA$16</f>
        <v/>
      </c>
      <c r="BA261" t="str">
        <f>konkurs2!$AM$16</f>
        <v/>
      </c>
      <c r="BB261" t="str">
        <f>konkurs2!$K$16</f>
        <v/>
      </c>
      <c r="BC261" t="str">
        <f>konkurs2!$C$16</f>
        <v/>
      </c>
      <c r="BD261" t="str">
        <f>konkurs2!$O$16</f>
        <v/>
      </c>
      <c r="BE261" t="str">
        <f>konkurs2!$AU$16</f>
        <v/>
      </c>
      <c r="BF261" t="str">
        <f>konkurs2!$AQ$16</f>
        <v/>
      </c>
      <c r="BG261" s="50" t="str">
        <f>konkurs2!$G$16</f>
        <v/>
      </c>
      <c r="BH261" s="50" t="str">
        <f>konkurs2!$W$16</f>
        <v/>
      </c>
      <c r="BI261" s="50" t="str">
        <f>konkurs2!$AE$16</f>
        <v/>
      </c>
      <c r="BJ261" s="50" t="str">
        <f>konkurs2!$AI$16</f>
        <v/>
      </c>
    </row>
    <row r="262" spans="50:62">
      <c r="AX262" s="49" t="s">
        <v>372</v>
      </c>
      <c r="AY262" t="str">
        <f>konkurs2!$S$16</f>
        <v/>
      </c>
      <c r="AZ262" t="str">
        <f>konkurs2!$AA$16</f>
        <v/>
      </c>
      <c r="BA262" t="str">
        <f>konkurs2!$AI$16</f>
        <v/>
      </c>
      <c r="BB262" t="str">
        <f>konkurs2!$K$16</f>
        <v/>
      </c>
      <c r="BC262" t="str">
        <f>konkurs2!$C$16</f>
        <v/>
      </c>
      <c r="BD262" t="str">
        <f>konkurs2!$O$16</f>
        <v/>
      </c>
      <c r="BE262" t="str">
        <f>konkurs2!$AU$16</f>
        <v/>
      </c>
      <c r="BF262" t="str">
        <f>konkurs2!$AQ$16</f>
        <v/>
      </c>
      <c r="BG262" s="50" t="str">
        <f>konkurs2!$G$16</f>
        <v/>
      </c>
      <c r="BH262" s="50" t="str">
        <f>konkurs2!$W$16</f>
        <v/>
      </c>
      <c r="BI262" s="50" t="str">
        <f>konkurs2!$AE$16</f>
        <v/>
      </c>
      <c r="BJ262" s="50" t="str">
        <f>konkurs2!$AM$16</f>
        <v/>
      </c>
    </row>
    <row r="263" spans="50:62">
      <c r="AX263" s="49" t="s">
        <v>373</v>
      </c>
      <c r="AY263" t="str">
        <f>konkurs2!$S$16</f>
        <v/>
      </c>
      <c r="AZ263" t="str">
        <f>konkurs2!$AA$16</f>
        <v/>
      </c>
      <c r="BA263" t="str">
        <f>konkurs2!$AM$16</f>
        <v/>
      </c>
      <c r="BB263" t="str">
        <f>konkurs2!$K$16</f>
        <v/>
      </c>
      <c r="BC263" t="str">
        <f>konkurs2!$C$16</f>
        <v/>
      </c>
      <c r="BD263" t="str">
        <f>konkurs2!$O$16</f>
        <v/>
      </c>
      <c r="BE263" t="str">
        <f>konkurs2!$AU$16</f>
        <v/>
      </c>
      <c r="BF263" t="str">
        <f>konkurs2!$AI$16</f>
        <v/>
      </c>
      <c r="BG263" s="50" t="str">
        <f>konkurs2!$G$16</f>
        <v/>
      </c>
      <c r="BH263" s="50" t="str">
        <f>konkurs2!$W$16</f>
        <v/>
      </c>
      <c r="BI263" s="50" t="str">
        <f>konkurs2!$AE$16</f>
        <v/>
      </c>
      <c r="BJ263" s="50" t="str">
        <f>konkurs2!$AQ$16</f>
        <v/>
      </c>
    </row>
    <row r="264" spans="50:62">
      <c r="AX264" s="49" t="s">
        <v>374</v>
      </c>
      <c r="AY264" t="str">
        <f>konkurs2!$S$16</f>
        <v/>
      </c>
      <c r="AZ264" t="str">
        <f>konkurs2!$AA$16</f>
        <v/>
      </c>
      <c r="BA264" t="str">
        <f>konkurs2!$AM$16</f>
        <v/>
      </c>
      <c r="BB264" t="str">
        <f>konkurs2!$K$16</f>
        <v/>
      </c>
      <c r="BC264" t="str">
        <f>konkurs2!$C$16</f>
        <v/>
      </c>
      <c r="BD264" t="str">
        <f>konkurs2!$O$16</f>
        <v/>
      </c>
      <c r="BE264" t="str">
        <f>konkurs2!$AI$16</f>
        <v/>
      </c>
      <c r="BF264" t="str">
        <f>konkurs2!$AQ$16</f>
        <v/>
      </c>
      <c r="BG264" s="50" t="str">
        <f>konkurs2!$G$16</f>
        <v/>
      </c>
      <c r="BH264" s="50" t="str">
        <f>konkurs2!$W$16</f>
        <v/>
      </c>
      <c r="BI264" s="50" t="str">
        <f>konkurs2!$AE$16</f>
        <v/>
      </c>
      <c r="BJ264" s="50" t="str">
        <f>konkurs2!$AU$16</f>
        <v/>
      </c>
    </row>
    <row r="265" spans="50:62">
      <c r="AX265" s="49" t="s">
        <v>375</v>
      </c>
      <c r="AY265" t="str">
        <f>konkurs2!$AE$16</f>
        <v/>
      </c>
      <c r="AZ265" t="str">
        <f>konkurs2!$AA$16</f>
        <v/>
      </c>
      <c r="BA265" t="str">
        <f>konkurs2!$S$16</f>
        <v/>
      </c>
      <c r="BB265" t="str">
        <f>konkurs2!$K$16</f>
        <v/>
      </c>
      <c r="BC265" t="str">
        <f>konkurs2!$C$16</f>
        <v/>
      </c>
      <c r="BD265" t="str">
        <f>konkurs2!$O$16</f>
        <v/>
      </c>
      <c r="BE265" t="str">
        <f>konkurs2!$AU$16</f>
        <v/>
      </c>
      <c r="BF265" t="str">
        <f>konkurs2!$AQ$16</f>
        <v/>
      </c>
      <c r="BG265" s="50" t="str">
        <f>konkurs2!$G$16</f>
        <v/>
      </c>
      <c r="BH265" s="50" t="str">
        <f>konkurs2!$W$16</f>
        <v/>
      </c>
      <c r="BI265" s="50" t="str">
        <f>konkurs2!$AI$16</f>
        <v/>
      </c>
      <c r="BJ265" s="50" t="str">
        <f>konkurs2!$AM$16</f>
        <v/>
      </c>
    </row>
    <row r="266" spans="50:62">
      <c r="AX266" s="49" t="s">
        <v>376</v>
      </c>
      <c r="AY266" t="str">
        <f>konkurs2!$AE$16</f>
        <v/>
      </c>
      <c r="AZ266" t="str">
        <f>konkurs2!$AA$16</f>
        <v/>
      </c>
      <c r="BA266" t="str">
        <f>konkurs2!$AM$16</f>
        <v/>
      </c>
      <c r="BB266" t="str">
        <f>konkurs2!$K$16</f>
        <v/>
      </c>
      <c r="BC266" t="str">
        <f>konkurs2!$C$16</f>
        <v/>
      </c>
      <c r="BD266" t="str">
        <f>konkurs2!$O$16</f>
        <v/>
      </c>
      <c r="BE266" t="str">
        <f>konkurs2!$AU$16</f>
        <v/>
      </c>
      <c r="BF266" t="str">
        <f>konkurs2!$S$16</f>
        <v/>
      </c>
      <c r="BG266" s="50" t="str">
        <f>konkurs2!$G$16</f>
        <v/>
      </c>
      <c r="BH266" s="50" t="str">
        <f>konkurs2!$W$16</f>
        <v/>
      </c>
      <c r="BI266" s="50" t="str">
        <f>konkurs2!$AI$16</f>
        <v/>
      </c>
      <c r="BJ266" s="50" t="str">
        <f>konkurs2!$AQ$16</f>
        <v/>
      </c>
    </row>
    <row r="267" spans="50:62">
      <c r="AX267" s="49" t="s">
        <v>377</v>
      </c>
      <c r="AY267" t="str">
        <f>konkurs2!$AE$16</f>
        <v/>
      </c>
      <c r="AZ267" t="str">
        <f>konkurs2!$AA$16</f>
        <v/>
      </c>
      <c r="BA267" t="str">
        <f>konkurs2!$AM$16</f>
        <v/>
      </c>
      <c r="BB267" t="str">
        <f>konkurs2!$K$16</f>
        <v/>
      </c>
      <c r="BC267" t="str">
        <f>konkurs2!$C$16</f>
        <v/>
      </c>
      <c r="BD267" t="str">
        <f>konkurs2!$O$16</f>
        <v/>
      </c>
      <c r="BE267" t="str">
        <f>konkurs2!$S$16</f>
        <v/>
      </c>
      <c r="BF267" t="str">
        <f>konkurs2!$AQ$16</f>
        <v/>
      </c>
      <c r="BG267" s="50" t="str">
        <f>konkurs2!$G$16</f>
        <v/>
      </c>
      <c r="BH267" s="50" t="str">
        <f>konkurs2!$W$16</f>
        <v/>
      </c>
      <c r="BI267" s="50" t="str">
        <f>konkurs2!$AI$16</f>
        <v/>
      </c>
      <c r="BJ267" s="50" t="str">
        <f>konkurs2!$AU$16</f>
        <v/>
      </c>
    </row>
    <row r="268" spans="50:62">
      <c r="AX268" s="49" t="s">
        <v>378</v>
      </c>
      <c r="AY268" t="str">
        <f>konkurs2!$AE$16</f>
        <v/>
      </c>
      <c r="AZ268" t="str">
        <f>konkurs2!$AA$16</f>
        <v/>
      </c>
      <c r="BA268" t="str">
        <f>konkurs2!$S$16</f>
        <v/>
      </c>
      <c r="BB268" t="str">
        <f>konkurs2!$K$16</f>
        <v/>
      </c>
      <c r="BC268" t="str">
        <f>konkurs2!$C$16</f>
        <v/>
      </c>
      <c r="BD268" t="str">
        <f>konkurs2!$O$16</f>
        <v/>
      </c>
      <c r="BE268" t="str">
        <f>konkurs2!$AU$16</f>
        <v/>
      </c>
      <c r="BF268" t="str">
        <f>konkurs2!$AI$16</f>
        <v/>
      </c>
      <c r="BG268" s="50" t="str">
        <f>konkurs2!$G$16</f>
        <v/>
      </c>
      <c r="BH268" s="50" t="str">
        <f>konkurs2!$W$16</f>
        <v/>
      </c>
      <c r="BI268" s="50" t="str">
        <f>konkurs2!$AM$16</f>
        <v/>
      </c>
      <c r="BJ268" s="50" t="str">
        <f>konkurs2!$AQ$16</f>
        <v/>
      </c>
    </row>
    <row r="269" spans="50:62">
      <c r="AX269" s="49" t="s">
        <v>379</v>
      </c>
      <c r="AY269" t="str">
        <f>konkurs2!$AE$16</f>
        <v/>
      </c>
      <c r="AZ269" t="str">
        <f>konkurs2!$AA$16</f>
        <v/>
      </c>
      <c r="BA269" t="str">
        <f>konkurs2!$S$16</f>
        <v/>
      </c>
      <c r="BB269" t="str">
        <f>konkurs2!$K$16</f>
        <v/>
      </c>
      <c r="BC269" t="str">
        <f>konkurs2!$C$16</f>
        <v/>
      </c>
      <c r="BD269" t="str">
        <f>konkurs2!$O$16</f>
        <v/>
      </c>
      <c r="BE269" t="str">
        <f>konkurs2!$AI$16</f>
        <v/>
      </c>
      <c r="BF269" t="str">
        <f>konkurs2!$AQ$16</f>
        <v/>
      </c>
      <c r="BG269" s="50" t="str">
        <f>konkurs2!$G$16</f>
        <v/>
      </c>
      <c r="BH269" s="50" t="str">
        <f>konkurs2!$W$16</f>
        <v/>
      </c>
      <c r="BI269" s="50" t="str">
        <f>konkurs2!$AM$16</f>
        <v/>
      </c>
      <c r="BJ269" s="50" t="str">
        <f>konkurs2!$AU$16</f>
        <v/>
      </c>
    </row>
    <row r="270" spans="50:62">
      <c r="AX270" s="49" t="s">
        <v>380</v>
      </c>
      <c r="AY270" t="str">
        <f>konkurs2!$AE$16</f>
        <v/>
      </c>
      <c r="AZ270" t="str">
        <f>konkurs2!$AA$16</f>
        <v/>
      </c>
      <c r="BA270" t="str">
        <f>konkurs2!$AM$16</f>
        <v/>
      </c>
      <c r="BB270" t="str">
        <f>konkurs2!$K$16</f>
        <v/>
      </c>
      <c r="BC270" t="str">
        <f>konkurs2!$C$16</f>
        <v/>
      </c>
      <c r="BD270" t="str">
        <f>konkurs2!$O$16</f>
        <v/>
      </c>
      <c r="BE270" t="str">
        <f>konkurs2!$S$16</f>
        <v/>
      </c>
      <c r="BF270" t="str">
        <f>konkurs2!$AI$16</f>
        <v/>
      </c>
      <c r="BG270" s="50" t="str">
        <f>konkurs2!$G$16</f>
        <v/>
      </c>
      <c r="BH270" s="50" t="str">
        <f>konkurs2!$W$16</f>
        <v/>
      </c>
      <c r="BI270" s="50" t="str">
        <f>konkurs2!$AQ$16</f>
        <v/>
      </c>
      <c r="BJ270" s="50" t="str">
        <f>konkurs2!$AU$16</f>
        <v/>
      </c>
    </row>
    <row r="271" spans="50:62">
      <c r="AX271" s="49" t="s">
        <v>381</v>
      </c>
      <c r="AY271" t="str">
        <f>konkurs2!$K$16</f>
        <v/>
      </c>
      <c r="AZ271" t="str">
        <f>konkurs2!$AM$16</f>
        <v/>
      </c>
      <c r="BA271" t="str">
        <f>konkurs2!$S$16</f>
        <v/>
      </c>
      <c r="BB271" t="str">
        <f>konkurs2!$O$16</f>
        <v/>
      </c>
      <c r="BC271" t="str">
        <f>konkurs2!$C$16</f>
        <v/>
      </c>
      <c r="BD271" t="str">
        <f>konkurs2!$W$16</f>
        <v/>
      </c>
      <c r="BE271" t="str">
        <f>konkurs2!$AU$16</f>
        <v/>
      </c>
      <c r="BF271" t="str">
        <f>konkurs2!$AQ$16</f>
        <v/>
      </c>
      <c r="BG271" s="50" t="str">
        <f>konkurs2!$G$16</f>
        <v/>
      </c>
      <c r="BH271" s="50" t="str">
        <f>konkurs2!$AA$16</f>
        <v/>
      </c>
      <c r="BI271" s="50" t="str">
        <f>konkurs2!$AE$16</f>
        <v/>
      </c>
      <c r="BJ271" s="50" t="str">
        <f>konkurs2!$AI$16</f>
        <v/>
      </c>
    </row>
    <row r="272" spans="50:62">
      <c r="AX272" s="49" t="s">
        <v>382</v>
      </c>
      <c r="AY272" t="str">
        <f>konkurs2!$K$16</f>
        <v/>
      </c>
      <c r="AZ272" t="str">
        <f>konkurs2!$S$16</f>
        <v/>
      </c>
      <c r="BA272" t="str">
        <f>konkurs2!$AI$16</f>
        <v/>
      </c>
      <c r="BB272" t="str">
        <f>konkurs2!$O$16</f>
        <v/>
      </c>
      <c r="BC272" t="str">
        <f>konkurs2!$C$16</f>
        <v/>
      </c>
      <c r="BD272" t="str">
        <f>konkurs2!$W$16</f>
        <v/>
      </c>
      <c r="BE272" t="str">
        <f>konkurs2!$AU$16</f>
        <v/>
      </c>
      <c r="BF272" t="str">
        <f>konkurs2!$AQ$16</f>
        <v/>
      </c>
      <c r="BG272" s="50" t="str">
        <f>konkurs2!$G$16</f>
        <v/>
      </c>
      <c r="BH272" s="50" t="str">
        <f>konkurs2!$AA$16</f>
        <v/>
      </c>
      <c r="BI272" s="50" t="str">
        <f>konkurs2!$AE$16</f>
        <v/>
      </c>
      <c r="BJ272" s="50" t="str">
        <f>konkurs2!$AM$16</f>
        <v/>
      </c>
    </row>
    <row r="273" spans="50:62">
      <c r="AX273" s="49" t="s">
        <v>383</v>
      </c>
      <c r="AY273" t="str">
        <f>konkurs2!$K$16</f>
        <v/>
      </c>
      <c r="AZ273" t="str">
        <f>konkurs2!$AM$16</f>
        <v/>
      </c>
      <c r="BA273" t="str">
        <f>konkurs2!$S$16</f>
        <v/>
      </c>
      <c r="BB273" t="str">
        <f>konkurs2!$O$16</f>
        <v/>
      </c>
      <c r="BC273" t="str">
        <f>konkurs2!$C$16</f>
        <v/>
      </c>
      <c r="BD273" t="str">
        <f>konkurs2!$W$16</f>
        <v/>
      </c>
      <c r="BE273" t="str">
        <f>konkurs2!$AU$16</f>
        <v/>
      </c>
      <c r="BF273" t="str">
        <f>konkurs2!$AI$16</f>
        <v/>
      </c>
      <c r="BG273" s="50" t="str">
        <f>konkurs2!$G$16</f>
        <v/>
      </c>
      <c r="BH273" s="50" t="str">
        <f>konkurs2!$AA$16</f>
        <v/>
      </c>
      <c r="BI273" s="50" t="str">
        <f>konkurs2!$AE$16</f>
        <v/>
      </c>
      <c r="BJ273" s="50" t="str">
        <f>konkurs2!$AQ$16</f>
        <v/>
      </c>
    </row>
    <row r="274" spans="50:62">
      <c r="AX274" s="49" t="s">
        <v>384</v>
      </c>
      <c r="AY274" t="str">
        <f>konkurs2!$K$16</f>
        <v/>
      </c>
      <c r="AZ274" t="str">
        <f>konkurs2!$AM$16</f>
        <v/>
      </c>
      <c r="BA274" t="str">
        <f>konkurs2!$S$16</f>
        <v/>
      </c>
      <c r="BB274" t="str">
        <f>konkurs2!$O$16</f>
        <v/>
      </c>
      <c r="BC274" t="str">
        <f>konkurs2!$C$16</f>
        <v/>
      </c>
      <c r="BD274" t="str">
        <f>konkurs2!$W$16</f>
        <v/>
      </c>
      <c r="BE274" t="str">
        <f>konkurs2!$AI$16</f>
        <v/>
      </c>
      <c r="BF274" t="str">
        <f>konkurs2!$AQ$16</f>
        <v/>
      </c>
      <c r="BG274" s="50" t="str">
        <f>konkurs2!$G$16</f>
        <v/>
      </c>
      <c r="BH274" s="50" t="str">
        <f>konkurs2!$AA$16</f>
        <v/>
      </c>
      <c r="BI274" s="50" t="str">
        <f>konkurs2!$AE$16</f>
        <v/>
      </c>
      <c r="BJ274" s="50" t="str">
        <f>konkurs2!$AU$16</f>
        <v/>
      </c>
    </row>
    <row r="275" spans="50:62">
      <c r="AX275" s="49" t="s">
        <v>385</v>
      </c>
      <c r="AY275" t="str">
        <f>konkurs2!$AE$16</f>
        <v/>
      </c>
      <c r="AZ275" t="str">
        <f>konkurs2!$S$16</f>
        <v/>
      </c>
      <c r="BA275" t="str">
        <f>konkurs2!$W$16</f>
        <v/>
      </c>
      <c r="BB275" t="str">
        <f>konkurs2!$K$16</f>
        <v/>
      </c>
      <c r="BC275" t="str">
        <f>konkurs2!$C$16</f>
        <v/>
      </c>
      <c r="BD275" t="str">
        <f>konkurs2!$O$16</f>
        <v/>
      </c>
      <c r="BE275" t="str">
        <f>konkurs2!$AU$16</f>
        <v/>
      </c>
      <c r="BF275" t="str">
        <f>konkurs2!$AQ$16</f>
        <v/>
      </c>
      <c r="BG275" s="50" t="str">
        <f>konkurs2!$G$16</f>
        <v/>
      </c>
      <c r="BH275" s="50" t="str">
        <f>konkurs2!$AA$16</f>
        <v/>
      </c>
      <c r="BI275" s="50" t="str">
        <f>konkurs2!$AI$16</f>
        <v/>
      </c>
      <c r="BJ275" s="50" t="str">
        <f>konkurs2!$AM$16</f>
        <v/>
      </c>
    </row>
    <row r="276" spans="50:62">
      <c r="AX276" s="49" t="s">
        <v>386</v>
      </c>
      <c r="AY276" t="str">
        <f>konkurs2!$AE$16</f>
        <v/>
      </c>
      <c r="AZ276" t="str">
        <f>konkurs2!$AM$16</f>
        <v/>
      </c>
      <c r="BA276" t="str">
        <f>konkurs2!$W$16</f>
        <v/>
      </c>
      <c r="BB276" t="str">
        <f>konkurs2!$K$16</f>
        <v/>
      </c>
      <c r="BC276" t="str">
        <f>konkurs2!$C$16</f>
        <v/>
      </c>
      <c r="BD276" t="str">
        <f>konkurs2!$O$16</f>
        <v/>
      </c>
      <c r="BE276" t="str">
        <f>konkurs2!$AU$16</f>
        <v/>
      </c>
      <c r="BF276" t="str">
        <f>konkurs2!$S$16</f>
        <v/>
      </c>
      <c r="BG276" s="50" t="str">
        <f>konkurs2!$G$16</f>
        <v/>
      </c>
      <c r="BH276" s="50" t="str">
        <f>konkurs2!$AA$16</f>
        <v/>
      </c>
      <c r="BI276" s="50" t="str">
        <f>konkurs2!$AI$16</f>
        <v/>
      </c>
      <c r="BJ276" s="50" t="str">
        <f>konkurs2!$AQ$16</f>
        <v/>
      </c>
    </row>
    <row r="277" spans="50:62">
      <c r="AX277" s="49" t="s">
        <v>387</v>
      </c>
      <c r="AY277" t="str">
        <f>konkurs2!$AE$16</f>
        <v/>
      </c>
      <c r="AZ277" t="str">
        <f>konkurs2!$AM$16</f>
        <v/>
      </c>
      <c r="BA277" t="str">
        <f>konkurs2!$S$16</f>
        <v/>
      </c>
      <c r="BB277" t="str">
        <f>konkurs2!$K$16</f>
        <v/>
      </c>
      <c r="BC277" t="str">
        <f>konkurs2!$C$16</f>
        <v/>
      </c>
      <c r="BD277" t="str">
        <f>konkurs2!$W$16</f>
        <v/>
      </c>
      <c r="BE277" t="str">
        <f>konkurs2!$O$16</f>
        <v/>
      </c>
      <c r="BF277" t="str">
        <f>konkurs2!$AQ$16</f>
        <v/>
      </c>
      <c r="BG277" s="50" t="str">
        <f>konkurs2!$G$16</f>
        <v/>
      </c>
      <c r="BH277" s="50" t="str">
        <f>konkurs2!$AA$16</f>
        <v/>
      </c>
      <c r="BI277" s="50" t="str">
        <f>konkurs2!$AI$16</f>
        <v/>
      </c>
      <c r="BJ277" s="50" t="str">
        <f>konkurs2!$AU$16</f>
        <v/>
      </c>
    </row>
    <row r="278" spans="50:62">
      <c r="AX278" s="49" t="s">
        <v>388</v>
      </c>
      <c r="AY278" t="str">
        <f>konkurs2!$AE$16</f>
        <v/>
      </c>
      <c r="AZ278" t="str">
        <f>konkurs2!$S$16</f>
        <v/>
      </c>
      <c r="BA278" t="str">
        <f>konkurs2!$W$16</f>
        <v/>
      </c>
      <c r="BB278" t="str">
        <f>konkurs2!$K$16</f>
        <v/>
      </c>
      <c r="BC278" t="str">
        <f>konkurs2!$C$16</f>
        <v/>
      </c>
      <c r="BD278" t="str">
        <f>konkurs2!$O$16</f>
        <v/>
      </c>
      <c r="BE278" t="str">
        <f>konkurs2!$AU$16</f>
        <v/>
      </c>
      <c r="BF278" t="str">
        <f>konkurs2!$AI$16</f>
        <v/>
      </c>
      <c r="BG278" s="50" t="str">
        <f>konkurs2!$G$16</f>
        <v/>
      </c>
      <c r="BH278" s="50" t="str">
        <f>konkurs2!$AA$16</f>
        <v/>
      </c>
      <c r="BI278" s="50" t="str">
        <f>konkurs2!$AM$16</f>
        <v/>
      </c>
      <c r="BJ278" s="50" t="str">
        <f>konkurs2!$AQ$16</f>
        <v/>
      </c>
    </row>
    <row r="279" spans="50:62">
      <c r="AX279" s="49" t="s">
        <v>389</v>
      </c>
      <c r="AY279" t="str">
        <f>konkurs2!$AE$16</f>
        <v/>
      </c>
      <c r="AZ279" t="str">
        <f>konkurs2!$S$16</f>
        <v/>
      </c>
      <c r="BA279" t="str">
        <f>konkurs2!$W$16</f>
        <v/>
      </c>
      <c r="BB279" t="str">
        <f>konkurs2!$K$16</f>
        <v/>
      </c>
      <c r="BC279" t="str">
        <f>konkurs2!$C$16</f>
        <v/>
      </c>
      <c r="BD279" t="str">
        <f>konkurs2!$O$16</f>
        <v/>
      </c>
      <c r="BE279" t="str">
        <f>konkurs2!$AI$16</f>
        <v/>
      </c>
      <c r="BF279" t="str">
        <f>konkurs2!$AQ$16</f>
        <v/>
      </c>
      <c r="BG279" s="50" t="str">
        <f>konkurs2!$G$16</f>
        <v/>
      </c>
      <c r="BH279" s="50" t="str">
        <f>konkurs2!$AA$16</f>
        <v/>
      </c>
      <c r="BI279" s="50" t="str">
        <f>konkurs2!$AM$16</f>
        <v/>
      </c>
      <c r="BJ279" s="50" t="str">
        <f>konkurs2!$AU$16</f>
        <v/>
      </c>
    </row>
    <row r="280" spans="50:62">
      <c r="AX280" s="49" t="s">
        <v>390</v>
      </c>
      <c r="AY280" t="str">
        <f>konkurs2!$AE$16</f>
        <v/>
      </c>
      <c r="AZ280" t="str">
        <f>konkurs2!$AM$16</f>
        <v/>
      </c>
      <c r="BA280" t="str">
        <f>konkurs2!$S$16</f>
        <v/>
      </c>
      <c r="BB280" t="str">
        <f>konkurs2!$K$16</f>
        <v/>
      </c>
      <c r="BC280" t="str">
        <f>konkurs2!$C$16</f>
        <v/>
      </c>
      <c r="BD280" t="str">
        <f>konkurs2!$W$16</f>
        <v/>
      </c>
      <c r="BE280" t="str">
        <f>konkurs2!$O$16</f>
        <v/>
      </c>
      <c r="BF280" t="str">
        <f>konkurs2!$AI$16</f>
        <v/>
      </c>
      <c r="BG280" s="50" t="str">
        <f>konkurs2!$G$16</f>
        <v/>
      </c>
      <c r="BH280" s="50" t="str">
        <f>konkurs2!$AA$16</f>
        <v/>
      </c>
      <c r="BI280" s="50" t="str">
        <f>konkurs2!$AQ$16</f>
        <v/>
      </c>
      <c r="BJ280" s="50" t="str">
        <f>konkurs2!$AU$16</f>
        <v/>
      </c>
    </row>
    <row r="281" spans="50:62">
      <c r="AX281" s="49" t="s">
        <v>391</v>
      </c>
      <c r="AY281" t="str">
        <f>konkurs2!$K$16</f>
        <v/>
      </c>
      <c r="AZ281" t="str">
        <f>konkurs2!$AA$16</f>
        <v/>
      </c>
      <c r="BA281" t="str">
        <f>konkurs2!$S$16</f>
        <v/>
      </c>
      <c r="BB281" t="str">
        <f>konkurs2!$O$16</f>
        <v/>
      </c>
      <c r="BC281" t="str">
        <f>konkurs2!$C$16</f>
        <v/>
      </c>
      <c r="BD281" t="str">
        <f>konkurs2!$W$16</f>
        <v/>
      </c>
      <c r="BE281" t="str">
        <f>konkurs2!$AU$16</f>
        <v/>
      </c>
      <c r="BF281" t="str">
        <f>konkurs2!$AQ$16</f>
        <v/>
      </c>
      <c r="BG281" s="50" t="str">
        <f>konkurs2!$G$16</f>
        <v/>
      </c>
      <c r="BH281" s="50" t="str">
        <f>konkurs2!$AE$16</f>
        <v/>
      </c>
      <c r="BI281" s="50" t="str">
        <f>konkurs2!$AI$16</f>
        <v/>
      </c>
      <c r="BJ281" s="50" t="str">
        <f>konkurs2!$AM$16</f>
        <v/>
      </c>
    </row>
    <row r="282" spans="50:62">
      <c r="AX282" s="49" t="s">
        <v>392</v>
      </c>
      <c r="AY282" t="str">
        <f>konkurs2!$K$16</f>
        <v/>
      </c>
      <c r="AZ282" t="str">
        <f>konkurs2!$AA$16</f>
        <v/>
      </c>
      <c r="BA282" t="str">
        <f>konkurs2!$AM$16</f>
        <v/>
      </c>
      <c r="BB282" t="str">
        <f>konkurs2!$O$16</f>
        <v/>
      </c>
      <c r="BC282" t="str">
        <f>konkurs2!$C$16</f>
        <v/>
      </c>
      <c r="BD282" t="str">
        <f>konkurs2!$W$16</f>
        <v/>
      </c>
      <c r="BE282" t="str">
        <f>konkurs2!$AU$16</f>
        <v/>
      </c>
      <c r="BF282" t="str">
        <f>konkurs2!$S$16</f>
        <v/>
      </c>
      <c r="BG282" s="50" t="str">
        <f>konkurs2!$G$16</f>
        <v/>
      </c>
      <c r="BH282" s="50" t="str">
        <f>konkurs2!$AE$16</f>
        <v/>
      </c>
      <c r="BI282" s="50" t="str">
        <f>konkurs2!$AI$16</f>
        <v/>
      </c>
      <c r="BJ282" s="50" t="str">
        <f>konkurs2!$AQ$16</f>
        <v/>
      </c>
    </row>
    <row r="283" spans="50:62">
      <c r="AX283" s="49" t="s">
        <v>393</v>
      </c>
      <c r="AY283" t="str">
        <f>konkurs2!$K$16</f>
        <v/>
      </c>
      <c r="AZ283" t="str">
        <f>konkurs2!$AA$16</f>
        <v/>
      </c>
      <c r="BA283" t="str">
        <f>konkurs2!$AM$16</f>
        <v/>
      </c>
      <c r="BB283" t="str">
        <f>konkurs2!$O$16</f>
        <v/>
      </c>
      <c r="BC283" t="str">
        <f>konkurs2!$C$16</f>
        <v/>
      </c>
      <c r="BD283" t="str">
        <f>konkurs2!$W$16</f>
        <v/>
      </c>
      <c r="BE283" t="str">
        <f>konkurs2!$S$16</f>
        <v/>
      </c>
      <c r="BF283" t="str">
        <f>konkurs2!$AQ$16</f>
        <v/>
      </c>
      <c r="BG283" s="50" t="str">
        <f>konkurs2!$G$16</f>
        <v/>
      </c>
      <c r="BH283" s="50" t="str">
        <f>konkurs2!$AE$16</f>
        <v/>
      </c>
      <c r="BI283" s="50" t="str">
        <f>konkurs2!$AI$16</f>
        <v/>
      </c>
      <c r="BJ283" s="50" t="str">
        <f>konkurs2!$AU$16</f>
        <v/>
      </c>
    </row>
    <row r="284" spans="50:62">
      <c r="AX284" s="49" t="s">
        <v>394</v>
      </c>
      <c r="AY284" t="str">
        <f>konkurs2!$K$16</f>
        <v/>
      </c>
      <c r="AZ284" t="str">
        <f>konkurs2!$AA$16</f>
        <v/>
      </c>
      <c r="BA284" t="str">
        <f>konkurs2!$S$16</f>
        <v/>
      </c>
      <c r="BB284" t="str">
        <f>konkurs2!$O$16</f>
        <v/>
      </c>
      <c r="BC284" t="str">
        <f>konkurs2!$C$16</f>
        <v/>
      </c>
      <c r="BD284" t="str">
        <f>konkurs2!$W$16</f>
        <v/>
      </c>
      <c r="BE284" t="str">
        <f>konkurs2!$AU$16</f>
        <v/>
      </c>
      <c r="BF284" t="str">
        <f>konkurs2!$AI$16</f>
        <v/>
      </c>
      <c r="BG284" s="50" t="str">
        <f>konkurs2!$G$16</f>
        <v/>
      </c>
      <c r="BH284" s="50" t="str">
        <f>konkurs2!$AE$16</f>
        <v/>
      </c>
      <c r="BI284" s="50" t="str">
        <f>konkurs2!$AM$16</f>
        <v/>
      </c>
      <c r="BJ284" s="50" t="str">
        <f>konkurs2!$AQ$16</f>
        <v/>
      </c>
    </row>
    <row r="285" spans="50:62">
      <c r="AX285" s="49" t="s">
        <v>395</v>
      </c>
      <c r="AY285" t="str">
        <f>konkurs2!$K$16</f>
        <v/>
      </c>
      <c r="AZ285" t="str">
        <f>konkurs2!$AA$16</f>
        <v/>
      </c>
      <c r="BA285" t="str">
        <f>konkurs2!$S$16</f>
        <v/>
      </c>
      <c r="BB285" t="str">
        <f>konkurs2!$O$16</f>
        <v/>
      </c>
      <c r="BC285" t="str">
        <f>konkurs2!$C$16</f>
        <v/>
      </c>
      <c r="BD285" t="str">
        <f>konkurs2!$W$16</f>
        <v/>
      </c>
      <c r="BE285" t="str">
        <f>konkurs2!$AI$16</f>
        <v/>
      </c>
      <c r="BF285" t="str">
        <f>konkurs2!$AQ$16</f>
        <v/>
      </c>
      <c r="BG285" s="50" t="str">
        <f>konkurs2!$G$16</f>
        <v/>
      </c>
      <c r="BH285" s="50" t="str">
        <f>konkurs2!$AE$16</f>
        <v/>
      </c>
      <c r="BI285" s="50" t="str">
        <f>konkurs2!$AM$16</f>
        <v/>
      </c>
      <c r="BJ285" s="50" t="str">
        <f>konkurs2!$AU$16</f>
        <v/>
      </c>
    </row>
    <row r="286" spans="50:62">
      <c r="AX286" s="49" t="s">
        <v>396</v>
      </c>
      <c r="AY286" t="str">
        <f>konkurs2!$K$16</f>
        <v/>
      </c>
      <c r="AZ286" t="str">
        <f>konkurs2!$AA$16</f>
        <v/>
      </c>
      <c r="BA286" t="str">
        <f>konkurs2!$AM$16</f>
        <v/>
      </c>
      <c r="BB286" t="str">
        <f>konkurs2!$O$16</f>
        <v/>
      </c>
      <c r="BC286" t="str">
        <f>konkurs2!$C$16</f>
        <v/>
      </c>
      <c r="BD286" t="str">
        <f>konkurs2!$W$16</f>
        <v/>
      </c>
      <c r="BE286" t="str">
        <f>konkurs2!$S$16</f>
        <v/>
      </c>
      <c r="BF286" t="str">
        <f>konkurs2!$AI$16</f>
        <v/>
      </c>
      <c r="BG286" s="50" t="str">
        <f>konkurs2!$G$16</f>
        <v/>
      </c>
      <c r="BH286" s="50" t="str">
        <f>konkurs2!$AE$16</f>
        <v/>
      </c>
      <c r="BI286" s="50" t="str">
        <f>konkurs2!$AQ$16</f>
        <v/>
      </c>
      <c r="BJ286" s="50" t="str">
        <f>konkurs2!$AU$16</f>
        <v/>
      </c>
    </row>
    <row r="287" spans="50:62">
      <c r="AX287" s="49" t="s">
        <v>397</v>
      </c>
      <c r="AY287" t="str">
        <f>konkurs2!$AE$16</f>
        <v/>
      </c>
      <c r="AZ287" t="str">
        <f>konkurs2!$AA$16</f>
        <v/>
      </c>
      <c r="BA287" t="str">
        <f>konkurs2!$W$16</f>
        <v/>
      </c>
      <c r="BB287" t="str">
        <f>konkurs2!$K$16</f>
        <v/>
      </c>
      <c r="BC287" t="str">
        <f>konkurs2!$C$16</f>
        <v/>
      </c>
      <c r="BD287" t="str">
        <f>konkurs2!$O$16</f>
        <v/>
      </c>
      <c r="BE287" t="str">
        <f>konkurs2!$AU$16</f>
        <v/>
      </c>
      <c r="BF287" t="str">
        <f>konkurs2!$S$16</f>
        <v/>
      </c>
      <c r="BG287" s="50" t="str">
        <f>konkurs2!$G$16</f>
        <v/>
      </c>
      <c r="BH287" s="50" t="str">
        <f>konkurs2!$AI$16</f>
        <v/>
      </c>
      <c r="BI287" s="50" t="str">
        <f>konkurs2!$AM$16</f>
        <v/>
      </c>
      <c r="BJ287" s="50" t="str">
        <f>konkurs2!$AQ$16</f>
        <v/>
      </c>
    </row>
    <row r="288" spans="50:62">
      <c r="AX288" s="49" t="s">
        <v>398</v>
      </c>
      <c r="AY288" t="str">
        <f>konkurs2!$AE$16</f>
        <v/>
      </c>
      <c r="AZ288" t="str">
        <f>konkurs2!$AA$16</f>
        <v/>
      </c>
      <c r="BA288" t="str">
        <f>konkurs2!$S$16</f>
        <v/>
      </c>
      <c r="BB288" t="str">
        <f>konkurs2!$K$16</f>
        <v/>
      </c>
      <c r="BC288" t="str">
        <f>konkurs2!$C$16</f>
        <v/>
      </c>
      <c r="BD288" t="str">
        <f>konkurs2!$W$16</f>
        <v/>
      </c>
      <c r="BE288" t="str">
        <f>konkurs2!$O$16</f>
        <v/>
      </c>
      <c r="BF288" t="str">
        <f>konkurs2!$AQ$16</f>
        <v/>
      </c>
      <c r="BG288" s="50" t="str">
        <f>konkurs2!$G$16</f>
        <v/>
      </c>
      <c r="BH288" s="50" t="str">
        <f>konkurs2!$AI$16</f>
        <v/>
      </c>
      <c r="BI288" s="50" t="str">
        <f>konkurs2!$AM$16</f>
        <v/>
      </c>
      <c r="BJ288" s="50" t="str">
        <f>konkurs2!$AU$16</f>
        <v/>
      </c>
    </row>
    <row r="289" spans="50:62">
      <c r="AX289" s="49" t="s">
        <v>399</v>
      </c>
      <c r="AY289" t="str">
        <f>konkurs2!$AE$16</f>
        <v/>
      </c>
      <c r="AZ289" t="str">
        <f>konkurs2!$AA$16</f>
        <v/>
      </c>
      <c r="BA289" t="str">
        <f>konkurs2!$AM$16</f>
        <v/>
      </c>
      <c r="BB289" t="str">
        <f>konkurs2!$K$16</f>
        <v/>
      </c>
      <c r="BC289" t="str">
        <f>konkurs2!$C$16</f>
        <v/>
      </c>
      <c r="BD289" t="str">
        <f>konkurs2!$W$16</f>
        <v/>
      </c>
      <c r="BE289" t="str">
        <f>konkurs2!$O$16</f>
        <v/>
      </c>
      <c r="BF289" t="str">
        <f>konkurs2!$S$16</f>
        <v/>
      </c>
      <c r="BG289" s="50" t="str">
        <f>konkurs2!$G$16</f>
        <v/>
      </c>
      <c r="BH289" s="50" t="str">
        <f>konkurs2!$AI$16</f>
        <v/>
      </c>
      <c r="BI289" s="50" t="str">
        <f>konkurs2!$AQ$16</f>
        <v/>
      </c>
      <c r="BJ289" s="50" t="str">
        <f>konkurs2!$AU$16</f>
        <v/>
      </c>
    </row>
    <row r="290" spans="50:62">
      <c r="AX290" s="49" t="s">
        <v>400</v>
      </c>
      <c r="AY290" t="str">
        <f>konkurs2!$AE$16</f>
        <v/>
      </c>
      <c r="AZ290" t="str">
        <f>konkurs2!$AA$16</f>
        <v/>
      </c>
      <c r="BA290" t="str">
        <f>konkurs2!$S$16</f>
        <v/>
      </c>
      <c r="BB290" t="str">
        <f>konkurs2!$K$16</f>
        <v/>
      </c>
      <c r="BC290" t="str">
        <f>konkurs2!$C$16</f>
        <v/>
      </c>
      <c r="BD290" t="str">
        <f>konkurs2!$W$16</f>
        <v/>
      </c>
      <c r="BE290" t="str">
        <f>konkurs2!$O$16</f>
        <v/>
      </c>
      <c r="BF290" t="str">
        <f>konkurs2!$AI$16</f>
        <v/>
      </c>
      <c r="BG290" s="50" t="str">
        <f>konkurs2!$G$16</f>
        <v/>
      </c>
      <c r="BH290" s="50" t="str">
        <f>konkurs2!$AM$16</f>
        <v/>
      </c>
      <c r="BI290" s="50" t="str">
        <f>konkurs2!$AQ$16</f>
        <v/>
      </c>
      <c r="BJ290" s="50" t="str">
        <f>konkurs2!$AU$16</f>
        <v/>
      </c>
    </row>
    <row r="291" spans="50:62">
      <c r="AX291" s="49" t="s">
        <v>401</v>
      </c>
      <c r="AY291" t="str">
        <f>konkurs2!$AE$16</f>
        <v/>
      </c>
      <c r="AZ291" t="str">
        <f>konkurs2!$AM$16</f>
        <v/>
      </c>
      <c r="BA291" t="str">
        <f>konkurs2!$G$16</f>
        <v/>
      </c>
      <c r="BB291" t="str">
        <f>konkurs2!$C$16</f>
        <v/>
      </c>
      <c r="BC291" t="str">
        <f>konkurs2!$AI$16</f>
        <v/>
      </c>
      <c r="BD291" t="str">
        <f>konkurs2!$AA$16</f>
        <v/>
      </c>
      <c r="BE291" t="str">
        <f>konkurs2!$AU$16</f>
        <v/>
      </c>
      <c r="BF291" t="str">
        <f>konkurs2!$AQ$16</f>
        <v/>
      </c>
      <c r="BG291" s="50" t="str">
        <f>konkurs2!$K$16</f>
        <v/>
      </c>
      <c r="BH291" s="50" t="str">
        <f>konkurs2!$O$16</f>
        <v/>
      </c>
      <c r="BI291" s="50" t="str">
        <f>konkurs2!$S$16</f>
        <v/>
      </c>
      <c r="BJ291" s="50" t="str">
        <f>konkurs2!$W$16</f>
        <v/>
      </c>
    </row>
    <row r="292" spans="50:62">
      <c r="AX292" s="49" t="s">
        <v>402</v>
      </c>
      <c r="AY292" t="str">
        <f>konkurs2!$AE$16</f>
        <v/>
      </c>
      <c r="AZ292" t="str">
        <f>konkurs2!$AM$16</f>
        <v/>
      </c>
      <c r="BA292" t="str">
        <f>konkurs2!$G$16</f>
        <v/>
      </c>
      <c r="BB292" t="str">
        <f>konkurs2!$C$16</f>
        <v/>
      </c>
      <c r="BC292" t="str">
        <f>konkurs2!$AI$16</f>
        <v/>
      </c>
      <c r="BD292" t="str">
        <f>konkurs2!$W$16</f>
        <v/>
      </c>
      <c r="BE292" t="str">
        <f>konkurs2!$AU$16</f>
        <v/>
      </c>
      <c r="BF292" t="str">
        <f>konkurs2!$AQ$16</f>
        <v/>
      </c>
      <c r="BG292" s="50" t="str">
        <f>konkurs2!$K$16</f>
        <v/>
      </c>
      <c r="BH292" s="50" t="str">
        <f>konkurs2!$O$16</f>
        <v/>
      </c>
      <c r="BI292" s="50" t="str">
        <f>konkurs2!$S$16</f>
        <v/>
      </c>
      <c r="BJ292" s="50" t="str">
        <f>konkurs2!$AA$16</f>
        <v/>
      </c>
    </row>
    <row r="293" spans="50:62">
      <c r="AX293" s="49" t="s">
        <v>403</v>
      </c>
      <c r="AY293" t="str">
        <f>konkurs2!$AI$16</f>
        <v/>
      </c>
      <c r="AZ293" t="str">
        <f>konkurs2!$AM$16</f>
        <v/>
      </c>
      <c r="BA293" t="str">
        <f>konkurs2!$G$16</f>
        <v/>
      </c>
      <c r="BB293" t="str">
        <f>konkurs2!$W$16</f>
        <v/>
      </c>
      <c r="BC293" t="str">
        <f>konkurs2!$C$16</f>
        <v/>
      </c>
      <c r="BD293" t="str">
        <f>konkurs2!$AA$16</f>
        <v/>
      </c>
      <c r="BE293" t="str">
        <f>konkurs2!$AU$16</f>
        <v/>
      </c>
      <c r="BF293" t="str">
        <f>konkurs2!$AQ$16</f>
        <v/>
      </c>
      <c r="BG293" s="50" t="str">
        <f>konkurs2!$K$16</f>
        <v/>
      </c>
      <c r="BH293" s="50" t="str">
        <f>konkurs2!$O$16</f>
        <v/>
      </c>
      <c r="BI293" s="50" t="str">
        <f>konkurs2!$S$16</f>
        <v/>
      </c>
      <c r="BJ293" s="50" t="str">
        <f>konkurs2!$AE$16</f>
        <v/>
      </c>
    </row>
    <row r="294" spans="50:62">
      <c r="AX294" s="49" t="s">
        <v>404</v>
      </c>
      <c r="AY294" t="str">
        <f>konkurs2!$AE$16</f>
        <v/>
      </c>
      <c r="AZ294" t="str">
        <f>konkurs2!$AM$16</f>
        <v/>
      </c>
      <c r="BA294" t="str">
        <f>konkurs2!$G$16</f>
        <v/>
      </c>
      <c r="BB294" t="str">
        <f>konkurs2!$W$16</f>
        <v/>
      </c>
      <c r="BC294" t="str">
        <f>konkurs2!$C$16</f>
        <v/>
      </c>
      <c r="BD294" t="str">
        <f>konkurs2!$AA$16</f>
        <v/>
      </c>
      <c r="BE294" t="str">
        <f>konkurs2!$AU$16</f>
        <v/>
      </c>
      <c r="BF294" t="str">
        <f>konkurs2!$AQ$16</f>
        <v/>
      </c>
      <c r="BG294" s="50" t="str">
        <f>konkurs2!$K$16</f>
        <v/>
      </c>
      <c r="BH294" s="50" t="str">
        <f>konkurs2!$O$16</f>
        <v/>
      </c>
      <c r="BI294" s="50" t="str">
        <f>konkurs2!$S$16</f>
        <v/>
      </c>
      <c r="BJ294" s="50" t="str">
        <f>konkurs2!$AI$16</f>
        <v/>
      </c>
    </row>
    <row r="295" spans="50:62">
      <c r="AX295" s="49" t="s">
        <v>405</v>
      </c>
      <c r="AY295" t="str">
        <f>konkurs2!$AE$16</f>
        <v/>
      </c>
      <c r="AZ295" t="str">
        <f>konkurs2!$AA$16</f>
        <v/>
      </c>
      <c r="BA295" t="str">
        <f>konkurs2!$G$16</f>
        <v/>
      </c>
      <c r="BB295" t="str">
        <f>konkurs2!$C$16</f>
        <v/>
      </c>
      <c r="BC295" t="str">
        <f>konkurs2!$AI$16</f>
        <v/>
      </c>
      <c r="BD295" t="str">
        <f>konkurs2!$W$16</f>
        <v/>
      </c>
      <c r="BE295" t="str">
        <f>konkurs2!$AU$16</f>
        <v/>
      </c>
      <c r="BF295" t="str">
        <f>konkurs2!$AQ$16</f>
        <v/>
      </c>
      <c r="BG295" s="50" t="str">
        <f>konkurs2!$K$16</f>
        <v/>
      </c>
      <c r="BH295" s="50" t="str">
        <f>konkurs2!$O$16</f>
        <v/>
      </c>
      <c r="BI295" s="50" t="str">
        <f>konkurs2!$S$16</f>
        <v/>
      </c>
      <c r="BJ295" s="50" t="str">
        <f>konkurs2!$AM$16</f>
        <v/>
      </c>
    </row>
    <row r="296" spans="50:62">
      <c r="AX296" s="49" t="s">
        <v>406</v>
      </c>
      <c r="AY296" t="str">
        <f>konkurs2!$AE$16</f>
        <v/>
      </c>
      <c r="AZ296" t="str">
        <f>konkurs2!$AM$16</f>
        <v/>
      </c>
      <c r="BA296" t="str">
        <f>konkurs2!$G$16</f>
        <v/>
      </c>
      <c r="BB296" t="str">
        <f>konkurs2!$W$16</f>
        <v/>
      </c>
      <c r="BC296" t="str">
        <f>konkurs2!$C$16</f>
        <v/>
      </c>
      <c r="BD296" t="str">
        <f>konkurs2!$AA$16</f>
        <v/>
      </c>
      <c r="BE296" t="str">
        <f>konkurs2!$AU$16</f>
        <v/>
      </c>
      <c r="BF296" t="str">
        <f>konkurs2!$AI$16</f>
        <v/>
      </c>
      <c r="BG296" s="50" t="str">
        <f>konkurs2!$K$16</f>
        <v/>
      </c>
      <c r="BH296" s="50" t="str">
        <f>konkurs2!$O$16</f>
        <v/>
      </c>
      <c r="BI296" s="50" t="str">
        <f>konkurs2!$S$16</f>
        <v/>
      </c>
      <c r="BJ296" s="50" t="str">
        <f>konkurs2!$AQ$16</f>
        <v/>
      </c>
    </row>
    <row r="297" spans="50:62">
      <c r="AX297" s="49" t="s">
        <v>407</v>
      </c>
      <c r="AY297" t="str">
        <f>konkurs2!$AE$16</f>
        <v/>
      </c>
      <c r="AZ297" t="str">
        <f>konkurs2!$AM$16</f>
        <v/>
      </c>
      <c r="BA297" t="str">
        <f>konkurs2!$G$16</f>
        <v/>
      </c>
      <c r="BB297" t="str">
        <f>konkurs2!$W$16</f>
        <v/>
      </c>
      <c r="BC297" t="str">
        <f>konkurs2!$C$16</f>
        <v/>
      </c>
      <c r="BD297" t="str">
        <f>konkurs2!$AA$16</f>
        <v/>
      </c>
      <c r="BE297" t="str">
        <f>konkurs2!$AI$16</f>
        <v/>
      </c>
      <c r="BF297" t="str">
        <f>konkurs2!$AQ$16</f>
        <v/>
      </c>
      <c r="BG297" s="50" t="str">
        <f>konkurs2!$K$16</f>
        <v/>
      </c>
      <c r="BH297" s="50" t="str">
        <f>konkurs2!$O$16</f>
        <v/>
      </c>
      <c r="BI297" s="50" t="str">
        <f>konkurs2!$S$16</f>
        <v/>
      </c>
      <c r="BJ297" s="50" t="str">
        <f>konkurs2!$AU$16</f>
        <v/>
      </c>
    </row>
    <row r="298" spans="50:62">
      <c r="AX298" s="49" t="s">
        <v>408</v>
      </c>
      <c r="AY298" t="str">
        <f>konkurs2!$S$16</f>
        <v/>
      </c>
      <c r="AZ298" t="str">
        <f>konkurs2!$AM$16</f>
        <v/>
      </c>
      <c r="BA298" t="str">
        <f>konkurs2!$G$16</f>
        <v/>
      </c>
      <c r="BB298" t="str">
        <f>konkurs2!$C$16</f>
        <v/>
      </c>
      <c r="BC298" t="str">
        <f>konkurs2!$AI$16</f>
        <v/>
      </c>
      <c r="BD298" t="str">
        <f>konkurs2!$AE$16</f>
        <v/>
      </c>
      <c r="BE298" t="str">
        <f>konkurs2!$AU$16</f>
        <v/>
      </c>
      <c r="BF298" t="str">
        <f>konkurs2!$AQ$16</f>
        <v/>
      </c>
      <c r="BG298" s="50" t="str">
        <f>konkurs2!$K$16</f>
        <v/>
      </c>
      <c r="BH298" s="50" t="str">
        <f>konkurs2!$O$16</f>
        <v/>
      </c>
      <c r="BI298" s="50" t="str">
        <f>konkurs2!$W$16</f>
        <v/>
      </c>
      <c r="BJ298" s="50" t="str">
        <f>konkurs2!$AA$16</f>
        <v/>
      </c>
    </row>
    <row r="299" spans="50:62">
      <c r="AX299" s="49" t="s">
        <v>409</v>
      </c>
      <c r="AY299" t="str">
        <f>konkurs2!$S$16</f>
        <v/>
      </c>
      <c r="AZ299" t="str">
        <f>konkurs2!$AM$16</f>
        <v/>
      </c>
      <c r="BA299" t="str">
        <f>konkurs2!$G$16</f>
        <v/>
      </c>
      <c r="BB299" t="str">
        <f>konkurs2!$C$16</f>
        <v/>
      </c>
      <c r="BC299" t="str">
        <f>konkurs2!$AI$16</f>
        <v/>
      </c>
      <c r="BD299" t="str">
        <f>konkurs2!$AA$16</f>
        <v/>
      </c>
      <c r="BE299" t="str">
        <f>konkurs2!$AU$16</f>
        <v/>
      </c>
      <c r="BF299" t="str">
        <f>konkurs2!$AQ$16</f>
        <v/>
      </c>
      <c r="BG299" s="50" t="str">
        <f>konkurs2!$K$16</f>
        <v/>
      </c>
      <c r="BH299" s="50" t="str">
        <f>konkurs2!$O$16</f>
        <v/>
      </c>
      <c r="BI299" s="50" t="str">
        <f>konkurs2!$W$16</f>
        <v/>
      </c>
      <c r="BJ299" s="50" t="str">
        <f>konkurs2!$AE$16</f>
        <v/>
      </c>
    </row>
    <row r="300" spans="50:62">
      <c r="AX300" s="49" t="s">
        <v>410</v>
      </c>
      <c r="AY300" t="str">
        <f>konkurs2!$S$16</f>
        <v/>
      </c>
      <c r="AZ300" t="str">
        <f>konkurs2!$AM$16</f>
        <v/>
      </c>
      <c r="BA300" t="str">
        <f>konkurs2!$G$16</f>
        <v/>
      </c>
      <c r="BB300" t="str">
        <f>konkurs2!$C$16</f>
        <v/>
      </c>
      <c r="BC300" t="str">
        <f>konkurs2!$AE$16</f>
        <v/>
      </c>
      <c r="BD300" t="str">
        <f>konkurs2!$AA$16</f>
        <v/>
      </c>
      <c r="BE300" t="str">
        <f>konkurs2!$AU$16</f>
        <v/>
      </c>
      <c r="BF300" t="str">
        <f>konkurs2!$AQ$16</f>
        <v/>
      </c>
      <c r="BG300" s="50" t="str">
        <f>konkurs2!$K$16</f>
        <v/>
      </c>
      <c r="BH300" s="50" t="str">
        <f>konkurs2!$O$16</f>
        <v/>
      </c>
      <c r="BI300" s="50" t="str">
        <f>konkurs2!$W$16</f>
        <v/>
      </c>
      <c r="BJ300" s="50" t="str">
        <f>konkurs2!$AI$16</f>
        <v/>
      </c>
    </row>
    <row r="301" spans="50:62">
      <c r="AX301" s="49" t="s">
        <v>411</v>
      </c>
      <c r="AY301" t="str">
        <f>konkurs2!$S$16</f>
        <v/>
      </c>
      <c r="AZ301" t="str">
        <f>konkurs2!$AA$16</f>
        <v/>
      </c>
      <c r="BA301" t="str">
        <f>konkurs2!$G$16</f>
        <v/>
      </c>
      <c r="BB301" t="str">
        <f>konkurs2!$C$16</f>
        <v/>
      </c>
      <c r="BC301" t="str">
        <f>konkurs2!$AI$16</f>
        <v/>
      </c>
      <c r="BD301" t="str">
        <f>konkurs2!$AE$16</f>
        <v/>
      </c>
      <c r="BE301" t="str">
        <f>konkurs2!$AU$16</f>
        <v/>
      </c>
      <c r="BF301" t="str">
        <f>konkurs2!$AQ$16</f>
        <v/>
      </c>
      <c r="BG301" s="50" t="str">
        <f>konkurs2!$K$16</f>
        <v/>
      </c>
      <c r="BH301" s="50" t="str">
        <f>konkurs2!$O$16</f>
        <v/>
      </c>
      <c r="BI301" s="50" t="str">
        <f>konkurs2!$W$16</f>
        <v/>
      </c>
      <c r="BJ301" s="50" t="str">
        <f>konkurs2!$AM$16</f>
        <v/>
      </c>
    </row>
    <row r="302" spans="50:62">
      <c r="AX302" s="49" t="s">
        <v>412</v>
      </c>
      <c r="AY302" t="str">
        <f>konkurs2!$S$16</f>
        <v/>
      </c>
      <c r="AZ302" t="str">
        <f>konkurs2!$AM$16</f>
        <v/>
      </c>
      <c r="BA302" t="str">
        <f>konkurs2!$G$16</f>
        <v/>
      </c>
      <c r="BB302" t="str">
        <f>konkurs2!$C$16</f>
        <v/>
      </c>
      <c r="BC302" t="str">
        <f>konkurs2!$AE$16</f>
        <v/>
      </c>
      <c r="BD302" t="str">
        <f>konkurs2!$AA$16</f>
        <v/>
      </c>
      <c r="BE302" t="str">
        <f>konkurs2!$AU$16</f>
        <v/>
      </c>
      <c r="BF302" t="str">
        <f>konkurs2!$AI$16</f>
        <v/>
      </c>
      <c r="BG302" s="50" t="str">
        <f>konkurs2!$K$16</f>
        <v/>
      </c>
      <c r="BH302" s="50" t="str">
        <f>konkurs2!$O$16</f>
        <v/>
      </c>
      <c r="BI302" s="50" t="str">
        <f>konkurs2!$W$16</f>
        <v/>
      </c>
      <c r="BJ302" s="50" t="str">
        <f>konkurs2!$AQ$16</f>
        <v/>
      </c>
    </row>
    <row r="303" spans="50:62">
      <c r="AX303" s="49" t="s">
        <v>413</v>
      </c>
      <c r="AY303" t="str">
        <f>konkurs2!$S$16</f>
        <v/>
      </c>
      <c r="AZ303" t="str">
        <f>konkurs2!$AM$16</f>
        <v/>
      </c>
      <c r="BA303" t="str">
        <f>konkurs2!$G$16</f>
        <v/>
      </c>
      <c r="BB303" t="str">
        <f>konkurs2!$C$16</f>
        <v/>
      </c>
      <c r="BC303" t="str">
        <f>konkurs2!$AE$16</f>
        <v/>
      </c>
      <c r="BD303" t="str">
        <f>konkurs2!$AA$16</f>
        <v/>
      </c>
      <c r="BE303" t="str">
        <f>konkurs2!$AI$16</f>
        <v/>
      </c>
      <c r="BF303" t="str">
        <f>konkurs2!$AQ$16</f>
        <v/>
      </c>
      <c r="BG303" s="50" t="str">
        <f>konkurs2!$K$16</f>
        <v/>
      </c>
      <c r="BH303" s="50" t="str">
        <f>konkurs2!$O$16</f>
        <v/>
      </c>
      <c r="BI303" s="50" t="str">
        <f>konkurs2!$W$16</f>
        <v/>
      </c>
      <c r="BJ303" s="50" t="str">
        <f>konkurs2!$AU$16</f>
        <v/>
      </c>
    </row>
    <row r="304" spans="50:62">
      <c r="AX304" s="49" t="s">
        <v>414</v>
      </c>
      <c r="AY304" t="str">
        <f>konkurs2!$S$16</f>
        <v/>
      </c>
      <c r="AZ304" t="str">
        <f>konkurs2!$AM$16</f>
        <v/>
      </c>
      <c r="BA304" t="str">
        <f>konkurs2!$G$16</f>
        <v/>
      </c>
      <c r="BB304" t="str">
        <f>konkurs2!$C$16</f>
        <v/>
      </c>
      <c r="BC304" t="str">
        <f>konkurs2!$AI$16</f>
        <v/>
      </c>
      <c r="BD304" t="str">
        <f>konkurs2!$W$16</f>
        <v/>
      </c>
      <c r="BE304" t="str">
        <f>konkurs2!$AU$16</f>
        <v/>
      </c>
      <c r="BF304" t="str">
        <f>konkurs2!$AQ$16</f>
        <v/>
      </c>
      <c r="BG304" s="50" t="str">
        <f>konkurs2!$K$16</f>
        <v/>
      </c>
      <c r="BH304" s="50" t="str">
        <f>konkurs2!$O$16</f>
        <v/>
      </c>
      <c r="BI304" s="50" t="str">
        <f>konkurs2!$AA$16</f>
        <v/>
      </c>
      <c r="BJ304" s="50" t="str">
        <f>konkurs2!$AE$16</f>
        <v/>
      </c>
    </row>
    <row r="305" spans="50:62">
      <c r="AX305" s="49" t="s">
        <v>415</v>
      </c>
      <c r="AY305" t="str">
        <f>konkurs2!$S$16</f>
        <v/>
      </c>
      <c r="AZ305" t="str">
        <f>konkurs2!$AM$16</f>
        <v/>
      </c>
      <c r="BA305" t="str">
        <f>konkurs2!$G$16</f>
        <v/>
      </c>
      <c r="BB305" t="str">
        <f>konkurs2!$W$16</f>
        <v/>
      </c>
      <c r="BC305" t="str">
        <f>konkurs2!$C$16</f>
        <v/>
      </c>
      <c r="BD305" t="str">
        <f>konkurs2!$AE$16</f>
        <v/>
      </c>
      <c r="BE305" t="str">
        <f>konkurs2!$AU$16</f>
        <v/>
      </c>
      <c r="BF305" t="str">
        <f>konkurs2!$AQ$16</f>
        <v/>
      </c>
      <c r="BG305" s="50" t="str">
        <f>konkurs2!$K$16</f>
        <v/>
      </c>
      <c r="BH305" s="50" t="str">
        <f>konkurs2!$O$16</f>
        <v/>
      </c>
      <c r="BI305" s="50" t="str">
        <f>konkurs2!$AA$16</f>
        <v/>
      </c>
      <c r="BJ305" s="50" t="str">
        <f>konkurs2!$AI$16</f>
        <v/>
      </c>
    </row>
    <row r="306" spans="50:62">
      <c r="AX306" s="49" t="s">
        <v>416</v>
      </c>
      <c r="AY306" t="str">
        <f>konkurs2!$S$16</f>
        <v/>
      </c>
      <c r="AZ306" t="str">
        <f>konkurs2!$AI$16</f>
        <v/>
      </c>
      <c r="BA306" t="str">
        <f>konkurs2!$G$16</f>
        <v/>
      </c>
      <c r="BB306" t="str">
        <f>konkurs2!$W$16</f>
        <v/>
      </c>
      <c r="BC306" t="str">
        <f>konkurs2!$C$16</f>
        <v/>
      </c>
      <c r="BD306" t="str">
        <f>konkurs2!$AE$16</f>
        <v/>
      </c>
      <c r="BE306" t="str">
        <f>konkurs2!$AU$16</f>
        <v/>
      </c>
      <c r="BF306" t="str">
        <f>konkurs2!$AQ$16</f>
        <v/>
      </c>
      <c r="BG306" s="50" t="str">
        <f>konkurs2!$K$16</f>
        <v/>
      </c>
      <c r="BH306" s="50" t="str">
        <f>konkurs2!$O$16</f>
        <v/>
      </c>
      <c r="BI306" s="50" t="str">
        <f>konkurs2!$AA$16</f>
        <v/>
      </c>
      <c r="BJ306" s="50" t="str">
        <f>konkurs2!$AM$16</f>
        <v/>
      </c>
    </row>
    <row r="307" spans="50:62">
      <c r="AX307" s="49" t="s">
        <v>417</v>
      </c>
      <c r="AY307" t="str">
        <f>konkurs2!$S$16</f>
        <v/>
      </c>
      <c r="AZ307" t="str">
        <f>konkurs2!$AM$16</f>
        <v/>
      </c>
      <c r="BA307" t="str">
        <f>konkurs2!$G$16</f>
        <v/>
      </c>
      <c r="BB307" t="str">
        <f>konkurs2!$W$16</f>
        <v/>
      </c>
      <c r="BC307" t="str">
        <f>konkurs2!$C$16</f>
        <v/>
      </c>
      <c r="BD307" t="str">
        <f>konkurs2!$AE$16</f>
        <v/>
      </c>
      <c r="BE307" t="str">
        <f>konkurs2!$AU$16</f>
        <v/>
      </c>
      <c r="BF307" t="str">
        <f>konkurs2!$AI$16</f>
        <v/>
      </c>
      <c r="BG307" s="50" t="str">
        <f>konkurs2!$K$16</f>
        <v/>
      </c>
      <c r="BH307" s="50" t="str">
        <f>konkurs2!$O$16</f>
        <v/>
      </c>
      <c r="BI307" s="50" t="str">
        <f>konkurs2!$AA$16</f>
        <v/>
      </c>
      <c r="BJ307" s="50" t="str">
        <f>konkurs2!$AQ$16</f>
        <v/>
      </c>
    </row>
    <row r="308" spans="50:62">
      <c r="AX308" s="49" t="s">
        <v>418</v>
      </c>
      <c r="AY308" t="str">
        <f>konkurs2!$S$16</f>
        <v/>
      </c>
      <c r="AZ308" t="str">
        <f>konkurs2!$AM$16</f>
        <v/>
      </c>
      <c r="BA308" t="str">
        <f>konkurs2!$G$16</f>
        <v/>
      </c>
      <c r="BB308" t="str">
        <f>konkurs2!$W$16</f>
        <v/>
      </c>
      <c r="BC308" t="str">
        <f>konkurs2!$C$16</f>
        <v/>
      </c>
      <c r="BD308" t="str">
        <f>konkurs2!$AE$16</f>
        <v/>
      </c>
      <c r="BE308" t="str">
        <f>konkurs2!$AI$16</f>
        <v/>
      </c>
      <c r="BF308" t="str">
        <f>konkurs2!$AQ$16</f>
        <v/>
      </c>
      <c r="BG308" s="50" t="str">
        <f>konkurs2!$K$16</f>
        <v/>
      </c>
      <c r="BH308" s="50" t="str">
        <f>konkurs2!$O$16</f>
        <v/>
      </c>
      <c r="BI308" s="50" t="str">
        <f>konkurs2!$AA$16</f>
        <v/>
      </c>
      <c r="BJ308" s="50" t="str">
        <f>konkurs2!$AU$16</f>
        <v/>
      </c>
    </row>
    <row r="309" spans="50:62">
      <c r="AX309" s="49" t="s">
        <v>419</v>
      </c>
      <c r="AY309" t="str">
        <f>konkurs2!$S$16</f>
        <v/>
      </c>
      <c r="AZ309" t="str">
        <f>konkurs2!$AM$16</f>
        <v/>
      </c>
      <c r="BA309" t="str">
        <f>konkurs2!$G$16</f>
        <v/>
      </c>
      <c r="BB309" t="str">
        <f>konkurs2!$W$16</f>
        <v/>
      </c>
      <c r="BC309" t="str">
        <f>konkurs2!$C$16</f>
        <v/>
      </c>
      <c r="BD309" t="str">
        <f>konkurs2!$AA$16</f>
        <v/>
      </c>
      <c r="BE309" t="str">
        <f>konkurs2!$AU$16</f>
        <v/>
      </c>
      <c r="BF309" t="str">
        <f>konkurs2!$AQ$16</f>
        <v/>
      </c>
      <c r="BG309" s="50" t="str">
        <f>konkurs2!$K$16</f>
        <v/>
      </c>
      <c r="BH309" s="50" t="str">
        <f>konkurs2!$O$16</f>
        <v/>
      </c>
      <c r="BI309" s="50" t="str">
        <f>konkurs2!$AE$16</f>
        <v/>
      </c>
      <c r="BJ309" s="50" t="str">
        <f>konkurs2!$AI$16</f>
        <v/>
      </c>
    </row>
    <row r="310" spans="50:62">
      <c r="AX310" s="49" t="s">
        <v>420</v>
      </c>
      <c r="AY310" t="str">
        <f>konkurs2!$S$16</f>
        <v/>
      </c>
      <c r="AZ310" t="str">
        <f>konkurs2!$AA$16</f>
        <v/>
      </c>
      <c r="BA310" t="str">
        <f>konkurs2!$G$16</f>
        <v/>
      </c>
      <c r="BB310" t="str">
        <f>konkurs2!$C$16</f>
        <v/>
      </c>
      <c r="BC310" t="str">
        <f>konkurs2!$AI$16</f>
        <v/>
      </c>
      <c r="BD310" t="str">
        <f>konkurs2!$W$16</f>
        <v/>
      </c>
      <c r="BE310" t="str">
        <f>konkurs2!$AU$16</f>
        <v/>
      </c>
      <c r="BF310" t="str">
        <f>konkurs2!$AQ$16</f>
        <v/>
      </c>
      <c r="BG310" s="50" t="str">
        <f>konkurs2!$K$16</f>
        <v/>
      </c>
      <c r="BH310" s="50" t="str">
        <f>konkurs2!$O$16</f>
        <v/>
      </c>
      <c r="BI310" s="50" t="str">
        <f>konkurs2!$AE$16</f>
        <v/>
      </c>
      <c r="BJ310" s="50" t="str">
        <f>konkurs2!$AM$16</f>
        <v/>
      </c>
    </row>
    <row r="311" spans="50:62">
      <c r="AX311" s="49" t="s">
        <v>421</v>
      </c>
      <c r="AY311" t="str">
        <f>konkurs2!$S$16</f>
        <v/>
      </c>
      <c r="AZ311" t="str">
        <f>konkurs2!$AM$16</f>
        <v/>
      </c>
      <c r="BA311" t="str">
        <f>konkurs2!$G$16</f>
        <v/>
      </c>
      <c r="BB311" t="str">
        <f>konkurs2!$W$16</f>
        <v/>
      </c>
      <c r="BC311" t="str">
        <f>konkurs2!$C$16</f>
        <v/>
      </c>
      <c r="BD311" t="str">
        <f>konkurs2!$AA$16</f>
        <v/>
      </c>
      <c r="BE311" t="str">
        <f>konkurs2!$AU$16</f>
        <v/>
      </c>
      <c r="BF311" t="str">
        <f>konkurs2!$AI$16</f>
        <v/>
      </c>
      <c r="BG311" s="50" t="str">
        <f>konkurs2!$K$16</f>
        <v/>
      </c>
      <c r="BH311" s="50" t="str">
        <f>konkurs2!$O$16</f>
        <v/>
      </c>
      <c r="BI311" s="50" t="str">
        <f>konkurs2!$AE$16</f>
        <v/>
      </c>
      <c r="BJ311" s="50" t="str">
        <f>konkurs2!$AQ$16</f>
        <v/>
      </c>
    </row>
    <row r="312" spans="50:62">
      <c r="AX312" s="49" t="s">
        <v>422</v>
      </c>
      <c r="AY312" t="str">
        <f>konkurs2!$S$16</f>
        <v/>
      </c>
      <c r="AZ312" t="str">
        <f>konkurs2!$AM$16</f>
        <v/>
      </c>
      <c r="BA312" t="str">
        <f>konkurs2!$G$16</f>
        <v/>
      </c>
      <c r="BB312" t="str">
        <f>konkurs2!$W$16</f>
        <v/>
      </c>
      <c r="BC312" t="str">
        <f>konkurs2!$C$16</f>
        <v/>
      </c>
      <c r="BD312" t="str">
        <f>konkurs2!$AA$16</f>
        <v/>
      </c>
      <c r="BE312" t="str">
        <f>konkurs2!$AI$16</f>
        <v/>
      </c>
      <c r="BF312" t="str">
        <f>konkurs2!$AQ$16</f>
        <v/>
      </c>
      <c r="BG312" s="50" t="str">
        <f>konkurs2!$K$16</f>
        <v/>
      </c>
      <c r="BH312" s="50" t="str">
        <f>konkurs2!$O$16</f>
        <v/>
      </c>
      <c r="BI312" s="50" t="str">
        <f>konkurs2!$AE$16</f>
        <v/>
      </c>
      <c r="BJ312" s="50" t="str">
        <f>konkurs2!$AU$16</f>
        <v/>
      </c>
    </row>
    <row r="313" spans="50:62">
      <c r="AX313" s="49" t="s">
        <v>423</v>
      </c>
      <c r="AY313" t="str">
        <f>konkurs2!$S$16</f>
        <v/>
      </c>
      <c r="AZ313" t="str">
        <f>konkurs2!$AA$16</f>
        <v/>
      </c>
      <c r="BA313" t="str">
        <f>konkurs2!$G$16</f>
        <v/>
      </c>
      <c r="BB313" t="str">
        <f>konkurs2!$W$16</f>
        <v/>
      </c>
      <c r="BC313" t="str">
        <f>konkurs2!$C$16</f>
        <v/>
      </c>
      <c r="BD313" t="str">
        <f>konkurs2!$AE$16</f>
        <v/>
      </c>
      <c r="BE313" t="str">
        <f>konkurs2!$AU$16</f>
        <v/>
      </c>
      <c r="BF313" t="str">
        <f>konkurs2!$AQ$16</f>
        <v/>
      </c>
      <c r="BG313" s="50" t="str">
        <f>konkurs2!$K$16</f>
        <v/>
      </c>
      <c r="BH313" s="50" t="str">
        <f>konkurs2!$O$16</f>
        <v/>
      </c>
      <c r="BI313" s="50" t="str">
        <f>konkurs2!$AI$16</f>
        <v/>
      </c>
      <c r="BJ313" s="50" t="str">
        <f>konkurs2!$AM$16</f>
        <v/>
      </c>
    </row>
    <row r="314" spans="50:62">
      <c r="AX314" s="49" t="s">
        <v>424</v>
      </c>
      <c r="AY314" t="str">
        <f>konkurs2!$AE$16</f>
        <v/>
      </c>
      <c r="AZ314" t="str">
        <f>konkurs2!$AM$16</f>
        <v/>
      </c>
      <c r="BA314" t="str">
        <f>konkurs2!$G$16</f>
        <v/>
      </c>
      <c r="BB314" t="str">
        <f>konkurs2!$W$16</f>
        <v/>
      </c>
      <c r="BC314" t="str">
        <f>konkurs2!$C$16</f>
        <v/>
      </c>
      <c r="BD314" t="str">
        <f>konkurs2!$AA$16</f>
        <v/>
      </c>
      <c r="BE314" t="str">
        <f>konkurs2!$AU$16</f>
        <v/>
      </c>
      <c r="BF314" t="str">
        <f>konkurs2!$S$16</f>
        <v/>
      </c>
      <c r="BG314" s="50" t="str">
        <f>konkurs2!$K$16</f>
        <v/>
      </c>
      <c r="BH314" s="50" t="str">
        <f>konkurs2!$O$16</f>
        <v/>
      </c>
      <c r="BI314" s="50" t="str">
        <f>konkurs2!$AI$16</f>
        <v/>
      </c>
      <c r="BJ314" s="50" t="str">
        <f>konkurs2!$AQ$16</f>
        <v/>
      </c>
    </row>
    <row r="315" spans="50:62">
      <c r="AX315" s="49" t="s">
        <v>425</v>
      </c>
      <c r="AY315" t="str">
        <f>konkurs2!$AE$16</f>
        <v/>
      </c>
      <c r="AZ315" t="str">
        <f>konkurs2!$AM$16</f>
        <v/>
      </c>
      <c r="BA315" t="str">
        <f>konkurs2!$G$16</f>
        <v/>
      </c>
      <c r="BB315" t="str">
        <f>konkurs2!$W$16</f>
        <v/>
      </c>
      <c r="BC315" t="str">
        <f>konkurs2!$C$16</f>
        <v/>
      </c>
      <c r="BD315" t="str">
        <f>konkurs2!$AA$16</f>
        <v/>
      </c>
      <c r="BE315" t="str">
        <f>konkurs2!$S$16</f>
        <v/>
      </c>
      <c r="BF315" t="str">
        <f>konkurs2!$AQ$16</f>
        <v/>
      </c>
      <c r="BG315" s="50" t="str">
        <f>konkurs2!$K$16</f>
        <v/>
      </c>
      <c r="BH315" s="50" t="str">
        <f>konkurs2!$O$16</f>
        <v/>
      </c>
      <c r="BI315" s="50" t="str">
        <f>konkurs2!$AI$16</f>
        <v/>
      </c>
      <c r="BJ315" s="50" t="str">
        <f>konkurs2!$AU$16</f>
        <v/>
      </c>
    </row>
    <row r="316" spans="50:62">
      <c r="AX316" s="49" t="s">
        <v>426</v>
      </c>
      <c r="AY316" t="str">
        <f>konkurs2!$S$16</f>
        <v/>
      </c>
      <c r="AZ316" t="str">
        <f>konkurs2!$AA$16</f>
        <v/>
      </c>
      <c r="BA316" t="str">
        <f>konkurs2!$G$16</f>
        <v/>
      </c>
      <c r="BB316" t="str">
        <f>konkurs2!$W$16</f>
        <v/>
      </c>
      <c r="BC316" t="str">
        <f>konkurs2!$C$16</f>
        <v/>
      </c>
      <c r="BD316" t="str">
        <f>konkurs2!$AE$16</f>
        <v/>
      </c>
      <c r="BE316" t="str">
        <f>konkurs2!$AU$16</f>
        <v/>
      </c>
      <c r="BF316" t="str">
        <f>konkurs2!$AI$16</f>
        <v/>
      </c>
      <c r="BG316" s="50" t="str">
        <f>konkurs2!$K$16</f>
        <v/>
      </c>
      <c r="BH316" s="50" t="str">
        <f>konkurs2!$O$16</f>
        <v/>
      </c>
      <c r="BI316" s="50" t="str">
        <f>konkurs2!$AM$16</f>
        <v/>
      </c>
      <c r="BJ316" s="50" t="str">
        <f>konkurs2!$AQ$16</f>
        <v/>
      </c>
    </row>
    <row r="317" spans="50:62">
      <c r="AX317" s="49" t="s">
        <v>427</v>
      </c>
      <c r="AY317" t="str">
        <f>konkurs2!$S$16</f>
        <v/>
      </c>
      <c r="AZ317" t="str">
        <f>konkurs2!$AA$16</f>
        <v/>
      </c>
      <c r="BA317" t="str">
        <f>konkurs2!$G$16</f>
        <v/>
      </c>
      <c r="BB317" t="str">
        <f>konkurs2!$W$16</f>
        <v/>
      </c>
      <c r="BC317" t="str">
        <f>konkurs2!$C$16</f>
        <v/>
      </c>
      <c r="BD317" t="str">
        <f>konkurs2!$AE$16</f>
        <v/>
      </c>
      <c r="BE317" t="str">
        <f>konkurs2!$AI$16</f>
        <v/>
      </c>
      <c r="BF317" t="str">
        <f>konkurs2!$AQ$16</f>
        <v/>
      </c>
      <c r="BG317" s="50" t="str">
        <f>konkurs2!$K$16</f>
        <v/>
      </c>
      <c r="BH317" s="50" t="str">
        <f>konkurs2!$O$16</f>
        <v/>
      </c>
      <c r="BI317" s="50" t="str">
        <f>konkurs2!$AM$16</f>
        <v/>
      </c>
      <c r="BJ317" s="50" t="str">
        <f>konkurs2!$AU$16</f>
        <v/>
      </c>
    </row>
    <row r="318" spans="50:62">
      <c r="AX318" s="49" t="s">
        <v>428</v>
      </c>
      <c r="AY318" t="str">
        <f>konkurs2!$AE$16</f>
        <v/>
      </c>
      <c r="AZ318" t="str">
        <f>konkurs2!$AM$16</f>
        <v/>
      </c>
      <c r="BA318" t="str">
        <f>konkurs2!$G$16</f>
        <v/>
      </c>
      <c r="BB318" t="str">
        <f>konkurs2!$W$16</f>
        <v/>
      </c>
      <c r="BC318" t="str">
        <f>konkurs2!$C$16</f>
        <v/>
      </c>
      <c r="BD318" t="str">
        <f>konkurs2!$AA$16</f>
        <v/>
      </c>
      <c r="BE318" t="str">
        <f>konkurs2!$S$16</f>
        <v/>
      </c>
      <c r="BF318" t="str">
        <f>konkurs2!$AI$16</f>
        <v/>
      </c>
      <c r="BG318" s="50" t="str">
        <f>konkurs2!$K$16</f>
        <v/>
      </c>
      <c r="BH318" s="50" t="str">
        <f>konkurs2!$O$16</f>
        <v/>
      </c>
      <c r="BI318" s="50" t="str">
        <f>konkurs2!$AQ$16</f>
        <v/>
      </c>
      <c r="BJ318" s="50" t="str">
        <f>konkurs2!$AU$16</f>
        <v/>
      </c>
    </row>
    <row r="319" spans="50:62">
      <c r="AX319" s="49" t="s">
        <v>429</v>
      </c>
      <c r="AY319" t="str">
        <f>konkurs2!$AI$16</f>
        <v/>
      </c>
      <c r="AZ319" t="str">
        <f>konkurs2!$AM$16</f>
        <v/>
      </c>
      <c r="BA319" t="str">
        <f>konkurs2!$G$16</f>
        <v/>
      </c>
      <c r="BB319" t="str">
        <f>konkurs2!$O$16</f>
        <v/>
      </c>
      <c r="BC319" t="str">
        <f>konkurs2!$C$16</f>
        <v/>
      </c>
      <c r="BD319" t="str">
        <f>konkurs2!$AE$16</f>
        <v/>
      </c>
      <c r="BE319" t="str">
        <f>konkurs2!$AU$16</f>
        <v/>
      </c>
      <c r="BF319" t="str">
        <f>konkurs2!$AQ$16</f>
        <v/>
      </c>
      <c r="BG319" s="50" t="str">
        <f>konkurs2!$K$16</f>
        <v/>
      </c>
      <c r="BH319" s="50" t="str">
        <f>konkurs2!$S$16</f>
        <v/>
      </c>
      <c r="BI319" s="50" t="str">
        <f>konkurs2!$W$16</f>
        <v/>
      </c>
      <c r="BJ319" s="50" t="str">
        <f>konkurs2!$AA$16</f>
        <v/>
      </c>
    </row>
    <row r="320" spans="50:62">
      <c r="AX320" s="49" t="s">
        <v>430</v>
      </c>
      <c r="AY320" t="str">
        <f>konkurs2!$AI$16</f>
        <v/>
      </c>
      <c r="AZ320" t="str">
        <f>konkurs2!$AM$16</f>
        <v/>
      </c>
      <c r="BA320" t="str">
        <f>konkurs2!$G$16</f>
        <v/>
      </c>
      <c r="BB320" t="str">
        <f>konkurs2!$O$16</f>
        <v/>
      </c>
      <c r="BC320" t="str">
        <f>konkurs2!$C$16</f>
        <v/>
      </c>
      <c r="BD320" t="str">
        <f>konkurs2!$AA$16</f>
        <v/>
      </c>
      <c r="BE320" t="str">
        <f>konkurs2!$AU$16</f>
        <v/>
      </c>
      <c r="BF320" t="str">
        <f>konkurs2!$AQ$16</f>
        <v/>
      </c>
      <c r="BG320" s="50" t="str">
        <f>konkurs2!$K$16</f>
        <v/>
      </c>
      <c r="BH320" s="50" t="str">
        <f>konkurs2!$S$16</f>
        <v/>
      </c>
      <c r="BI320" s="50" t="str">
        <f>konkurs2!$W$16</f>
        <v/>
      </c>
      <c r="BJ320" s="50" t="str">
        <f>konkurs2!$AE$16</f>
        <v/>
      </c>
    </row>
    <row r="321" spans="50:62">
      <c r="AX321" s="49" t="s">
        <v>431</v>
      </c>
      <c r="AY321" t="str">
        <f>konkurs2!$AE$16</f>
        <v/>
      </c>
      <c r="AZ321" t="str">
        <f>konkurs2!$AM$16</f>
        <v/>
      </c>
      <c r="BA321" t="str">
        <f>konkurs2!$G$16</f>
        <v/>
      </c>
      <c r="BB321" t="str">
        <f>konkurs2!$O$16</f>
        <v/>
      </c>
      <c r="BC321" t="str">
        <f>konkurs2!$C$16</f>
        <v/>
      </c>
      <c r="BD321" t="str">
        <f>konkurs2!$AA$16</f>
        <v/>
      </c>
      <c r="BE321" t="str">
        <f>konkurs2!$AU$16</f>
        <v/>
      </c>
      <c r="BF321" t="str">
        <f>konkurs2!$AQ$16</f>
        <v/>
      </c>
      <c r="BG321" s="50" t="str">
        <f>konkurs2!$K$16</f>
        <v/>
      </c>
      <c r="BH321" s="50" t="str">
        <f>konkurs2!$S$16</f>
        <v/>
      </c>
      <c r="BI321" s="50" t="str">
        <f>konkurs2!$W$16</f>
        <v/>
      </c>
      <c r="BJ321" s="50" t="str">
        <f>konkurs2!$AI$16</f>
        <v/>
      </c>
    </row>
    <row r="322" spans="50:62">
      <c r="AX322" s="49" t="s">
        <v>432</v>
      </c>
      <c r="AY322" t="str">
        <f>konkurs2!$AI$16</f>
        <v/>
      </c>
      <c r="AZ322" t="str">
        <f>konkurs2!$AA$16</f>
        <v/>
      </c>
      <c r="BA322" t="str">
        <f>konkurs2!$G$16</f>
        <v/>
      </c>
      <c r="BB322" t="str">
        <f>konkurs2!$O$16</f>
        <v/>
      </c>
      <c r="BC322" t="str">
        <f>konkurs2!$C$16</f>
        <v/>
      </c>
      <c r="BD322" t="str">
        <f>konkurs2!$AE$16</f>
        <v/>
      </c>
      <c r="BE322" t="str">
        <f>konkurs2!$AU$16</f>
        <v/>
      </c>
      <c r="BF322" t="str">
        <f>konkurs2!$AQ$16</f>
        <v/>
      </c>
      <c r="BG322" s="50" t="str">
        <f>konkurs2!$K$16</f>
        <v/>
      </c>
      <c r="BH322" s="50" t="str">
        <f>konkurs2!$S$16</f>
        <v/>
      </c>
      <c r="BI322" s="50" t="str">
        <f>konkurs2!$W$16</f>
        <v/>
      </c>
      <c r="BJ322" s="50" t="str">
        <f>konkurs2!$AM$16</f>
        <v/>
      </c>
    </row>
    <row r="323" spans="50:62">
      <c r="AX323" s="49" t="s">
        <v>433</v>
      </c>
      <c r="AY323" t="str">
        <f>konkurs2!$AE$16</f>
        <v/>
      </c>
      <c r="AZ323" t="str">
        <f>konkurs2!$AM$16</f>
        <v/>
      </c>
      <c r="BA323" t="str">
        <f>konkurs2!$G$16</f>
        <v/>
      </c>
      <c r="BB323" t="str">
        <f>konkurs2!$O$16</f>
        <v/>
      </c>
      <c r="BC323" t="str">
        <f>konkurs2!$C$16</f>
        <v/>
      </c>
      <c r="BD323" t="str">
        <f>konkurs2!$AA$16</f>
        <v/>
      </c>
      <c r="BE323" t="str">
        <f>konkurs2!$AU$16</f>
        <v/>
      </c>
      <c r="BF323" t="str">
        <f>konkurs2!$AI$16</f>
        <v/>
      </c>
      <c r="BG323" s="50" t="str">
        <f>konkurs2!$K$16</f>
        <v/>
      </c>
      <c r="BH323" s="50" t="str">
        <f>konkurs2!$S$16</f>
        <v/>
      </c>
      <c r="BI323" s="50" t="str">
        <f>konkurs2!$W$16</f>
        <v/>
      </c>
      <c r="BJ323" s="50" t="str">
        <f>konkurs2!$AQ$16</f>
        <v/>
      </c>
    </row>
    <row r="324" spans="50:62">
      <c r="AX324" s="49" t="s">
        <v>434</v>
      </c>
      <c r="AY324" t="str">
        <f>konkurs2!$AE$16</f>
        <v/>
      </c>
      <c r="AZ324" t="str">
        <f>konkurs2!$AM$16</f>
        <v/>
      </c>
      <c r="BA324" t="str">
        <f>konkurs2!$G$16</f>
        <v/>
      </c>
      <c r="BB324" t="str">
        <f>konkurs2!$O$16</f>
        <v/>
      </c>
      <c r="BC324" t="str">
        <f>konkurs2!$C$16</f>
        <v/>
      </c>
      <c r="BD324" t="str">
        <f>konkurs2!$AA$16</f>
        <v/>
      </c>
      <c r="BE324" t="str">
        <f>konkurs2!$AI$16</f>
        <v/>
      </c>
      <c r="BF324" t="str">
        <f>konkurs2!$AQ$16</f>
        <v/>
      </c>
      <c r="BG324" s="50" t="str">
        <f>konkurs2!$K$16</f>
        <v/>
      </c>
      <c r="BH324" s="50" t="str">
        <f>konkurs2!$S$16</f>
        <v/>
      </c>
      <c r="BI324" s="50" t="str">
        <f>konkurs2!$W$16</f>
        <v/>
      </c>
      <c r="BJ324" s="50" t="str">
        <f>konkurs2!$AU$16</f>
        <v/>
      </c>
    </row>
    <row r="325" spans="50:62">
      <c r="AX325" s="49" t="s">
        <v>435</v>
      </c>
      <c r="AY325" t="str">
        <f>konkurs2!$AI$16</f>
        <v/>
      </c>
      <c r="AZ325" t="str">
        <f>konkurs2!$AM$16</f>
        <v/>
      </c>
      <c r="BA325" t="str">
        <f>konkurs2!$G$16</f>
        <v/>
      </c>
      <c r="BB325" t="str">
        <f>konkurs2!$O$16</f>
        <v/>
      </c>
      <c r="BC325" t="str">
        <f>konkurs2!$C$16</f>
        <v/>
      </c>
      <c r="BD325" t="str">
        <f>konkurs2!$W$16</f>
        <v/>
      </c>
      <c r="BE325" t="str">
        <f>konkurs2!$AU$16</f>
        <v/>
      </c>
      <c r="BF325" t="str">
        <f>konkurs2!$AQ$16</f>
        <v/>
      </c>
      <c r="BG325" s="50" t="str">
        <f>konkurs2!$K$16</f>
        <v/>
      </c>
      <c r="BH325" s="50" t="str">
        <f>konkurs2!$S$16</f>
        <v/>
      </c>
      <c r="BI325" s="50" t="str">
        <f>konkurs2!$AA$16</f>
        <v/>
      </c>
      <c r="BJ325" s="50" t="str">
        <f>konkurs2!$AE$16</f>
        <v/>
      </c>
    </row>
    <row r="326" spans="50:62">
      <c r="AX326" s="49" t="s">
        <v>436</v>
      </c>
      <c r="AY326" t="str">
        <f>konkurs2!$AE$16</f>
        <v/>
      </c>
      <c r="AZ326" t="str">
        <f>konkurs2!$AM$16</f>
        <v/>
      </c>
      <c r="BA326" t="str">
        <f>konkurs2!$G$16</f>
        <v/>
      </c>
      <c r="BB326" t="str">
        <f>konkurs2!$O$16</f>
        <v/>
      </c>
      <c r="BC326" t="str">
        <f>konkurs2!$C$16</f>
        <v/>
      </c>
      <c r="BD326" t="str">
        <f>konkurs2!$W$16</f>
        <v/>
      </c>
      <c r="BE326" t="str">
        <f>konkurs2!$AU$16</f>
        <v/>
      </c>
      <c r="BF326" t="str">
        <f>konkurs2!$AQ$16</f>
        <v/>
      </c>
      <c r="BG326" s="50" t="str">
        <f>konkurs2!$K$16</f>
        <v/>
      </c>
      <c r="BH326" s="50" t="str">
        <f>konkurs2!$S$16</f>
        <v/>
      </c>
      <c r="BI326" s="50" t="str">
        <f>konkurs2!$AA$16</f>
        <v/>
      </c>
      <c r="BJ326" s="50" t="str">
        <f>konkurs2!$AI$16</f>
        <v/>
      </c>
    </row>
    <row r="327" spans="50:62">
      <c r="AX327" s="49" t="s">
        <v>437</v>
      </c>
      <c r="AY327" t="str">
        <f>konkurs2!$AE$16</f>
        <v/>
      </c>
      <c r="AZ327" t="str">
        <f>konkurs2!$AI$16</f>
        <v/>
      </c>
      <c r="BA327" t="str">
        <f>konkurs2!$G$16</f>
        <v/>
      </c>
      <c r="BB327" t="str">
        <f>konkurs2!$O$16</f>
        <v/>
      </c>
      <c r="BC327" t="str">
        <f>konkurs2!$C$16</f>
        <v/>
      </c>
      <c r="BD327" t="str">
        <f>konkurs2!$W$16</f>
        <v/>
      </c>
      <c r="BE327" t="str">
        <f>konkurs2!$AU$16</f>
        <v/>
      </c>
      <c r="BF327" t="str">
        <f>konkurs2!$AQ$16</f>
        <v/>
      </c>
      <c r="BG327" s="50" t="str">
        <f>konkurs2!$K$16</f>
        <v/>
      </c>
      <c r="BH327" s="50" t="str">
        <f>konkurs2!$S$16</f>
        <v/>
      </c>
      <c r="BI327" s="50" t="str">
        <f>konkurs2!$AA$16</f>
        <v/>
      </c>
      <c r="BJ327" s="50" t="str">
        <f>konkurs2!$AM$16</f>
        <v/>
      </c>
    </row>
    <row r="328" spans="50:62">
      <c r="AX328" s="49" t="s">
        <v>438</v>
      </c>
      <c r="AY328" t="str">
        <f>konkurs2!$AE$16</f>
        <v/>
      </c>
      <c r="AZ328" t="str">
        <f>konkurs2!$AM$16</f>
        <v/>
      </c>
      <c r="BA328" t="str">
        <f>konkurs2!$G$16</f>
        <v/>
      </c>
      <c r="BB328" t="str">
        <f>konkurs2!$O$16</f>
        <v/>
      </c>
      <c r="BC328" t="str">
        <f>konkurs2!$C$16</f>
        <v/>
      </c>
      <c r="BD328" t="str">
        <f>konkurs2!$W$16</f>
        <v/>
      </c>
      <c r="BE328" t="str">
        <f>konkurs2!$AU$16</f>
        <v/>
      </c>
      <c r="BF328" t="str">
        <f>konkurs2!$AI$16</f>
        <v/>
      </c>
      <c r="BG328" s="50" t="str">
        <f>konkurs2!$K$16</f>
        <v/>
      </c>
      <c r="BH328" s="50" t="str">
        <f>konkurs2!$S$16</f>
        <v/>
      </c>
      <c r="BI328" s="50" t="str">
        <f>konkurs2!$AA$16</f>
        <v/>
      </c>
      <c r="BJ328" s="50" t="str">
        <f>konkurs2!$AQ$16</f>
        <v/>
      </c>
    </row>
    <row r="329" spans="50:62">
      <c r="AX329" s="49" t="s">
        <v>439</v>
      </c>
      <c r="AY329" t="str">
        <f>konkurs2!$AE$16</f>
        <v/>
      </c>
      <c r="AZ329" t="str">
        <f>konkurs2!$AM$16</f>
        <v/>
      </c>
      <c r="BA329" t="str">
        <f>konkurs2!$G$16</f>
        <v/>
      </c>
      <c r="BB329" t="str">
        <f>konkurs2!$O$16</f>
        <v/>
      </c>
      <c r="BC329" t="str">
        <f>konkurs2!$C$16</f>
        <v/>
      </c>
      <c r="BD329" t="str">
        <f>konkurs2!$W$16</f>
        <v/>
      </c>
      <c r="BE329" t="str">
        <f>konkurs2!$AI$16</f>
        <v/>
      </c>
      <c r="BF329" t="str">
        <f>konkurs2!$AQ$16</f>
        <v/>
      </c>
      <c r="BG329" s="50" t="str">
        <f>konkurs2!$K$16</f>
        <v/>
      </c>
      <c r="BH329" s="50" t="str">
        <f>konkurs2!$S$16</f>
        <v/>
      </c>
      <c r="BI329" s="50" t="str">
        <f>konkurs2!$AA$16</f>
        <v/>
      </c>
      <c r="BJ329" s="50" t="str">
        <f>konkurs2!$AU$16</f>
        <v/>
      </c>
    </row>
    <row r="330" spans="50:62">
      <c r="AX330" s="49" t="s">
        <v>440</v>
      </c>
      <c r="AY330" t="str">
        <f>konkurs2!$W$16</f>
        <v/>
      </c>
      <c r="AZ330" t="str">
        <f>konkurs2!$AM$16</f>
        <v/>
      </c>
      <c r="BA330" t="str">
        <f>konkurs2!$G$16</f>
        <v/>
      </c>
      <c r="BB330" t="str">
        <f>konkurs2!$O$16</f>
        <v/>
      </c>
      <c r="BC330" t="str">
        <f>konkurs2!$C$16</f>
        <v/>
      </c>
      <c r="BD330" t="str">
        <f>konkurs2!$AA$16</f>
        <v/>
      </c>
      <c r="BE330" t="str">
        <f>konkurs2!$AU$16</f>
        <v/>
      </c>
      <c r="BF330" t="str">
        <f>konkurs2!$AQ$16</f>
        <v/>
      </c>
      <c r="BG330" s="50" t="str">
        <f>konkurs2!$K$16</f>
        <v/>
      </c>
      <c r="BH330" s="50" t="str">
        <f>konkurs2!$S$16</f>
        <v/>
      </c>
      <c r="BI330" s="50" t="str">
        <f>konkurs2!$AE$16</f>
        <v/>
      </c>
      <c r="BJ330" s="50" t="str">
        <f>konkurs2!$AI$16</f>
        <v/>
      </c>
    </row>
    <row r="331" spans="50:62">
      <c r="AX331" s="49" t="s">
        <v>441</v>
      </c>
      <c r="AY331" t="str">
        <f>konkurs2!$AI$16</f>
        <v/>
      </c>
      <c r="AZ331" t="str">
        <f>konkurs2!$AA$16</f>
        <v/>
      </c>
      <c r="BA331" t="str">
        <f>konkurs2!$G$16</f>
        <v/>
      </c>
      <c r="BB331" t="str">
        <f>konkurs2!$O$16</f>
        <v/>
      </c>
      <c r="BC331" t="str">
        <f>konkurs2!$C$16</f>
        <v/>
      </c>
      <c r="BD331" t="str">
        <f>konkurs2!$W$16</f>
        <v/>
      </c>
      <c r="BE331" t="str">
        <f>konkurs2!$AU$16</f>
        <v/>
      </c>
      <c r="BF331" t="str">
        <f>konkurs2!$AQ$16</f>
        <v/>
      </c>
      <c r="BG331" s="50" t="str">
        <f>konkurs2!$K$16</f>
        <v/>
      </c>
      <c r="BH331" s="50" t="str">
        <f>konkurs2!$S$16</f>
        <v/>
      </c>
      <c r="BI331" s="50" t="str">
        <f>konkurs2!$AE$16</f>
        <v/>
      </c>
      <c r="BJ331" s="50" t="str">
        <f>konkurs2!$AM$16</f>
        <v/>
      </c>
    </row>
    <row r="332" spans="50:62">
      <c r="AX332" s="49" t="s">
        <v>442</v>
      </c>
      <c r="AY332" t="str">
        <f>konkurs2!$W$16</f>
        <v/>
      </c>
      <c r="AZ332" t="str">
        <f>konkurs2!$AM$16</f>
        <v/>
      </c>
      <c r="BA332" t="str">
        <f>konkurs2!$G$16</f>
        <v/>
      </c>
      <c r="BB332" t="str">
        <f>konkurs2!$O$16</f>
        <v/>
      </c>
      <c r="BC332" t="str">
        <f>konkurs2!$C$16</f>
        <v/>
      </c>
      <c r="BD332" t="str">
        <f>konkurs2!$AA$16</f>
        <v/>
      </c>
      <c r="BE332" t="str">
        <f>konkurs2!$AU$16</f>
        <v/>
      </c>
      <c r="BF332" t="str">
        <f>konkurs2!$AI$16</f>
        <v/>
      </c>
      <c r="BG332" s="50" t="str">
        <f>konkurs2!$K$16</f>
        <v/>
      </c>
      <c r="BH332" s="50" t="str">
        <f>konkurs2!$S$16</f>
        <v/>
      </c>
      <c r="BI332" s="50" t="str">
        <f>konkurs2!$AE$16</f>
        <v/>
      </c>
      <c r="BJ332" s="50" t="str">
        <f>konkurs2!$AQ$16</f>
        <v/>
      </c>
    </row>
    <row r="333" spans="50:62">
      <c r="AX333" s="49" t="s">
        <v>443</v>
      </c>
      <c r="AY333" t="str">
        <f>konkurs2!$W$16</f>
        <v/>
      </c>
      <c r="AZ333" t="str">
        <f>konkurs2!$AM$16</f>
        <v/>
      </c>
      <c r="BA333" t="str">
        <f>konkurs2!$G$16</f>
        <v/>
      </c>
      <c r="BB333" t="str">
        <f>konkurs2!$O$16</f>
        <v/>
      </c>
      <c r="BC333" t="str">
        <f>konkurs2!$C$16</f>
        <v/>
      </c>
      <c r="BD333" t="str">
        <f>konkurs2!$AA$16</f>
        <v/>
      </c>
      <c r="BE333" t="str">
        <f>konkurs2!$AI$16</f>
        <v/>
      </c>
      <c r="BF333" t="str">
        <f>konkurs2!$AQ$16</f>
        <v/>
      </c>
      <c r="BG333" s="50" t="str">
        <f>konkurs2!$K$16</f>
        <v/>
      </c>
      <c r="BH333" s="50" t="str">
        <f>konkurs2!$S$16</f>
        <v/>
      </c>
      <c r="BI333" s="50" t="str">
        <f>konkurs2!$AE$16</f>
        <v/>
      </c>
      <c r="BJ333" s="50" t="str">
        <f>konkurs2!$AU$16</f>
        <v/>
      </c>
    </row>
    <row r="334" spans="50:62">
      <c r="AX334" s="49" t="s">
        <v>444</v>
      </c>
      <c r="AY334" t="str">
        <f>konkurs2!$AE$16</f>
        <v/>
      </c>
      <c r="AZ334" t="str">
        <f>konkurs2!$AA$16</f>
        <v/>
      </c>
      <c r="BA334" t="str">
        <f>konkurs2!$G$16</f>
        <v/>
      </c>
      <c r="BB334" t="str">
        <f>konkurs2!$O$16</f>
        <v/>
      </c>
      <c r="BC334" t="str">
        <f>konkurs2!$C$16</f>
        <v/>
      </c>
      <c r="BD334" t="str">
        <f>konkurs2!$W$16</f>
        <v/>
      </c>
      <c r="BE334" t="str">
        <f>konkurs2!$AU$16</f>
        <v/>
      </c>
      <c r="BF334" t="str">
        <f>konkurs2!$AQ$16</f>
        <v/>
      </c>
      <c r="BG334" s="50" t="str">
        <f>konkurs2!$K$16</f>
        <v/>
      </c>
      <c r="BH334" s="50" t="str">
        <f>konkurs2!$S$16</f>
        <v/>
      </c>
      <c r="BI334" s="50" t="str">
        <f>konkurs2!$AI$16</f>
        <v/>
      </c>
      <c r="BJ334" s="50" t="str">
        <f>konkurs2!$AM$16</f>
        <v/>
      </c>
    </row>
    <row r="335" spans="50:62">
      <c r="AX335" s="49" t="s">
        <v>445</v>
      </c>
      <c r="AY335" t="str">
        <f>konkurs2!$AE$16</f>
        <v/>
      </c>
      <c r="AZ335" t="str">
        <f>konkurs2!$AA$16</f>
        <v/>
      </c>
      <c r="BA335" t="str">
        <f>konkurs2!$G$16</f>
        <v/>
      </c>
      <c r="BB335" t="str">
        <f>konkurs2!$O$16</f>
        <v/>
      </c>
      <c r="BC335" t="str">
        <f>konkurs2!$C$16</f>
        <v/>
      </c>
      <c r="BD335" t="str">
        <f>konkurs2!$W$16</f>
        <v/>
      </c>
      <c r="BE335" t="str">
        <f>konkurs2!$AU$16</f>
        <v/>
      </c>
      <c r="BF335" t="str">
        <f>konkurs2!$AM$16</f>
        <v/>
      </c>
      <c r="BG335" s="50" t="str">
        <f>konkurs2!$K$16</f>
        <v/>
      </c>
      <c r="BH335" s="50" t="str">
        <f>konkurs2!$S$16</f>
        <v/>
      </c>
      <c r="BI335" s="50" t="str">
        <f>konkurs2!$AI$16</f>
        <v/>
      </c>
      <c r="BJ335" s="50" t="str">
        <f>konkurs2!$AQ$16</f>
        <v/>
      </c>
    </row>
    <row r="336" spans="50:62">
      <c r="AX336" s="49" t="s">
        <v>446</v>
      </c>
      <c r="AY336" t="str">
        <f>konkurs2!$AE$16</f>
        <v/>
      </c>
      <c r="AZ336" t="str">
        <f>konkurs2!$AA$16</f>
        <v/>
      </c>
      <c r="BA336" t="str">
        <f>konkurs2!$G$16</f>
        <v/>
      </c>
      <c r="BB336" t="str">
        <f>konkurs2!$O$16</f>
        <v/>
      </c>
      <c r="BC336" t="str">
        <f>konkurs2!$C$16</f>
        <v/>
      </c>
      <c r="BD336" t="str">
        <f>konkurs2!$W$16</f>
        <v/>
      </c>
      <c r="BE336" t="str">
        <f>konkurs2!$AM$16</f>
        <v/>
      </c>
      <c r="BF336" t="str">
        <f>konkurs2!$AQ$16</f>
        <v/>
      </c>
      <c r="BG336" s="50" t="str">
        <f>konkurs2!$K$16</f>
        <v/>
      </c>
      <c r="BH336" s="50" t="str">
        <f>konkurs2!$S$16</f>
        <v/>
      </c>
      <c r="BI336" s="50" t="str">
        <f>konkurs2!$AI$16</f>
        <v/>
      </c>
      <c r="BJ336" s="50" t="str">
        <f>konkurs2!$AU$16</f>
        <v/>
      </c>
    </row>
    <row r="337" spans="50:62">
      <c r="AX337" s="49" t="s">
        <v>447</v>
      </c>
      <c r="AY337" t="str">
        <f>konkurs2!$AE$16</f>
        <v/>
      </c>
      <c r="AZ337" t="str">
        <f>konkurs2!$AA$16</f>
        <v/>
      </c>
      <c r="BA337" t="str">
        <f>konkurs2!$G$16</f>
        <v/>
      </c>
      <c r="BB337" t="str">
        <f>konkurs2!$O$16</f>
        <v/>
      </c>
      <c r="BC337" t="str">
        <f>konkurs2!$C$16</f>
        <v/>
      </c>
      <c r="BD337" t="str">
        <f>konkurs2!$W$16</f>
        <v/>
      </c>
      <c r="BE337" t="str">
        <f>konkurs2!$AU$16</f>
        <v/>
      </c>
      <c r="BF337" t="str">
        <f>konkurs2!$AI$16</f>
        <v/>
      </c>
      <c r="BG337" s="50" t="str">
        <f>konkurs2!$K$16</f>
        <v/>
      </c>
      <c r="BH337" s="50" t="str">
        <f>konkurs2!$S$16</f>
        <v/>
      </c>
      <c r="BI337" s="50" t="str">
        <f>konkurs2!$AM$16</f>
        <v/>
      </c>
      <c r="BJ337" s="50" t="str">
        <f>konkurs2!$AQ$16</f>
        <v/>
      </c>
    </row>
    <row r="338" spans="50:62">
      <c r="AX338" s="49" t="s">
        <v>448</v>
      </c>
      <c r="AY338" t="str">
        <f>konkurs2!$AE$16</f>
        <v/>
      </c>
      <c r="AZ338" t="str">
        <f>konkurs2!$AA$16</f>
        <v/>
      </c>
      <c r="BA338" t="str">
        <f>konkurs2!$G$16</f>
        <v/>
      </c>
      <c r="BB338" t="str">
        <f>konkurs2!$O$16</f>
        <v/>
      </c>
      <c r="BC338" t="str">
        <f>konkurs2!$C$16</f>
        <v/>
      </c>
      <c r="BD338" t="str">
        <f>konkurs2!$W$16</f>
        <v/>
      </c>
      <c r="BE338" t="str">
        <f>konkurs2!$AI$16</f>
        <v/>
      </c>
      <c r="BF338" t="str">
        <f>konkurs2!$AQ$16</f>
        <v/>
      </c>
      <c r="BG338" s="50" t="str">
        <f>konkurs2!$K$16</f>
        <v/>
      </c>
      <c r="BH338" s="50" t="str">
        <f>konkurs2!$S$16</f>
        <v/>
      </c>
      <c r="BI338" s="50" t="str">
        <f>konkurs2!$AM$16</f>
        <v/>
      </c>
      <c r="BJ338" s="50" t="str">
        <f>konkurs2!$AU$16</f>
        <v/>
      </c>
    </row>
    <row r="339" spans="50:62">
      <c r="AX339" s="49" t="s">
        <v>449</v>
      </c>
      <c r="AY339" t="str">
        <f>konkurs2!$AE$16</f>
        <v/>
      </c>
      <c r="AZ339" t="str">
        <f>konkurs2!$AA$16</f>
        <v/>
      </c>
      <c r="BA339" t="str">
        <f>konkurs2!$G$16</f>
        <v/>
      </c>
      <c r="BB339" t="str">
        <f>konkurs2!$O$16</f>
        <v/>
      </c>
      <c r="BC339" t="str">
        <f>konkurs2!$C$16</f>
        <v/>
      </c>
      <c r="BD339" t="str">
        <f>konkurs2!$W$16</f>
        <v/>
      </c>
      <c r="BE339" t="str">
        <f>konkurs2!$AI$16</f>
        <v/>
      </c>
      <c r="BF339" t="str">
        <f>konkurs2!$AM$16</f>
        <v/>
      </c>
      <c r="BG339" s="50" t="str">
        <f>konkurs2!$K$16</f>
        <v/>
      </c>
      <c r="BH339" s="50" t="str">
        <f>konkurs2!$S$16</f>
        <v/>
      </c>
      <c r="BI339" s="50" t="str">
        <f>konkurs2!$AQ$16</f>
        <v/>
      </c>
      <c r="BJ339" s="50" t="str">
        <f>konkurs2!$AU$16</f>
        <v/>
      </c>
    </row>
    <row r="340" spans="50:62">
      <c r="AX340" s="49" t="s">
        <v>450</v>
      </c>
      <c r="AY340" t="str">
        <f>konkurs2!$S$16</f>
        <v/>
      </c>
      <c r="AZ340" t="str">
        <f>konkurs2!$AM$16</f>
        <v/>
      </c>
      <c r="BA340" t="str">
        <f>konkurs2!$G$16</f>
        <v/>
      </c>
      <c r="BB340" t="str">
        <f>konkurs2!$C$16</f>
        <v/>
      </c>
      <c r="BC340" t="str">
        <f>konkurs2!$AI$16</f>
        <v/>
      </c>
      <c r="BD340" t="str">
        <f>konkurs2!$O$16</f>
        <v/>
      </c>
      <c r="BE340" t="str">
        <f>konkurs2!$AU$16</f>
        <v/>
      </c>
      <c r="BF340" t="str">
        <f>konkurs2!$AQ$16</f>
        <v/>
      </c>
      <c r="BG340" s="50" t="str">
        <f>konkurs2!$K$16</f>
        <v/>
      </c>
      <c r="BH340" s="50" t="str">
        <f>konkurs2!$W$16</f>
        <v/>
      </c>
      <c r="BI340" s="50" t="str">
        <f>konkurs2!$AA$16</f>
        <v/>
      </c>
      <c r="BJ340" s="50" t="str">
        <f>konkurs2!$AE$16</f>
        <v/>
      </c>
    </row>
    <row r="341" spans="50:62">
      <c r="AX341" s="49" t="s">
        <v>451</v>
      </c>
      <c r="AY341" t="str">
        <f>konkurs2!$S$16</f>
        <v/>
      </c>
      <c r="AZ341" t="str">
        <f>konkurs2!$AM$16</f>
        <v/>
      </c>
      <c r="BA341" t="str">
        <f>konkurs2!$G$16</f>
        <v/>
      </c>
      <c r="BB341" t="str">
        <f>konkurs2!$O$16</f>
        <v/>
      </c>
      <c r="BC341" t="str">
        <f>konkurs2!$C$16</f>
        <v/>
      </c>
      <c r="BD341" t="str">
        <f>konkurs2!$AE$16</f>
        <v/>
      </c>
      <c r="BE341" t="str">
        <f>konkurs2!$AU$16</f>
        <v/>
      </c>
      <c r="BF341" t="str">
        <f>konkurs2!$AQ$16</f>
        <v/>
      </c>
      <c r="BG341" s="50" t="str">
        <f>konkurs2!$K$16</f>
        <v/>
      </c>
      <c r="BH341" s="50" t="str">
        <f>konkurs2!$W$16</f>
        <v/>
      </c>
      <c r="BI341" s="50" t="str">
        <f>konkurs2!$AA$16</f>
        <v/>
      </c>
      <c r="BJ341" s="50" t="str">
        <f>konkurs2!$AI$16</f>
        <v/>
      </c>
    </row>
    <row r="342" spans="50:62">
      <c r="AX342" s="49" t="s">
        <v>452</v>
      </c>
      <c r="AY342" t="str">
        <f>konkurs2!$S$16</f>
        <v/>
      </c>
      <c r="AZ342" t="str">
        <f>konkurs2!$AI$16</f>
        <v/>
      </c>
      <c r="BA342" t="str">
        <f>konkurs2!$G$16</f>
        <v/>
      </c>
      <c r="BB342" t="str">
        <f>konkurs2!$O$16</f>
        <v/>
      </c>
      <c r="BC342" t="str">
        <f>konkurs2!$C$16</f>
        <v/>
      </c>
      <c r="BD342" t="str">
        <f>konkurs2!$AE$16</f>
        <v/>
      </c>
      <c r="BE342" t="str">
        <f>konkurs2!$AU$16</f>
        <v/>
      </c>
      <c r="BF342" t="str">
        <f>konkurs2!$AQ$16</f>
        <v/>
      </c>
      <c r="BG342" s="50" t="str">
        <f>konkurs2!$K$16</f>
        <v/>
      </c>
      <c r="BH342" s="50" t="str">
        <f>konkurs2!$W$16</f>
        <v/>
      </c>
      <c r="BI342" s="50" t="str">
        <f>konkurs2!$AA$16</f>
        <v/>
      </c>
      <c r="BJ342" s="50" t="str">
        <f>konkurs2!$AM$16</f>
        <v/>
      </c>
    </row>
    <row r="343" spans="50:62">
      <c r="AX343" s="49" t="s">
        <v>453</v>
      </c>
      <c r="AY343" t="str">
        <f>konkurs2!$S$16</f>
        <v/>
      </c>
      <c r="AZ343" t="str">
        <f>konkurs2!$AM$16</f>
        <v/>
      </c>
      <c r="BA343" t="str">
        <f>konkurs2!$G$16</f>
        <v/>
      </c>
      <c r="BB343" t="str">
        <f>konkurs2!$O$16</f>
        <v/>
      </c>
      <c r="BC343" t="str">
        <f>konkurs2!$C$16</f>
        <v/>
      </c>
      <c r="BD343" t="str">
        <f>konkurs2!$AE$16</f>
        <v/>
      </c>
      <c r="BE343" t="str">
        <f>konkurs2!$AU$16</f>
        <v/>
      </c>
      <c r="BF343" t="str">
        <f>konkurs2!$AI$16</f>
        <v/>
      </c>
      <c r="BG343" s="50" t="str">
        <f>konkurs2!$K$16</f>
        <v/>
      </c>
      <c r="BH343" s="50" t="str">
        <f>konkurs2!$W$16</f>
        <v/>
      </c>
      <c r="BI343" s="50" t="str">
        <f>konkurs2!$AA$16</f>
        <v/>
      </c>
      <c r="BJ343" s="50" t="str">
        <f>konkurs2!$AQ$16</f>
        <v/>
      </c>
    </row>
    <row r="344" spans="50:62">
      <c r="AX344" s="49" t="s">
        <v>454</v>
      </c>
      <c r="AY344" t="str">
        <f>konkurs2!$S$16</f>
        <v/>
      </c>
      <c r="AZ344" t="str">
        <f>konkurs2!$AM$16</f>
        <v/>
      </c>
      <c r="BA344" t="str">
        <f>konkurs2!$G$16</f>
        <v/>
      </c>
      <c r="BB344" t="str">
        <f>konkurs2!$O$16</f>
        <v/>
      </c>
      <c r="BC344" t="str">
        <f>konkurs2!$C$16</f>
        <v/>
      </c>
      <c r="BD344" t="str">
        <f>konkurs2!$AE$16</f>
        <v/>
      </c>
      <c r="BE344" t="str">
        <f>konkurs2!$AI$16</f>
        <v/>
      </c>
      <c r="BF344" t="str">
        <f>konkurs2!$AQ$16</f>
        <v/>
      </c>
      <c r="BG344" s="50" t="str">
        <f>konkurs2!$K$16</f>
        <v/>
      </c>
      <c r="BH344" s="50" t="str">
        <f>konkurs2!$W$16</f>
        <v/>
      </c>
      <c r="BI344" s="50" t="str">
        <f>konkurs2!$AA$16</f>
        <v/>
      </c>
      <c r="BJ344" s="50" t="str">
        <f>konkurs2!$AU$16</f>
        <v/>
      </c>
    </row>
    <row r="345" spans="50:62">
      <c r="AX345" s="49" t="s">
        <v>455</v>
      </c>
      <c r="AY345" t="str">
        <f>konkurs2!$S$16</f>
        <v/>
      </c>
      <c r="AZ345" t="str">
        <f>konkurs2!$AM$16</f>
        <v/>
      </c>
      <c r="BA345" t="str">
        <f>konkurs2!$G$16</f>
        <v/>
      </c>
      <c r="BB345" t="str">
        <f>konkurs2!$O$16</f>
        <v/>
      </c>
      <c r="BC345" t="str">
        <f>konkurs2!$C$16</f>
        <v/>
      </c>
      <c r="BD345" t="str">
        <f>konkurs2!$AA$16</f>
        <v/>
      </c>
      <c r="BE345" t="str">
        <f>konkurs2!$AU$16</f>
        <v/>
      </c>
      <c r="BF345" t="str">
        <f>konkurs2!$AQ$16</f>
        <v/>
      </c>
      <c r="BG345" s="50" t="str">
        <f>konkurs2!$K$16</f>
        <v/>
      </c>
      <c r="BH345" s="50" t="str">
        <f>konkurs2!$W$16</f>
        <v/>
      </c>
      <c r="BI345" s="50" t="str">
        <f>konkurs2!$AE$16</f>
        <v/>
      </c>
      <c r="BJ345" s="50" t="str">
        <f>konkurs2!$AI$16</f>
        <v/>
      </c>
    </row>
    <row r="346" spans="50:62">
      <c r="AX346" s="49" t="s">
        <v>456</v>
      </c>
      <c r="AY346" t="str">
        <f>konkurs2!$S$16</f>
        <v/>
      </c>
      <c r="AZ346" t="str">
        <f>konkurs2!$AA$16</f>
        <v/>
      </c>
      <c r="BA346" t="str">
        <f>konkurs2!$G$16</f>
        <v/>
      </c>
      <c r="BB346" t="str">
        <f>konkurs2!$C$16</f>
        <v/>
      </c>
      <c r="BC346" t="str">
        <f>konkurs2!$AI$16</f>
        <v/>
      </c>
      <c r="BD346" t="str">
        <f>konkurs2!$O$16</f>
        <v/>
      </c>
      <c r="BE346" t="str">
        <f>konkurs2!$AU$16</f>
        <v/>
      </c>
      <c r="BF346" t="str">
        <f>konkurs2!$AQ$16</f>
        <v/>
      </c>
      <c r="BG346" s="50" t="str">
        <f>konkurs2!$K$16</f>
        <v/>
      </c>
      <c r="BH346" s="50" t="str">
        <f>konkurs2!$W$16</f>
        <v/>
      </c>
      <c r="BI346" s="50" t="str">
        <f>konkurs2!$AE$16</f>
        <v/>
      </c>
      <c r="BJ346" s="50" t="str">
        <f>konkurs2!$AM$16</f>
        <v/>
      </c>
    </row>
    <row r="347" spans="50:62">
      <c r="AX347" s="49" t="s">
        <v>457</v>
      </c>
      <c r="AY347" t="str">
        <f>konkurs2!$S$16</f>
        <v/>
      </c>
      <c r="AZ347" t="str">
        <f>konkurs2!$AM$16</f>
        <v/>
      </c>
      <c r="BA347" t="str">
        <f>konkurs2!$G$16</f>
        <v/>
      </c>
      <c r="BB347" t="str">
        <f>konkurs2!$O$16</f>
        <v/>
      </c>
      <c r="BC347" t="str">
        <f>konkurs2!$C$16</f>
        <v/>
      </c>
      <c r="BD347" t="str">
        <f>konkurs2!$AA$16</f>
        <v/>
      </c>
      <c r="BE347" t="str">
        <f>konkurs2!$AU$16</f>
        <v/>
      </c>
      <c r="BF347" t="str">
        <f>konkurs2!$AI$16</f>
        <v/>
      </c>
      <c r="BG347" s="50" t="str">
        <f>konkurs2!$K$16</f>
        <v/>
      </c>
      <c r="BH347" s="50" t="str">
        <f>konkurs2!$W$16</f>
        <v/>
      </c>
      <c r="BI347" s="50" t="str">
        <f>konkurs2!$AE$16</f>
        <v/>
      </c>
      <c r="BJ347" s="50" t="str">
        <f>konkurs2!$AQ$16</f>
        <v/>
      </c>
    </row>
    <row r="348" spans="50:62">
      <c r="AX348" s="49" t="s">
        <v>458</v>
      </c>
      <c r="AY348" t="str">
        <f>konkurs2!$S$16</f>
        <v/>
      </c>
      <c r="AZ348" t="str">
        <f>konkurs2!$AM$16</f>
        <v/>
      </c>
      <c r="BA348" t="str">
        <f>konkurs2!$G$16</f>
        <v/>
      </c>
      <c r="BB348" t="str">
        <f>konkurs2!$O$16</f>
        <v/>
      </c>
      <c r="BC348" t="str">
        <f>konkurs2!$C$16</f>
        <v/>
      </c>
      <c r="BD348" t="str">
        <f>konkurs2!$AA$16</f>
        <v/>
      </c>
      <c r="BE348" t="str">
        <f>konkurs2!$AI$16</f>
        <v/>
      </c>
      <c r="BF348" t="str">
        <f>konkurs2!$AQ$16</f>
        <v/>
      </c>
      <c r="BG348" s="50" t="str">
        <f>konkurs2!$K$16</f>
        <v/>
      </c>
      <c r="BH348" s="50" t="str">
        <f>konkurs2!$W$16</f>
        <v/>
      </c>
      <c r="BI348" s="50" t="str">
        <f>konkurs2!$AE$16</f>
        <v/>
      </c>
      <c r="BJ348" s="50" t="str">
        <f>konkurs2!$AU$16</f>
        <v/>
      </c>
    </row>
    <row r="349" spans="50:62">
      <c r="AX349" s="49" t="s">
        <v>459</v>
      </c>
      <c r="AY349" t="str">
        <f>konkurs2!$S$16</f>
        <v/>
      </c>
      <c r="AZ349" t="str">
        <f>konkurs2!$AA$16</f>
        <v/>
      </c>
      <c r="BA349" t="str">
        <f>konkurs2!$G$16</f>
        <v/>
      </c>
      <c r="BB349" t="str">
        <f>konkurs2!$O$16</f>
        <v/>
      </c>
      <c r="BC349" t="str">
        <f>konkurs2!$C$16</f>
        <v/>
      </c>
      <c r="BD349" t="str">
        <f>konkurs2!$AE$16</f>
        <v/>
      </c>
      <c r="BE349" t="str">
        <f>konkurs2!$AU$16</f>
        <v/>
      </c>
      <c r="BF349" t="str">
        <f>konkurs2!$AQ$16</f>
        <v/>
      </c>
      <c r="BG349" s="50" t="str">
        <f>konkurs2!$K$16</f>
        <v/>
      </c>
      <c r="BH349" s="50" t="str">
        <f>konkurs2!$W$16</f>
        <v/>
      </c>
      <c r="BI349" s="50" t="str">
        <f>konkurs2!$AI$16</f>
        <v/>
      </c>
      <c r="BJ349" s="50" t="str">
        <f>konkurs2!$AM$16</f>
        <v/>
      </c>
    </row>
    <row r="350" spans="50:62">
      <c r="AX350" s="49" t="s">
        <v>460</v>
      </c>
      <c r="AY350" t="str">
        <f>konkurs2!$AE$16</f>
        <v/>
      </c>
      <c r="AZ350" t="str">
        <f>konkurs2!$AM$16</f>
        <v/>
      </c>
      <c r="BA350" t="str">
        <f>konkurs2!$G$16</f>
        <v/>
      </c>
      <c r="BB350" t="str">
        <f>konkurs2!$O$16</f>
        <v/>
      </c>
      <c r="BC350" t="str">
        <f>konkurs2!$C$16</f>
        <v/>
      </c>
      <c r="BD350" t="str">
        <f>konkurs2!$AA$16</f>
        <v/>
      </c>
      <c r="BE350" t="str">
        <f>konkurs2!$AU$16</f>
        <v/>
      </c>
      <c r="BF350" t="str">
        <f>konkurs2!$S$16</f>
        <v/>
      </c>
      <c r="BG350" s="50" t="str">
        <f>konkurs2!$K$16</f>
        <v/>
      </c>
      <c r="BH350" s="50" t="str">
        <f>konkurs2!$W$16</f>
        <v/>
      </c>
      <c r="BI350" s="50" t="str">
        <f>konkurs2!$AI$16</f>
        <v/>
      </c>
      <c r="BJ350" s="50" t="str">
        <f>konkurs2!$AQ$16</f>
        <v/>
      </c>
    </row>
    <row r="351" spans="50:62">
      <c r="AX351" s="49" t="s">
        <v>461</v>
      </c>
      <c r="AY351" t="str">
        <f>konkurs2!$AE$16</f>
        <v/>
      </c>
      <c r="AZ351" t="str">
        <f>konkurs2!$AM$16</f>
        <v/>
      </c>
      <c r="BA351" t="str">
        <f>konkurs2!$G$16</f>
        <v/>
      </c>
      <c r="BB351" t="str">
        <f>konkurs2!$O$16</f>
        <v/>
      </c>
      <c r="BC351" t="str">
        <f>konkurs2!$C$16</f>
        <v/>
      </c>
      <c r="BD351" t="str">
        <f>konkurs2!$AA$16</f>
        <v/>
      </c>
      <c r="BE351" t="str">
        <f>konkurs2!$S$16</f>
        <v/>
      </c>
      <c r="BF351" t="str">
        <f>konkurs2!$AQ$16</f>
        <v/>
      </c>
      <c r="BG351" s="50" t="str">
        <f>konkurs2!$K$16</f>
        <v/>
      </c>
      <c r="BH351" s="50" t="str">
        <f>konkurs2!$W$16</f>
        <v/>
      </c>
      <c r="BI351" s="50" t="str">
        <f>konkurs2!$AI$16</f>
        <v/>
      </c>
      <c r="BJ351" s="50" t="str">
        <f>konkurs2!$AU$16</f>
        <v/>
      </c>
    </row>
    <row r="352" spans="50:62">
      <c r="AX352" s="49" t="s">
        <v>462</v>
      </c>
      <c r="AY352" t="str">
        <f>konkurs2!$S$16</f>
        <v/>
      </c>
      <c r="AZ352" t="str">
        <f>konkurs2!$AA$16</f>
        <v/>
      </c>
      <c r="BA352" t="str">
        <f>konkurs2!$G$16</f>
        <v/>
      </c>
      <c r="BB352" t="str">
        <f>konkurs2!$O$16</f>
        <v/>
      </c>
      <c r="BC352" t="str">
        <f>konkurs2!$C$16</f>
        <v/>
      </c>
      <c r="BD352" t="str">
        <f>konkurs2!$AE$16</f>
        <v/>
      </c>
      <c r="BE352" t="str">
        <f>konkurs2!$AU$16</f>
        <v/>
      </c>
      <c r="BF352" t="str">
        <f>konkurs2!$AI$16</f>
        <v/>
      </c>
      <c r="BG352" s="50" t="str">
        <f>konkurs2!$K$16</f>
        <v/>
      </c>
      <c r="BH352" s="50" t="str">
        <f>konkurs2!$W$16</f>
        <v/>
      </c>
      <c r="BI352" s="50" t="str">
        <f>konkurs2!$AM$16</f>
        <v/>
      </c>
      <c r="BJ352" s="50" t="str">
        <f>konkurs2!$AQ$16</f>
        <v/>
      </c>
    </row>
    <row r="353" spans="50:62">
      <c r="AX353" s="49" t="s">
        <v>463</v>
      </c>
      <c r="AY353" t="str">
        <f>konkurs2!$S$16</f>
        <v/>
      </c>
      <c r="AZ353" t="str">
        <f>konkurs2!$AA$16</f>
        <v/>
      </c>
      <c r="BA353" t="str">
        <f>konkurs2!$G$16</f>
        <v/>
      </c>
      <c r="BB353" t="str">
        <f>konkurs2!$O$16</f>
        <v/>
      </c>
      <c r="BC353" t="str">
        <f>konkurs2!$C$16</f>
        <v/>
      </c>
      <c r="BD353" t="str">
        <f>konkurs2!$AE$16</f>
        <v/>
      </c>
      <c r="BE353" t="str">
        <f>konkurs2!$AI$16</f>
        <v/>
      </c>
      <c r="BF353" t="str">
        <f>konkurs2!$AQ$16</f>
        <v/>
      </c>
      <c r="BG353" s="50" t="str">
        <f>konkurs2!$K$16</f>
        <v/>
      </c>
      <c r="BH353" s="50" t="str">
        <f>konkurs2!$W$16</f>
        <v/>
      </c>
      <c r="BI353" s="50" t="str">
        <f>konkurs2!$AM$16</f>
        <v/>
      </c>
      <c r="BJ353" s="50" t="str">
        <f>konkurs2!$AU$16</f>
        <v/>
      </c>
    </row>
    <row r="354" spans="50:62">
      <c r="AX354" s="49" t="s">
        <v>464</v>
      </c>
      <c r="AY354" t="str">
        <f>konkurs2!$AE$16</f>
        <v/>
      </c>
      <c r="AZ354" t="str">
        <f>konkurs2!$AM$16</f>
        <v/>
      </c>
      <c r="BA354" t="str">
        <f>konkurs2!$G$16</f>
        <v/>
      </c>
      <c r="BB354" t="str">
        <f>konkurs2!$O$16</f>
        <v/>
      </c>
      <c r="BC354" t="str">
        <f>konkurs2!$C$16</f>
        <v/>
      </c>
      <c r="BD354" t="str">
        <f>konkurs2!$AA$16</f>
        <v/>
      </c>
      <c r="BE354" t="str">
        <f>konkurs2!$S$16</f>
        <v/>
      </c>
      <c r="BF354" t="str">
        <f>konkurs2!$AI$16</f>
        <v/>
      </c>
      <c r="BG354" s="50" t="str">
        <f>konkurs2!$K$16</f>
        <v/>
      </c>
      <c r="BH354" s="50" t="str">
        <f>konkurs2!$W$16</f>
        <v/>
      </c>
      <c r="BI354" s="50" t="str">
        <f>konkurs2!$AQ$16</f>
        <v/>
      </c>
      <c r="BJ354" s="50" t="str">
        <f>konkurs2!$AU$16</f>
        <v/>
      </c>
    </row>
    <row r="355" spans="50:62">
      <c r="AX355" s="49" t="s">
        <v>465</v>
      </c>
      <c r="AY355" t="str">
        <f>konkurs2!$S$16</f>
        <v/>
      </c>
      <c r="AZ355" t="str">
        <f>konkurs2!$AM$16</f>
        <v/>
      </c>
      <c r="BA355" t="str">
        <f>konkurs2!$G$16</f>
        <v/>
      </c>
      <c r="BB355" t="str">
        <f>konkurs2!$O$16</f>
        <v/>
      </c>
      <c r="BC355" t="str">
        <f>konkurs2!$C$16</f>
        <v/>
      </c>
      <c r="BD355" t="str">
        <f>konkurs2!$W$16</f>
        <v/>
      </c>
      <c r="BE355" t="str">
        <f>konkurs2!$AU$16</f>
        <v/>
      </c>
      <c r="BF355" t="str">
        <f>konkurs2!$AQ$16</f>
        <v/>
      </c>
      <c r="BG355" s="50" t="str">
        <f>konkurs2!$K$16</f>
        <v/>
      </c>
      <c r="BH355" s="50" t="str">
        <f>konkurs2!$AA$16</f>
        <v/>
      </c>
      <c r="BI355" s="50" t="str">
        <f>konkurs2!$AE$16</f>
        <v/>
      </c>
      <c r="BJ355" s="50" t="str">
        <f>konkurs2!$AI$16</f>
        <v/>
      </c>
    </row>
    <row r="356" spans="50:62">
      <c r="AX356" s="49" t="s">
        <v>466</v>
      </c>
      <c r="AY356" t="str">
        <f>konkurs2!$S$16</f>
        <v/>
      </c>
      <c r="AZ356" t="str">
        <f>konkurs2!$AI$16</f>
        <v/>
      </c>
      <c r="BA356" t="str">
        <f>konkurs2!$G$16</f>
        <v/>
      </c>
      <c r="BB356" t="str">
        <f>konkurs2!$O$16</f>
        <v/>
      </c>
      <c r="BC356" t="str">
        <f>konkurs2!$C$16</f>
        <v/>
      </c>
      <c r="BD356" t="str">
        <f>konkurs2!$W$16</f>
        <v/>
      </c>
      <c r="BE356" t="str">
        <f>konkurs2!$AU$16</f>
        <v/>
      </c>
      <c r="BF356" t="str">
        <f>konkurs2!$AQ$16</f>
        <v/>
      </c>
      <c r="BG356" s="50" t="str">
        <f>konkurs2!$K$16</f>
        <v/>
      </c>
      <c r="BH356" s="50" t="str">
        <f>konkurs2!$AA$16</f>
        <v/>
      </c>
      <c r="BI356" s="50" t="str">
        <f>konkurs2!$AE$16</f>
        <v/>
      </c>
      <c r="BJ356" s="50" t="str">
        <f>konkurs2!$AM$16</f>
        <v/>
      </c>
    </row>
    <row r="357" spans="50:62">
      <c r="AX357" s="49" t="s">
        <v>467</v>
      </c>
      <c r="AY357" t="str">
        <f>konkurs2!$S$16</f>
        <v/>
      </c>
      <c r="AZ357" t="str">
        <f>konkurs2!$AM$16</f>
        <v/>
      </c>
      <c r="BA357" t="str">
        <f>konkurs2!$G$16</f>
        <v/>
      </c>
      <c r="BB357" t="str">
        <f>konkurs2!$O$16</f>
        <v/>
      </c>
      <c r="BC357" t="str">
        <f>konkurs2!$C$16</f>
        <v/>
      </c>
      <c r="BD357" t="str">
        <f>konkurs2!$W$16</f>
        <v/>
      </c>
      <c r="BE357" t="str">
        <f>konkurs2!$AU$16</f>
        <v/>
      </c>
      <c r="BF357" t="str">
        <f>konkurs2!$AI$16</f>
        <v/>
      </c>
      <c r="BG357" s="50" t="str">
        <f>konkurs2!$K$16</f>
        <v/>
      </c>
      <c r="BH357" s="50" t="str">
        <f>konkurs2!$AA$16</f>
        <v/>
      </c>
      <c r="BI357" s="50" t="str">
        <f>konkurs2!$AE$16</f>
        <v/>
      </c>
      <c r="BJ357" s="50" t="str">
        <f>konkurs2!$AQ$16</f>
        <v/>
      </c>
    </row>
    <row r="358" spans="50:62">
      <c r="AX358" s="49" t="s">
        <v>468</v>
      </c>
      <c r="AY358" t="str">
        <f>konkurs2!$S$16</f>
        <v/>
      </c>
      <c r="AZ358" t="str">
        <f>konkurs2!$AM$16</f>
        <v/>
      </c>
      <c r="BA358" t="str">
        <f>konkurs2!$G$16</f>
        <v/>
      </c>
      <c r="BB358" t="str">
        <f>konkurs2!$O$16</f>
        <v/>
      </c>
      <c r="BC358" t="str">
        <f>konkurs2!$C$16</f>
        <v/>
      </c>
      <c r="BD358" t="str">
        <f>konkurs2!$W$16</f>
        <v/>
      </c>
      <c r="BE358" t="str">
        <f>konkurs2!$AI$16</f>
        <v/>
      </c>
      <c r="BF358" t="str">
        <f>konkurs2!$AQ$16</f>
        <v/>
      </c>
      <c r="BG358" s="50" t="str">
        <f>konkurs2!$K$16</f>
        <v/>
      </c>
      <c r="BH358" s="50" t="str">
        <f>konkurs2!$AA$16</f>
        <v/>
      </c>
      <c r="BI358" s="50" t="str">
        <f>konkurs2!$AE$16</f>
        <v/>
      </c>
      <c r="BJ358" s="50" t="str">
        <f>konkurs2!$AU$16</f>
        <v/>
      </c>
    </row>
    <row r="359" spans="50:62">
      <c r="AX359" s="49" t="s">
        <v>469</v>
      </c>
      <c r="AY359" t="str">
        <f>konkurs2!$AE$16</f>
        <v/>
      </c>
      <c r="AZ359" t="str">
        <f>konkurs2!$S$16</f>
        <v/>
      </c>
      <c r="BA359" t="str">
        <f>konkurs2!$G$16</f>
        <v/>
      </c>
      <c r="BB359" t="str">
        <f>konkurs2!$O$16</f>
        <v/>
      </c>
      <c r="BC359" t="str">
        <f>konkurs2!$C$16</f>
        <v/>
      </c>
      <c r="BD359" t="str">
        <f>konkurs2!$W$16</f>
        <v/>
      </c>
      <c r="BE359" t="str">
        <f>konkurs2!$AU$16</f>
        <v/>
      </c>
      <c r="BF359" t="str">
        <f>konkurs2!$AQ$16</f>
        <v/>
      </c>
      <c r="BG359" s="50" t="str">
        <f>konkurs2!$K$16</f>
        <v/>
      </c>
      <c r="BH359" s="50" t="str">
        <f>konkurs2!$AA$16</f>
        <v/>
      </c>
      <c r="BI359" s="50" t="str">
        <f>konkurs2!$AI$16</f>
        <v/>
      </c>
      <c r="BJ359" s="50" t="str">
        <f>konkurs2!$AM$16</f>
        <v/>
      </c>
    </row>
    <row r="360" spans="50:62">
      <c r="AX360" s="49" t="s">
        <v>470</v>
      </c>
      <c r="AY360" t="str">
        <f>konkurs2!$AE$16</f>
        <v/>
      </c>
      <c r="AZ360" t="str">
        <f>konkurs2!$AM$16</f>
        <v/>
      </c>
      <c r="BA360" t="str">
        <f>konkurs2!$G$16</f>
        <v/>
      </c>
      <c r="BB360" t="str">
        <f>konkurs2!$O$16</f>
        <v/>
      </c>
      <c r="BC360" t="str">
        <f>konkurs2!$C$16</f>
        <v/>
      </c>
      <c r="BD360" t="str">
        <f>konkurs2!$W$16</f>
        <v/>
      </c>
      <c r="BE360" t="str">
        <f>konkurs2!$AU$16</f>
        <v/>
      </c>
      <c r="BF360" t="str">
        <f>konkurs2!$S$16</f>
        <v/>
      </c>
      <c r="BG360" s="50" t="str">
        <f>konkurs2!$K$16</f>
        <v/>
      </c>
      <c r="BH360" s="50" t="str">
        <f>konkurs2!$AA$16</f>
        <v/>
      </c>
      <c r="BI360" s="50" t="str">
        <f>konkurs2!$AI$16</f>
        <v/>
      </c>
      <c r="BJ360" s="50" t="str">
        <f>konkurs2!$AQ$16</f>
        <v/>
      </c>
    </row>
    <row r="361" spans="50:62">
      <c r="AX361" s="49" t="s">
        <v>471</v>
      </c>
      <c r="AY361" t="str">
        <f>konkurs2!$AE$16</f>
        <v/>
      </c>
      <c r="AZ361" t="str">
        <f>konkurs2!$AM$16</f>
        <v/>
      </c>
      <c r="BA361" t="str">
        <f>konkurs2!$G$16</f>
        <v/>
      </c>
      <c r="BB361" t="str">
        <f>konkurs2!$O$16</f>
        <v/>
      </c>
      <c r="BC361" t="str">
        <f>konkurs2!$C$16</f>
        <v/>
      </c>
      <c r="BD361" t="str">
        <f>konkurs2!$W$16</f>
        <v/>
      </c>
      <c r="BE361" t="str">
        <f>konkurs2!$S$16</f>
        <v/>
      </c>
      <c r="BF361" t="str">
        <f>konkurs2!$AQ$16</f>
        <v/>
      </c>
      <c r="BG361" s="50" t="str">
        <f>konkurs2!$K$16</f>
        <v/>
      </c>
      <c r="BH361" s="50" t="str">
        <f>konkurs2!$AA$16</f>
        <v/>
      </c>
      <c r="BI361" s="50" t="str">
        <f>konkurs2!$AI$16</f>
        <v/>
      </c>
      <c r="BJ361" s="50" t="str">
        <f>konkurs2!$AU$16</f>
        <v/>
      </c>
    </row>
    <row r="362" spans="50:62">
      <c r="AX362" s="49" t="s">
        <v>472</v>
      </c>
      <c r="AY362" t="str">
        <f>konkurs2!$AE$16</f>
        <v/>
      </c>
      <c r="AZ362" t="str">
        <f>konkurs2!$S$16</f>
        <v/>
      </c>
      <c r="BA362" t="str">
        <f>konkurs2!$G$16</f>
        <v/>
      </c>
      <c r="BB362" t="str">
        <f>konkurs2!$O$16</f>
        <v/>
      </c>
      <c r="BC362" t="str">
        <f>konkurs2!$C$16</f>
        <v/>
      </c>
      <c r="BD362" t="str">
        <f>konkurs2!$W$16</f>
        <v/>
      </c>
      <c r="BE362" t="str">
        <f>konkurs2!$AU$16</f>
        <v/>
      </c>
      <c r="BF362" t="str">
        <f>konkurs2!$AI$16</f>
        <v/>
      </c>
      <c r="BG362" s="50" t="str">
        <f>konkurs2!$K$16</f>
        <v/>
      </c>
      <c r="BH362" s="50" t="str">
        <f>konkurs2!$AA$16</f>
        <v/>
      </c>
      <c r="BI362" s="50" t="str">
        <f>konkurs2!$AM$16</f>
        <v/>
      </c>
      <c r="BJ362" s="50" t="str">
        <f>konkurs2!$AQ$16</f>
        <v/>
      </c>
    </row>
    <row r="363" spans="50:62">
      <c r="AX363" s="49" t="s">
        <v>473</v>
      </c>
      <c r="AY363" t="str">
        <f>konkurs2!$AE$16</f>
        <v/>
      </c>
      <c r="AZ363" t="str">
        <f>konkurs2!$S$16</f>
        <v/>
      </c>
      <c r="BA363" t="str">
        <f>konkurs2!$G$16</f>
        <v/>
      </c>
      <c r="BB363" t="str">
        <f>konkurs2!$O$16</f>
        <v/>
      </c>
      <c r="BC363" t="str">
        <f>konkurs2!$C$16</f>
        <v/>
      </c>
      <c r="BD363" t="str">
        <f>konkurs2!$W$16</f>
        <v/>
      </c>
      <c r="BE363" t="str">
        <f>konkurs2!$AI$16</f>
        <v/>
      </c>
      <c r="BF363" t="str">
        <f>konkurs2!$AQ$16</f>
        <v/>
      </c>
      <c r="BG363" s="50" t="str">
        <f>konkurs2!$K$16</f>
        <v/>
      </c>
      <c r="BH363" s="50" t="str">
        <f>konkurs2!$AA$16</f>
        <v/>
      </c>
      <c r="BI363" s="50" t="str">
        <f>konkurs2!$AM$16</f>
        <v/>
      </c>
      <c r="BJ363" s="50" t="str">
        <f>konkurs2!$AU$16</f>
        <v/>
      </c>
    </row>
    <row r="364" spans="50:62">
      <c r="AX364" s="49" t="s">
        <v>474</v>
      </c>
      <c r="AY364" t="str">
        <f>konkurs2!$AE$16</f>
        <v/>
      </c>
      <c r="AZ364" t="str">
        <f>konkurs2!$AM$16</f>
        <v/>
      </c>
      <c r="BA364" t="str">
        <f>konkurs2!$G$16</f>
        <v/>
      </c>
      <c r="BB364" t="str">
        <f>konkurs2!$O$16</f>
        <v/>
      </c>
      <c r="BC364" t="str">
        <f>konkurs2!$C$16</f>
        <v/>
      </c>
      <c r="BD364" t="str">
        <f>konkurs2!$W$16</f>
        <v/>
      </c>
      <c r="BE364" t="str">
        <f>konkurs2!$S$16</f>
        <v/>
      </c>
      <c r="BF364" t="str">
        <f>konkurs2!$AI$16</f>
        <v/>
      </c>
      <c r="BG364" s="50" t="str">
        <f>konkurs2!$K$16</f>
        <v/>
      </c>
      <c r="BH364" s="50" t="str">
        <f>konkurs2!$AA$16</f>
        <v/>
      </c>
      <c r="BI364" s="50" t="str">
        <f>konkurs2!$AQ$16</f>
        <v/>
      </c>
      <c r="BJ364" s="50" t="str">
        <f>konkurs2!$AU$16</f>
        <v/>
      </c>
    </row>
    <row r="365" spans="50:62">
      <c r="AX365" s="49" t="s">
        <v>475</v>
      </c>
      <c r="AY365" t="str">
        <f>konkurs2!$S$16</f>
        <v/>
      </c>
      <c r="AZ365" t="str">
        <f>konkurs2!$AA$16</f>
        <v/>
      </c>
      <c r="BA365" t="str">
        <f>konkurs2!$G$16</f>
        <v/>
      </c>
      <c r="BB365" t="str">
        <f>konkurs2!$O$16</f>
        <v/>
      </c>
      <c r="BC365" t="str">
        <f>konkurs2!$C$16</f>
        <v/>
      </c>
      <c r="BD365" t="str">
        <f>konkurs2!$W$16</f>
        <v/>
      </c>
      <c r="BE365" t="str">
        <f>konkurs2!$AU$16</f>
        <v/>
      </c>
      <c r="BF365" t="str">
        <f>konkurs2!$AQ$16</f>
        <v/>
      </c>
      <c r="BG365" s="50" t="str">
        <f>konkurs2!$K$16</f>
        <v/>
      </c>
      <c r="BH365" s="50" t="str">
        <f>konkurs2!$AE$16</f>
        <v/>
      </c>
      <c r="BI365" s="50" t="str">
        <f>konkurs2!$AI$16</f>
        <v/>
      </c>
      <c r="BJ365" s="50" t="str">
        <f>konkurs2!$AM$16</f>
        <v/>
      </c>
    </row>
    <row r="366" spans="50:62">
      <c r="AX366" s="49" t="s">
        <v>476</v>
      </c>
      <c r="AY366" t="str">
        <f>konkurs2!$S$16</f>
        <v/>
      </c>
      <c r="AZ366" t="str">
        <f>konkurs2!$AA$16</f>
        <v/>
      </c>
      <c r="BA366" t="str">
        <f>konkurs2!$G$16</f>
        <v/>
      </c>
      <c r="BB366" t="str">
        <f>konkurs2!$O$16</f>
        <v/>
      </c>
      <c r="BC366" t="str">
        <f>konkurs2!$C$16</f>
        <v/>
      </c>
      <c r="BD366" t="str">
        <f>konkurs2!$W$16</f>
        <v/>
      </c>
      <c r="BE366" t="str">
        <f>konkurs2!$AU$16</f>
        <v/>
      </c>
      <c r="BF366" t="str">
        <f>konkurs2!$AM$16</f>
        <v/>
      </c>
      <c r="BG366" s="50" t="str">
        <f>konkurs2!$K$16</f>
        <v/>
      </c>
      <c r="BH366" s="50" t="str">
        <f>konkurs2!$AE$16</f>
        <v/>
      </c>
      <c r="BI366" s="50" t="str">
        <f>konkurs2!$AI$16</f>
        <v/>
      </c>
      <c r="BJ366" s="50" t="str">
        <f>konkurs2!$AQ$16</f>
        <v/>
      </c>
    </row>
    <row r="367" spans="50:62">
      <c r="AX367" s="49" t="s">
        <v>477</v>
      </c>
      <c r="AY367" t="str">
        <f>konkurs2!$S$16</f>
        <v/>
      </c>
      <c r="AZ367" t="str">
        <f>konkurs2!$AA$16</f>
        <v/>
      </c>
      <c r="BA367" t="str">
        <f>konkurs2!$G$16</f>
        <v/>
      </c>
      <c r="BB367" t="str">
        <f>konkurs2!$O$16</f>
        <v/>
      </c>
      <c r="BC367" t="str">
        <f>konkurs2!$C$16</f>
        <v/>
      </c>
      <c r="BD367" t="str">
        <f>konkurs2!$W$16</f>
        <v/>
      </c>
      <c r="BE367" t="str">
        <f>konkurs2!$AM$16</f>
        <v/>
      </c>
      <c r="BF367" t="str">
        <f>konkurs2!$AQ$16</f>
        <v/>
      </c>
      <c r="BG367" s="50" t="str">
        <f>konkurs2!$K$16</f>
        <v/>
      </c>
      <c r="BH367" s="50" t="str">
        <f>konkurs2!$AE$16</f>
        <v/>
      </c>
      <c r="BI367" s="50" t="str">
        <f>konkurs2!$AI$16</f>
        <v/>
      </c>
      <c r="BJ367" s="50" t="str">
        <f>konkurs2!$AU$16</f>
        <v/>
      </c>
    </row>
    <row r="368" spans="50:62">
      <c r="AX368" s="49" t="s">
        <v>478</v>
      </c>
      <c r="AY368" t="str">
        <f>konkurs2!$S$16</f>
        <v/>
      </c>
      <c r="AZ368" t="str">
        <f>konkurs2!$AA$16</f>
        <v/>
      </c>
      <c r="BA368" t="str">
        <f>konkurs2!$G$16</f>
        <v/>
      </c>
      <c r="BB368" t="str">
        <f>konkurs2!$O$16</f>
        <v/>
      </c>
      <c r="BC368" t="str">
        <f>konkurs2!$C$16</f>
        <v/>
      </c>
      <c r="BD368" t="str">
        <f>konkurs2!$W$16</f>
        <v/>
      </c>
      <c r="BE368" t="str">
        <f>konkurs2!$AU$16</f>
        <v/>
      </c>
      <c r="BF368" t="str">
        <f>konkurs2!$AI$16</f>
        <v/>
      </c>
      <c r="BG368" s="50" t="str">
        <f>konkurs2!$K$16</f>
        <v/>
      </c>
      <c r="BH368" s="50" t="str">
        <f>konkurs2!$AE$16</f>
        <v/>
      </c>
      <c r="BI368" s="50" t="str">
        <f>konkurs2!$AM$16</f>
        <v/>
      </c>
      <c r="BJ368" s="50" t="str">
        <f>konkurs2!$AQ$16</f>
        <v/>
      </c>
    </row>
    <row r="369" spans="50:62">
      <c r="AX369" s="49" t="s">
        <v>479</v>
      </c>
      <c r="AY369" t="str">
        <f>konkurs2!$S$16</f>
        <v/>
      </c>
      <c r="AZ369" t="str">
        <f>konkurs2!$AA$16</f>
        <v/>
      </c>
      <c r="BA369" t="str">
        <f>konkurs2!$G$16</f>
        <v/>
      </c>
      <c r="BB369" t="str">
        <f>konkurs2!$O$16</f>
        <v/>
      </c>
      <c r="BC369" t="str">
        <f>konkurs2!$C$16</f>
        <v/>
      </c>
      <c r="BD369" t="str">
        <f>konkurs2!$W$16</f>
        <v/>
      </c>
      <c r="BE369" t="str">
        <f>konkurs2!$AI$16</f>
        <v/>
      </c>
      <c r="BF369" t="str">
        <f>konkurs2!$AQ$16</f>
        <v/>
      </c>
      <c r="BG369" s="50" t="str">
        <f>konkurs2!$K$16</f>
        <v/>
      </c>
      <c r="BH369" s="50" t="str">
        <f>konkurs2!$AE$16</f>
        <v/>
      </c>
      <c r="BI369" s="50" t="str">
        <f>konkurs2!$AM$16</f>
        <v/>
      </c>
      <c r="BJ369" s="50" t="str">
        <f>konkurs2!$AU$16</f>
        <v/>
      </c>
    </row>
    <row r="370" spans="50:62">
      <c r="AX370" s="49" t="s">
        <v>480</v>
      </c>
      <c r="AY370" t="str">
        <f>konkurs2!$S$16</f>
        <v/>
      </c>
      <c r="AZ370" t="str">
        <f>konkurs2!$AA$16</f>
        <v/>
      </c>
      <c r="BA370" t="str">
        <f>konkurs2!$G$16</f>
        <v/>
      </c>
      <c r="BB370" t="str">
        <f>konkurs2!$O$16</f>
        <v/>
      </c>
      <c r="BC370" t="str">
        <f>konkurs2!$C$16</f>
        <v/>
      </c>
      <c r="BD370" t="str">
        <f>konkurs2!$W$16</f>
        <v/>
      </c>
      <c r="BE370" t="str">
        <f>konkurs2!$AI$16</f>
        <v/>
      </c>
      <c r="BF370" t="str">
        <f>konkurs2!$AM$16</f>
        <v/>
      </c>
      <c r="BG370" s="50" t="str">
        <f>konkurs2!$K$16</f>
        <v/>
      </c>
      <c r="BH370" s="50" t="str">
        <f>konkurs2!$AE$16</f>
        <v/>
      </c>
      <c r="BI370" s="50" t="str">
        <f>konkurs2!$AQ$16</f>
        <v/>
      </c>
      <c r="BJ370" s="50" t="str">
        <f>konkurs2!$AU$16</f>
        <v/>
      </c>
    </row>
    <row r="371" spans="50:62">
      <c r="AX371" s="49" t="s">
        <v>481</v>
      </c>
      <c r="AY371" t="str">
        <f>konkurs2!$AE$16</f>
        <v/>
      </c>
      <c r="AZ371" t="str">
        <f>konkurs2!$AA$16</f>
        <v/>
      </c>
      <c r="BA371" t="str">
        <f>konkurs2!$G$16</f>
        <v/>
      </c>
      <c r="BB371" t="str">
        <f>konkurs2!$O$16</f>
        <v/>
      </c>
      <c r="BC371" t="str">
        <f>konkurs2!$C$16</f>
        <v/>
      </c>
      <c r="BD371" t="str">
        <f>konkurs2!$W$16</f>
        <v/>
      </c>
      <c r="BE371" t="str">
        <f>konkurs2!$AU$16</f>
        <v/>
      </c>
      <c r="BF371" t="str">
        <f>konkurs2!$S$16</f>
        <v/>
      </c>
      <c r="BG371" s="50" t="str">
        <f>konkurs2!$K$16</f>
        <v/>
      </c>
      <c r="BH371" s="50" t="str">
        <f>konkurs2!$AI$16</f>
        <v/>
      </c>
      <c r="BI371" s="50" t="str">
        <f>konkurs2!$AM$16</f>
        <v/>
      </c>
      <c r="BJ371" s="50" t="str">
        <f>konkurs2!$AQ$16</f>
        <v/>
      </c>
    </row>
    <row r="372" spans="50:62">
      <c r="AX372" s="49" t="s">
        <v>482</v>
      </c>
      <c r="AY372" t="str">
        <f>konkurs2!$AE$16</f>
        <v/>
      </c>
      <c r="AZ372" t="str">
        <f>konkurs2!$AA$16</f>
        <v/>
      </c>
      <c r="BA372" t="str">
        <f>konkurs2!$G$16</f>
        <v/>
      </c>
      <c r="BB372" t="str">
        <f>konkurs2!$O$16</f>
        <v/>
      </c>
      <c r="BC372" t="str">
        <f>konkurs2!$C$16</f>
        <v/>
      </c>
      <c r="BD372" t="str">
        <f>konkurs2!$W$16</f>
        <v/>
      </c>
      <c r="BE372" t="str">
        <f>konkurs2!$S$16</f>
        <v/>
      </c>
      <c r="BF372" t="str">
        <f>konkurs2!$AQ$16</f>
        <v/>
      </c>
      <c r="BG372" s="50" t="str">
        <f>konkurs2!$K$16</f>
        <v/>
      </c>
      <c r="BH372" s="50" t="str">
        <f>konkurs2!$AI$16</f>
        <v/>
      </c>
      <c r="BI372" s="50" t="str">
        <f>konkurs2!$AM$16</f>
        <v/>
      </c>
      <c r="BJ372" s="50" t="str">
        <f>konkurs2!$AU$16</f>
        <v/>
      </c>
    </row>
    <row r="373" spans="50:62">
      <c r="AX373" s="49" t="s">
        <v>483</v>
      </c>
      <c r="AY373" t="str">
        <f>konkurs2!$AE$16</f>
        <v/>
      </c>
      <c r="AZ373" t="str">
        <f>konkurs2!$AA$16</f>
        <v/>
      </c>
      <c r="BA373" t="str">
        <f>konkurs2!$G$16</f>
        <v/>
      </c>
      <c r="BB373" t="str">
        <f>konkurs2!$O$16</f>
        <v/>
      </c>
      <c r="BC373" t="str">
        <f>konkurs2!$C$16</f>
        <v/>
      </c>
      <c r="BD373" t="str">
        <f>konkurs2!$W$16</f>
        <v/>
      </c>
      <c r="BE373" t="str">
        <f>konkurs2!$S$16</f>
        <v/>
      </c>
      <c r="BF373" t="str">
        <f>konkurs2!$AM$16</f>
        <v/>
      </c>
      <c r="BG373" s="50" t="str">
        <f>konkurs2!$K$16</f>
        <v/>
      </c>
      <c r="BH373" s="50" t="str">
        <f>konkurs2!$AI$16</f>
        <v/>
      </c>
      <c r="BI373" s="50" t="str">
        <f>konkurs2!$AQ$16</f>
        <v/>
      </c>
      <c r="BJ373" s="50" t="str">
        <f>konkurs2!$AU$16</f>
        <v/>
      </c>
    </row>
    <row r="374" spans="50:62">
      <c r="AX374" s="49" t="s">
        <v>484</v>
      </c>
      <c r="AY374" t="str">
        <f>konkurs2!$AE$16</f>
        <v/>
      </c>
      <c r="AZ374" t="str">
        <f>konkurs2!$AA$16</f>
        <v/>
      </c>
      <c r="BA374" t="str">
        <f>konkurs2!$G$16</f>
        <v/>
      </c>
      <c r="BB374" t="str">
        <f>konkurs2!$O$16</f>
        <v/>
      </c>
      <c r="BC374" t="str">
        <f>konkurs2!$C$16</f>
        <v/>
      </c>
      <c r="BD374" t="str">
        <f>konkurs2!$W$16</f>
        <v/>
      </c>
      <c r="BE374" t="str">
        <f>konkurs2!$S$16</f>
        <v/>
      </c>
      <c r="BF374" t="str">
        <f>konkurs2!$AI$16</f>
        <v/>
      </c>
      <c r="BG374" s="50" t="str">
        <f>konkurs2!$K$16</f>
        <v/>
      </c>
      <c r="BH374" s="50" t="str">
        <f>konkurs2!$AM$16</f>
        <v/>
      </c>
      <c r="BI374" s="50" t="str">
        <f>konkurs2!$AQ$16</f>
        <v/>
      </c>
      <c r="BJ374" s="50" t="str">
        <f>konkurs2!$AU$16</f>
        <v/>
      </c>
    </row>
    <row r="375" spans="50:62">
      <c r="AX375" s="49" t="s">
        <v>485</v>
      </c>
      <c r="AY375" t="str">
        <f>konkurs2!$AI$16</f>
        <v/>
      </c>
      <c r="AZ375" t="str">
        <f>konkurs2!$AM$16</f>
        <v/>
      </c>
      <c r="BA375" t="str">
        <f>konkurs2!$G$16</f>
        <v/>
      </c>
      <c r="BB375" t="str">
        <f>konkurs2!$K$16</f>
        <v/>
      </c>
      <c r="BC375" t="str">
        <f>konkurs2!$C$16</f>
        <v/>
      </c>
      <c r="BD375" t="str">
        <f>konkurs2!$AE$16</f>
        <v/>
      </c>
      <c r="BE375" t="str">
        <f>konkurs2!$AU$16</f>
        <v/>
      </c>
      <c r="BF375" t="str">
        <f>konkurs2!$AQ$16</f>
        <v/>
      </c>
      <c r="BG375" s="50" t="str">
        <f>konkurs2!$O$16</f>
        <v/>
      </c>
      <c r="BH375" s="50" t="str">
        <f>konkurs2!$S$16</f>
        <v/>
      </c>
      <c r="BI375" s="50" t="str">
        <f>konkurs2!$W$16</f>
        <v/>
      </c>
      <c r="BJ375" s="50" t="str">
        <f>konkurs2!$AA$16</f>
        <v/>
      </c>
    </row>
    <row r="376" spans="50:62">
      <c r="AX376" s="49" t="s">
        <v>486</v>
      </c>
      <c r="AY376" t="str">
        <f>konkurs2!$AI$16</f>
        <v/>
      </c>
      <c r="AZ376" t="str">
        <f>konkurs2!$AM$16</f>
        <v/>
      </c>
      <c r="BA376" t="str">
        <f>konkurs2!$G$16</f>
        <v/>
      </c>
      <c r="BB376" t="str">
        <f>konkurs2!$K$16</f>
        <v/>
      </c>
      <c r="BC376" t="str">
        <f>konkurs2!$C$16</f>
        <v/>
      </c>
      <c r="BD376" t="str">
        <f>konkurs2!$AA$16</f>
        <v/>
      </c>
      <c r="BE376" t="str">
        <f>konkurs2!$AU$16</f>
        <v/>
      </c>
      <c r="BF376" t="str">
        <f>konkurs2!$AQ$16</f>
        <v/>
      </c>
      <c r="BG376" s="50" t="str">
        <f>konkurs2!$O$16</f>
        <v/>
      </c>
      <c r="BH376" s="50" t="str">
        <f>konkurs2!$S$16</f>
        <v/>
      </c>
      <c r="BI376" s="50" t="str">
        <f>konkurs2!$W$16</f>
        <v/>
      </c>
      <c r="BJ376" s="50" t="str">
        <f>konkurs2!$AE$16</f>
        <v/>
      </c>
    </row>
    <row r="377" spans="50:62">
      <c r="AX377" s="49" t="s">
        <v>487</v>
      </c>
      <c r="AY377" t="str">
        <f>konkurs2!$AE$16</f>
        <v/>
      </c>
      <c r="AZ377" t="str">
        <f>konkurs2!$AM$16</f>
        <v/>
      </c>
      <c r="BA377" t="str">
        <f>konkurs2!$G$16</f>
        <v/>
      </c>
      <c r="BB377" t="str">
        <f>konkurs2!$K$16</f>
        <v/>
      </c>
      <c r="BC377" t="str">
        <f>konkurs2!$C$16</f>
        <v/>
      </c>
      <c r="BD377" t="str">
        <f>konkurs2!$AA$16</f>
        <v/>
      </c>
      <c r="BE377" t="str">
        <f>konkurs2!$AU$16</f>
        <v/>
      </c>
      <c r="BF377" t="str">
        <f>konkurs2!$AQ$16</f>
        <v/>
      </c>
      <c r="BG377" s="50" t="str">
        <f>konkurs2!$O$16</f>
        <v/>
      </c>
      <c r="BH377" s="50" t="str">
        <f>konkurs2!$S$16</f>
        <v/>
      </c>
      <c r="BI377" s="50" t="str">
        <f>konkurs2!$W$16</f>
        <v/>
      </c>
      <c r="BJ377" s="50" t="str">
        <f>konkurs2!$AI$16</f>
        <v/>
      </c>
    </row>
    <row r="378" spans="50:62">
      <c r="AX378" s="49" t="s">
        <v>488</v>
      </c>
      <c r="AY378" t="str">
        <f>konkurs2!$AI$16</f>
        <v/>
      </c>
      <c r="AZ378" t="str">
        <f>konkurs2!$AA$16</f>
        <v/>
      </c>
      <c r="BA378" t="str">
        <f>konkurs2!$G$16</f>
        <v/>
      </c>
      <c r="BB378" t="str">
        <f>konkurs2!$K$16</f>
        <v/>
      </c>
      <c r="BC378" t="str">
        <f>konkurs2!$C$16</f>
        <v/>
      </c>
      <c r="BD378" t="str">
        <f>konkurs2!$AE$16</f>
        <v/>
      </c>
      <c r="BE378" t="str">
        <f>konkurs2!$AU$16</f>
        <v/>
      </c>
      <c r="BF378" t="str">
        <f>konkurs2!$AQ$16</f>
        <v/>
      </c>
      <c r="BG378" s="50" t="str">
        <f>konkurs2!$O$16</f>
        <v/>
      </c>
      <c r="BH378" s="50" t="str">
        <f>konkurs2!$S$16</f>
        <v/>
      </c>
      <c r="BI378" s="50" t="str">
        <f>konkurs2!$W$16</f>
        <v/>
      </c>
      <c r="BJ378" s="50" t="str">
        <f>konkurs2!$AM$16</f>
        <v/>
      </c>
    </row>
    <row r="379" spans="50:62">
      <c r="AX379" s="49" t="s">
        <v>489</v>
      </c>
      <c r="AY379" t="str">
        <f>konkurs2!$AE$16</f>
        <v/>
      </c>
      <c r="AZ379" t="str">
        <f>konkurs2!$AM$16</f>
        <v/>
      </c>
      <c r="BA379" t="str">
        <f>konkurs2!$G$16</f>
        <v/>
      </c>
      <c r="BB379" t="str">
        <f>konkurs2!$K$16</f>
        <v/>
      </c>
      <c r="BC379" t="str">
        <f>konkurs2!$C$16</f>
        <v/>
      </c>
      <c r="BD379" t="str">
        <f>konkurs2!$AA$16</f>
        <v/>
      </c>
      <c r="BE379" t="str">
        <f>konkurs2!$AU$16</f>
        <v/>
      </c>
      <c r="BF379" t="str">
        <f>konkurs2!$AI$16</f>
        <v/>
      </c>
      <c r="BG379" s="50" t="str">
        <f>konkurs2!$O$16</f>
        <v/>
      </c>
      <c r="BH379" s="50" t="str">
        <f>konkurs2!$S$16</f>
        <v/>
      </c>
      <c r="BI379" s="50" t="str">
        <f>konkurs2!$W$16</f>
        <v/>
      </c>
      <c r="BJ379" s="50" t="str">
        <f>konkurs2!$AQ$16</f>
        <v/>
      </c>
    </row>
    <row r="380" spans="50:62">
      <c r="AX380" s="49" t="s">
        <v>490</v>
      </c>
      <c r="AY380" t="str">
        <f>konkurs2!$AE$16</f>
        <v/>
      </c>
      <c r="AZ380" t="str">
        <f>konkurs2!$AM$16</f>
        <v/>
      </c>
      <c r="BA380" t="str">
        <f>konkurs2!$G$16</f>
        <v/>
      </c>
      <c r="BB380" t="str">
        <f>konkurs2!$K$16</f>
        <v/>
      </c>
      <c r="BC380" t="str">
        <f>konkurs2!$C$16</f>
        <v/>
      </c>
      <c r="BD380" t="str">
        <f>konkurs2!$AA$16</f>
        <v/>
      </c>
      <c r="BE380" t="str">
        <f>konkurs2!$AI$16</f>
        <v/>
      </c>
      <c r="BF380" t="str">
        <f>konkurs2!$AQ$16</f>
        <v/>
      </c>
      <c r="BG380" s="50" t="str">
        <f>konkurs2!$O$16</f>
        <v/>
      </c>
      <c r="BH380" s="50" t="str">
        <f>konkurs2!$S$16</f>
        <v/>
      </c>
      <c r="BI380" s="50" t="str">
        <f>konkurs2!$W$16</f>
        <v/>
      </c>
      <c r="BJ380" s="50" t="str">
        <f>konkurs2!$AU$16</f>
        <v/>
      </c>
    </row>
    <row r="381" spans="50:62">
      <c r="AX381" s="49" t="s">
        <v>491</v>
      </c>
      <c r="AY381" t="str">
        <f>konkurs2!$AI$16</f>
        <v/>
      </c>
      <c r="AZ381" t="str">
        <f>konkurs2!$AM$16</f>
        <v/>
      </c>
      <c r="BA381" t="str">
        <f>konkurs2!$G$16</f>
        <v/>
      </c>
      <c r="BB381" t="str">
        <f>konkurs2!$K$16</f>
        <v/>
      </c>
      <c r="BC381" t="str">
        <f>konkurs2!$C$16</f>
        <v/>
      </c>
      <c r="BD381" t="str">
        <f>konkurs2!$W$16</f>
        <v/>
      </c>
      <c r="BE381" t="str">
        <f>konkurs2!$AU$16</f>
        <v/>
      </c>
      <c r="BF381" t="str">
        <f>konkurs2!$AQ$16</f>
        <v/>
      </c>
      <c r="BG381" s="50" t="str">
        <f>konkurs2!$O$16</f>
        <v/>
      </c>
      <c r="BH381" s="50" t="str">
        <f>konkurs2!$S$16</f>
        <v/>
      </c>
      <c r="BI381" s="50" t="str">
        <f>konkurs2!$AA$16</f>
        <v/>
      </c>
      <c r="BJ381" s="50" t="str">
        <f>konkurs2!$AE$16</f>
        <v/>
      </c>
    </row>
    <row r="382" spans="50:62">
      <c r="AX382" s="49" t="s">
        <v>492</v>
      </c>
      <c r="AY382" t="str">
        <f>konkurs2!$AE$16</f>
        <v/>
      </c>
      <c r="AZ382" t="str">
        <f>konkurs2!$AM$16</f>
        <v/>
      </c>
      <c r="BA382" t="str">
        <f>konkurs2!$G$16</f>
        <v/>
      </c>
      <c r="BB382" t="str">
        <f>konkurs2!$K$16</f>
        <v/>
      </c>
      <c r="BC382" t="str">
        <f>konkurs2!$C$16</f>
        <v/>
      </c>
      <c r="BD382" t="str">
        <f>konkurs2!$W$16</f>
        <v/>
      </c>
      <c r="BE382" t="str">
        <f>konkurs2!$AU$16</f>
        <v/>
      </c>
      <c r="BF382" t="str">
        <f>konkurs2!$AQ$16</f>
        <v/>
      </c>
      <c r="BG382" s="50" t="str">
        <f>konkurs2!$O$16</f>
        <v/>
      </c>
      <c r="BH382" s="50" t="str">
        <f>konkurs2!$S$16</f>
        <v/>
      </c>
      <c r="BI382" s="50" t="str">
        <f>konkurs2!$AA$16</f>
        <v/>
      </c>
      <c r="BJ382" s="50" t="str">
        <f>konkurs2!$AI$16</f>
        <v/>
      </c>
    </row>
    <row r="383" spans="50:62">
      <c r="AX383" s="49" t="s">
        <v>493</v>
      </c>
      <c r="AY383" t="str">
        <f>konkurs2!$AE$16</f>
        <v/>
      </c>
      <c r="AZ383" t="str">
        <f>konkurs2!$AI$16</f>
        <v/>
      </c>
      <c r="BA383" t="str">
        <f>konkurs2!$G$16</f>
        <v/>
      </c>
      <c r="BB383" t="str">
        <f>konkurs2!$K$16</f>
        <v/>
      </c>
      <c r="BC383" t="str">
        <f>konkurs2!$C$16</f>
        <v/>
      </c>
      <c r="BD383" t="str">
        <f>konkurs2!$W$16</f>
        <v/>
      </c>
      <c r="BE383" t="str">
        <f>konkurs2!$AU$16</f>
        <v/>
      </c>
      <c r="BF383" t="str">
        <f>konkurs2!$AQ$16</f>
        <v/>
      </c>
      <c r="BG383" s="50" t="str">
        <f>konkurs2!$O$16</f>
        <v/>
      </c>
      <c r="BH383" s="50" t="str">
        <f>konkurs2!$S$16</f>
        <v/>
      </c>
      <c r="BI383" s="50" t="str">
        <f>konkurs2!$AA$16</f>
        <v/>
      </c>
      <c r="BJ383" s="50" t="str">
        <f>konkurs2!$AM$16</f>
        <v/>
      </c>
    </row>
    <row r="384" spans="50:62">
      <c r="AX384" s="49" t="s">
        <v>494</v>
      </c>
      <c r="AY384" t="str">
        <f>konkurs2!$AE$16</f>
        <v/>
      </c>
      <c r="AZ384" t="str">
        <f>konkurs2!$AM$16</f>
        <v/>
      </c>
      <c r="BA384" t="str">
        <f>konkurs2!$G$16</f>
        <v/>
      </c>
      <c r="BB384" t="str">
        <f>konkurs2!$K$16</f>
        <v/>
      </c>
      <c r="BC384" t="str">
        <f>konkurs2!$C$16</f>
        <v/>
      </c>
      <c r="BD384" t="str">
        <f>konkurs2!$W$16</f>
        <v/>
      </c>
      <c r="BE384" t="str">
        <f>konkurs2!$AU$16</f>
        <v/>
      </c>
      <c r="BF384" t="str">
        <f>konkurs2!$AI$16</f>
        <v/>
      </c>
      <c r="BG384" s="50" t="str">
        <f>konkurs2!$O$16</f>
        <v/>
      </c>
      <c r="BH384" s="50" t="str">
        <f>konkurs2!$S$16</f>
        <v/>
      </c>
      <c r="BI384" s="50" t="str">
        <f>konkurs2!$AA$16</f>
        <v/>
      </c>
      <c r="BJ384" s="50" t="str">
        <f>konkurs2!$AQ$16</f>
        <v/>
      </c>
    </row>
    <row r="385" spans="50:62">
      <c r="AX385" s="49" t="s">
        <v>495</v>
      </c>
      <c r="AY385" t="str">
        <f>konkurs2!$AE$16</f>
        <v/>
      </c>
      <c r="AZ385" t="str">
        <f>konkurs2!$AM$16</f>
        <v/>
      </c>
      <c r="BA385" t="str">
        <f>konkurs2!$G$16</f>
        <v/>
      </c>
      <c r="BB385" t="str">
        <f>konkurs2!$K$16</f>
        <v/>
      </c>
      <c r="BC385" t="str">
        <f>konkurs2!$C$16</f>
        <v/>
      </c>
      <c r="BD385" t="str">
        <f>konkurs2!$W$16</f>
        <v/>
      </c>
      <c r="BE385" t="str">
        <f>konkurs2!$AI$16</f>
        <v/>
      </c>
      <c r="BF385" t="str">
        <f>konkurs2!$AQ$16</f>
        <v/>
      </c>
      <c r="BG385" s="50" t="str">
        <f>konkurs2!$O$16</f>
        <v/>
      </c>
      <c r="BH385" s="50" t="str">
        <f>konkurs2!$S$16</f>
        <v/>
      </c>
      <c r="BI385" s="50" t="str">
        <f>konkurs2!$AA$16</f>
        <v/>
      </c>
      <c r="BJ385" s="50" t="str">
        <f>konkurs2!$AU$16</f>
        <v/>
      </c>
    </row>
    <row r="386" spans="50:62">
      <c r="AX386" s="49" t="s">
        <v>496</v>
      </c>
      <c r="AY386" t="str">
        <f>konkurs2!$K$16</f>
        <v/>
      </c>
      <c r="AZ386" t="str">
        <f>konkurs2!$AM$16</f>
        <v/>
      </c>
      <c r="BA386" t="str">
        <f>konkurs2!$G$16</f>
        <v/>
      </c>
      <c r="BB386" t="str">
        <f>konkurs2!$W$16</f>
        <v/>
      </c>
      <c r="BC386" t="str">
        <f>konkurs2!$C$16</f>
        <v/>
      </c>
      <c r="BD386" t="str">
        <f>konkurs2!$AA$16</f>
        <v/>
      </c>
      <c r="BE386" t="str">
        <f>konkurs2!$AU$16</f>
        <v/>
      </c>
      <c r="BF386" t="str">
        <f>konkurs2!$AQ$16</f>
        <v/>
      </c>
      <c r="BG386" s="50" t="str">
        <f>konkurs2!$O$16</f>
        <v/>
      </c>
      <c r="BH386" s="50" t="str">
        <f>konkurs2!$S$16</f>
        <v/>
      </c>
      <c r="BI386" s="50" t="str">
        <f>konkurs2!$AE$16</f>
        <v/>
      </c>
      <c r="BJ386" s="50" t="str">
        <f>konkurs2!$AI$16</f>
        <v/>
      </c>
    </row>
    <row r="387" spans="50:62">
      <c r="AX387" s="49" t="s">
        <v>497</v>
      </c>
      <c r="AY387" t="str">
        <f>konkurs2!$AI$16</f>
        <v/>
      </c>
      <c r="AZ387" t="str">
        <f>konkurs2!$AA$16</f>
        <v/>
      </c>
      <c r="BA387" t="str">
        <f>konkurs2!$G$16</f>
        <v/>
      </c>
      <c r="BB387" t="str">
        <f>konkurs2!$K$16</f>
        <v/>
      </c>
      <c r="BC387" t="str">
        <f>konkurs2!$C$16</f>
        <v/>
      </c>
      <c r="BD387" t="str">
        <f>konkurs2!$W$16</f>
        <v/>
      </c>
      <c r="BE387" t="str">
        <f>konkurs2!$AU$16</f>
        <v/>
      </c>
      <c r="BF387" t="str">
        <f>konkurs2!$AQ$16</f>
        <v/>
      </c>
      <c r="BG387" s="50" t="str">
        <f>konkurs2!$O$16</f>
        <v/>
      </c>
      <c r="BH387" s="50" t="str">
        <f>konkurs2!$S$16</f>
        <v/>
      </c>
      <c r="BI387" s="50" t="str">
        <f>konkurs2!$AE$16</f>
        <v/>
      </c>
      <c r="BJ387" s="50" t="str">
        <f>konkurs2!$AM$16</f>
        <v/>
      </c>
    </row>
    <row r="388" spans="50:62">
      <c r="AX388" s="49" t="s">
        <v>498</v>
      </c>
      <c r="AY388" t="str">
        <f>konkurs2!$K$16</f>
        <v/>
      </c>
      <c r="AZ388" t="str">
        <f>konkurs2!$AM$16</f>
        <v/>
      </c>
      <c r="BA388" t="str">
        <f>konkurs2!$G$16</f>
        <v/>
      </c>
      <c r="BB388" t="str">
        <f>konkurs2!$W$16</f>
        <v/>
      </c>
      <c r="BC388" t="str">
        <f>konkurs2!$C$16</f>
        <v/>
      </c>
      <c r="BD388" t="str">
        <f>konkurs2!$AA$16</f>
        <v/>
      </c>
      <c r="BE388" t="str">
        <f>konkurs2!$AU$16</f>
        <v/>
      </c>
      <c r="BF388" t="str">
        <f>konkurs2!$AI$16</f>
        <v/>
      </c>
      <c r="BG388" s="50" t="str">
        <f>konkurs2!$O$16</f>
        <v/>
      </c>
      <c r="BH388" s="50" t="str">
        <f>konkurs2!$S$16</f>
        <v/>
      </c>
      <c r="BI388" s="50" t="str">
        <f>konkurs2!$AE$16</f>
        <v/>
      </c>
      <c r="BJ388" s="50" t="str">
        <f>konkurs2!$AQ$16</f>
        <v/>
      </c>
    </row>
    <row r="389" spans="50:62">
      <c r="AX389" s="49" t="s">
        <v>499</v>
      </c>
      <c r="AY389" t="str">
        <f>konkurs2!$K$16</f>
        <v/>
      </c>
      <c r="AZ389" t="str">
        <f>konkurs2!$AM$16</f>
        <v/>
      </c>
      <c r="BA389" t="str">
        <f>konkurs2!$G$16</f>
        <v/>
      </c>
      <c r="BB389" t="str">
        <f>konkurs2!$W$16</f>
        <v/>
      </c>
      <c r="BC389" t="str">
        <f>konkurs2!$C$16</f>
        <v/>
      </c>
      <c r="BD389" t="str">
        <f>konkurs2!$AA$16</f>
        <v/>
      </c>
      <c r="BE389" t="str">
        <f>konkurs2!$AI$16</f>
        <v/>
      </c>
      <c r="BF389" t="str">
        <f>konkurs2!$AQ$16</f>
        <v/>
      </c>
      <c r="BG389" s="50" t="str">
        <f>konkurs2!$O$16</f>
        <v/>
      </c>
      <c r="BH389" s="50" t="str">
        <f>konkurs2!$S$16</f>
        <v/>
      </c>
      <c r="BI389" s="50" t="str">
        <f>konkurs2!$AE$16</f>
        <v/>
      </c>
      <c r="BJ389" s="50" t="str">
        <f>konkurs2!$AU$16</f>
        <v/>
      </c>
    </row>
    <row r="390" spans="50:62">
      <c r="AX390" s="49" t="s">
        <v>500</v>
      </c>
      <c r="AY390" t="str">
        <f>konkurs2!$AE$16</f>
        <v/>
      </c>
      <c r="AZ390" t="str">
        <f>konkurs2!$AA$16</f>
        <v/>
      </c>
      <c r="BA390" t="str">
        <f>konkurs2!$G$16</f>
        <v/>
      </c>
      <c r="BB390" t="str">
        <f>konkurs2!$K$16</f>
        <v/>
      </c>
      <c r="BC390" t="str">
        <f>konkurs2!$C$16</f>
        <v/>
      </c>
      <c r="BD390" t="str">
        <f>konkurs2!$W$16</f>
        <v/>
      </c>
      <c r="BE390" t="str">
        <f>konkurs2!$AU$16</f>
        <v/>
      </c>
      <c r="BF390" t="str">
        <f>konkurs2!$AQ$16</f>
        <v/>
      </c>
      <c r="BG390" s="50" t="str">
        <f>konkurs2!$O$16</f>
        <v/>
      </c>
      <c r="BH390" s="50" t="str">
        <f>konkurs2!$S$16</f>
        <v/>
      </c>
      <c r="BI390" s="50" t="str">
        <f>konkurs2!$AI$16</f>
        <v/>
      </c>
      <c r="BJ390" s="50" t="str">
        <f>konkurs2!$AM$16</f>
        <v/>
      </c>
    </row>
    <row r="391" spans="50:62">
      <c r="AX391" s="49" t="s">
        <v>501</v>
      </c>
      <c r="AY391" t="str">
        <f>konkurs2!$AE$16</f>
        <v/>
      </c>
      <c r="AZ391" t="str">
        <f>konkurs2!$AA$16</f>
        <v/>
      </c>
      <c r="BA391" t="str">
        <f>konkurs2!$G$16</f>
        <v/>
      </c>
      <c r="BB391" t="str">
        <f>konkurs2!$K$16</f>
        <v/>
      </c>
      <c r="BC391" t="str">
        <f>konkurs2!$C$16</f>
        <v/>
      </c>
      <c r="BD391" t="str">
        <f>konkurs2!$W$16</f>
        <v/>
      </c>
      <c r="BE391" t="str">
        <f>konkurs2!$AU$16</f>
        <v/>
      </c>
      <c r="BF391" t="str">
        <f>konkurs2!$AM$16</f>
        <v/>
      </c>
      <c r="BG391" s="50" t="str">
        <f>konkurs2!$O$16</f>
        <v/>
      </c>
      <c r="BH391" s="50" t="str">
        <f>konkurs2!$S$16</f>
        <v/>
      </c>
      <c r="BI391" s="50" t="str">
        <f>konkurs2!$AI$16</f>
        <v/>
      </c>
      <c r="BJ391" s="50" t="str">
        <f>konkurs2!$AQ$16</f>
        <v/>
      </c>
    </row>
    <row r="392" spans="50:62">
      <c r="AX392" s="49" t="s">
        <v>502</v>
      </c>
      <c r="AY392" t="str">
        <f>konkurs2!$AE$16</f>
        <v/>
      </c>
      <c r="AZ392" t="str">
        <f>konkurs2!$AA$16</f>
        <v/>
      </c>
      <c r="BA392" t="str">
        <f>konkurs2!$G$16</f>
        <v/>
      </c>
      <c r="BB392" t="str">
        <f>konkurs2!$K$16</f>
        <v/>
      </c>
      <c r="BC392" t="str">
        <f>konkurs2!$C$16</f>
        <v/>
      </c>
      <c r="BD392" t="str">
        <f>konkurs2!$W$16</f>
        <v/>
      </c>
      <c r="BE392" t="str">
        <f>konkurs2!$AM$16</f>
        <v/>
      </c>
      <c r="BF392" t="str">
        <f>konkurs2!$AQ$16</f>
        <v/>
      </c>
      <c r="BG392" s="50" t="str">
        <f>konkurs2!$O$16</f>
        <v/>
      </c>
      <c r="BH392" s="50" t="str">
        <f>konkurs2!$S$16</f>
        <v/>
      </c>
      <c r="BI392" s="50" t="str">
        <f>konkurs2!$AI$16</f>
        <v/>
      </c>
      <c r="BJ392" s="50" t="str">
        <f>konkurs2!$AU$16</f>
        <v/>
      </c>
    </row>
    <row r="393" spans="50:62">
      <c r="AX393" s="49" t="s">
        <v>503</v>
      </c>
      <c r="AY393" t="str">
        <f>konkurs2!$AE$16</f>
        <v/>
      </c>
      <c r="AZ393" t="str">
        <f>konkurs2!$AA$16</f>
        <v/>
      </c>
      <c r="BA393" t="str">
        <f>konkurs2!$G$16</f>
        <v/>
      </c>
      <c r="BB393" t="str">
        <f>konkurs2!$K$16</f>
        <v/>
      </c>
      <c r="BC393" t="str">
        <f>konkurs2!$C$16</f>
        <v/>
      </c>
      <c r="BD393" t="str">
        <f>konkurs2!$W$16</f>
        <v/>
      </c>
      <c r="BE393" t="str">
        <f>konkurs2!$AU$16</f>
        <v/>
      </c>
      <c r="BF393" t="str">
        <f>konkurs2!$AI$16</f>
        <v/>
      </c>
      <c r="BG393" s="50" t="str">
        <f>konkurs2!$O$16</f>
        <v/>
      </c>
      <c r="BH393" s="50" t="str">
        <f>konkurs2!$S$16</f>
        <v/>
      </c>
      <c r="BI393" s="50" t="str">
        <f>konkurs2!$AM$16</f>
        <v/>
      </c>
      <c r="BJ393" s="50" t="str">
        <f>konkurs2!$AQ$16</f>
        <v/>
      </c>
    </row>
    <row r="394" spans="50:62">
      <c r="AX394" s="49" t="s">
        <v>504</v>
      </c>
      <c r="AY394" t="str">
        <f>konkurs2!$AE$16</f>
        <v/>
      </c>
      <c r="AZ394" t="str">
        <f>konkurs2!$AA$16</f>
        <v/>
      </c>
      <c r="BA394" t="str">
        <f>konkurs2!$G$16</f>
        <v/>
      </c>
      <c r="BB394" t="str">
        <f>konkurs2!$K$16</f>
        <v/>
      </c>
      <c r="BC394" t="str">
        <f>konkurs2!$C$16</f>
        <v/>
      </c>
      <c r="BD394" t="str">
        <f>konkurs2!$W$16</f>
        <v/>
      </c>
      <c r="BE394" t="str">
        <f>konkurs2!$AI$16</f>
        <v/>
      </c>
      <c r="BF394" t="str">
        <f>konkurs2!$AQ$16</f>
        <v/>
      </c>
      <c r="BG394" s="50" t="str">
        <f>konkurs2!$O$16</f>
        <v/>
      </c>
      <c r="BH394" s="50" t="str">
        <f>konkurs2!$S$16</f>
        <v/>
      </c>
      <c r="BI394" s="50" t="str">
        <f>konkurs2!$AM$16</f>
        <v/>
      </c>
      <c r="BJ394" s="50" t="str">
        <f>konkurs2!$AU$16</f>
        <v/>
      </c>
    </row>
    <row r="395" spans="50:62">
      <c r="AX395" s="49" t="s">
        <v>505</v>
      </c>
      <c r="AY395" t="str">
        <f>konkurs2!$AE$16</f>
        <v/>
      </c>
      <c r="AZ395" t="str">
        <f>konkurs2!$AA$16</f>
        <v/>
      </c>
      <c r="BA395" t="str">
        <f>konkurs2!$G$16</f>
        <v/>
      </c>
      <c r="BB395" t="str">
        <f>konkurs2!$K$16</f>
        <v/>
      </c>
      <c r="BC395" t="str">
        <f>konkurs2!$C$16</f>
        <v/>
      </c>
      <c r="BD395" t="str">
        <f>konkurs2!$W$16</f>
        <v/>
      </c>
      <c r="BE395" t="str">
        <f>konkurs2!$AI$16</f>
        <v/>
      </c>
      <c r="BF395" t="str">
        <f>konkurs2!$AM$16</f>
        <v/>
      </c>
      <c r="BG395" s="50" t="str">
        <f>konkurs2!$O$16</f>
        <v/>
      </c>
      <c r="BH395" s="50" t="str">
        <f>konkurs2!$S$16</f>
        <v/>
      </c>
      <c r="BI395" s="50" t="str">
        <f>konkurs2!$AQ$16</f>
        <v/>
      </c>
      <c r="BJ395" s="50" t="str">
        <f>konkurs2!$AU$16</f>
        <v/>
      </c>
    </row>
    <row r="396" spans="50:62">
      <c r="AX396" s="49" t="s">
        <v>506</v>
      </c>
      <c r="AY396" t="str">
        <f>konkurs2!$S$16</f>
        <v/>
      </c>
      <c r="AZ396" t="str">
        <f>konkurs2!$AM$16</f>
        <v/>
      </c>
      <c r="BA396" t="str">
        <f>konkurs2!$G$16</f>
        <v/>
      </c>
      <c r="BB396" t="str">
        <f>konkurs2!$C$16</f>
        <v/>
      </c>
      <c r="BC396" t="str">
        <f>konkurs2!$AI$16</f>
        <v/>
      </c>
      <c r="BD396" t="str">
        <f>konkurs2!$K$16</f>
        <v/>
      </c>
      <c r="BE396" t="str">
        <f>konkurs2!$AU$16</f>
        <v/>
      </c>
      <c r="BF396" t="str">
        <f>konkurs2!$AQ$16</f>
        <v/>
      </c>
      <c r="BG396" s="50" t="str">
        <f>konkurs2!$O$16</f>
        <v/>
      </c>
      <c r="BH396" s="50" t="str">
        <f>konkurs2!$W$16</f>
        <v/>
      </c>
      <c r="BI396" s="50" t="str">
        <f>konkurs2!$AA$16</f>
        <v/>
      </c>
      <c r="BJ396" s="50" t="str">
        <f>konkurs2!$AE$16</f>
        <v/>
      </c>
    </row>
    <row r="397" spans="50:62">
      <c r="AX397" s="49" t="s">
        <v>507</v>
      </c>
      <c r="AY397" t="str">
        <f>konkurs2!$S$16</f>
        <v/>
      </c>
      <c r="AZ397" t="str">
        <f>konkurs2!$AM$16</f>
        <v/>
      </c>
      <c r="BA397" t="str">
        <f>konkurs2!$G$16</f>
        <v/>
      </c>
      <c r="BB397" t="str">
        <f>konkurs2!$K$16</f>
        <v/>
      </c>
      <c r="BC397" t="str">
        <f>konkurs2!$C$16</f>
        <v/>
      </c>
      <c r="BD397" t="str">
        <f>konkurs2!$AE$16</f>
        <v/>
      </c>
      <c r="BE397" t="str">
        <f>konkurs2!$AU$16</f>
        <v/>
      </c>
      <c r="BF397" t="str">
        <f>konkurs2!$AQ$16</f>
        <v/>
      </c>
      <c r="BG397" s="50" t="str">
        <f>konkurs2!$O$16</f>
        <v/>
      </c>
      <c r="BH397" s="50" t="str">
        <f>konkurs2!$W$16</f>
        <v/>
      </c>
      <c r="BI397" s="50" t="str">
        <f>konkurs2!$AA$16</f>
        <v/>
      </c>
      <c r="BJ397" s="50" t="str">
        <f>konkurs2!$AI$16</f>
        <v/>
      </c>
    </row>
    <row r="398" spans="50:62">
      <c r="AX398" s="49" t="s">
        <v>508</v>
      </c>
      <c r="AY398" t="str">
        <f>konkurs2!$S$16</f>
        <v/>
      </c>
      <c r="AZ398" t="str">
        <f>konkurs2!$AI$16</f>
        <v/>
      </c>
      <c r="BA398" t="str">
        <f>konkurs2!$G$16</f>
        <v/>
      </c>
      <c r="BB398" t="str">
        <f>konkurs2!$K$16</f>
        <v/>
      </c>
      <c r="BC398" t="str">
        <f>konkurs2!$C$16</f>
        <v/>
      </c>
      <c r="BD398" t="str">
        <f>konkurs2!$AE$16</f>
        <v/>
      </c>
      <c r="BE398" t="str">
        <f>konkurs2!$AU$16</f>
        <v/>
      </c>
      <c r="BF398" t="str">
        <f>konkurs2!$AQ$16</f>
        <v/>
      </c>
      <c r="BG398" s="50" t="str">
        <f>konkurs2!$O$16</f>
        <v/>
      </c>
      <c r="BH398" s="50" t="str">
        <f>konkurs2!$W$16</f>
        <v/>
      </c>
      <c r="BI398" s="50" t="str">
        <f>konkurs2!$AA$16</f>
        <v/>
      </c>
      <c r="BJ398" s="50" t="str">
        <f>konkurs2!$AM$16</f>
        <v/>
      </c>
    </row>
    <row r="399" spans="50:62">
      <c r="AX399" s="49" t="s">
        <v>509</v>
      </c>
      <c r="AY399" t="str">
        <f>konkurs2!$S$16</f>
        <v/>
      </c>
      <c r="AZ399" t="str">
        <f>konkurs2!$AM$16</f>
        <v/>
      </c>
      <c r="BA399" t="str">
        <f>konkurs2!$G$16</f>
        <v/>
      </c>
      <c r="BB399" t="str">
        <f>konkurs2!$K$16</f>
        <v/>
      </c>
      <c r="BC399" t="str">
        <f>konkurs2!$C$16</f>
        <v/>
      </c>
      <c r="BD399" t="str">
        <f>konkurs2!$AE$16</f>
        <v/>
      </c>
      <c r="BE399" t="str">
        <f>konkurs2!$AU$16</f>
        <v/>
      </c>
      <c r="BF399" t="str">
        <f>konkurs2!$AI$16</f>
        <v/>
      </c>
      <c r="BG399" s="50" t="str">
        <f>konkurs2!$O$16</f>
        <v/>
      </c>
      <c r="BH399" s="50" t="str">
        <f>konkurs2!$W$16</f>
        <v/>
      </c>
      <c r="BI399" s="50" t="str">
        <f>konkurs2!$AA$16</f>
        <v/>
      </c>
      <c r="BJ399" s="50" t="str">
        <f>konkurs2!$AQ$16</f>
        <v/>
      </c>
    </row>
    <row r="400" spans="50:62">
      <c r="AX400" s="49" t="s">
        <v>510</v>
      </c>
      <c r="AY400" t="str">
        <f>konkurs2!$S$16</f>
        <v/>
      </c>
      <c r="AZ400" t="str">
        <f>konkurs2!$AM$16</f>
        <v/>
      </c>
      <c r="BA400" t="str">
        <f>konkurs2!$G$16</f>
        <v/>
      </c>
      <c r="BB400" t="str">
        <f>konkurs2!$K$16</f>
        <v/>
      </c>
      <c r="BC400" t="str">
        <f>konkurs2!$C$16</f>
        <v/>
      </c>
      <c r="BD400" t="str">
        <f>konkurs2!$AE$16</f>
        <v/>
      </c>
      <c r="BE400" t="str">
        <f>konkurs2!$AI$16</f>
        <v/>
      </c>
      <c r="BF400" t="str">
        <f>konkurs2!$AQ$16</f>
        <v/>
      </c>
      <c r="BG400" s="50" t="str">
        <f>konkurs2!$O$16</f>
        <v/>
      </c>
      <c r="BH400" s="50" t="str">
        <f>konkurs2!$W$16</f>
        <v/>
      </c>
      <c r="BI400" s="50" t="str">
        <f>konkurs2!$AA$16</f>
        <v/>
      </c>
      <c r="BJ400" s="50" t="str">
        <f>konkurs2!$AU$16</f>
        <v/>
      </c>
    </row>
    <row r="401" spans="50:62">
      <c r="AX401" s="49" t="s">
        <v>511</v>
      </c>
      <c r="AY401" t="str">
        <f>konkurs2!$S$16</f>
        <v/>
      </c>
      <c r="AZ401" t="str">
        <f>konkurs2!$AM$16</f>
        <v/>
      </c>
      <c r="BA401" t="str">
        <f>konkurs2!$G$16</f>
        <v/>
      </c>
      <c r="BB401" t="str">
        <f>konkurs2!$K$16</f>
        <v/>
      </c>
      <c r="BC401" t="str">
        <f>konkurs2!$C$16</f>
        <v/>
      </c>
      <c r="BD401" t="str">
        <f>konkurs2!$AA$16</f>
        <v/>
      </c>
      <c r="BE401" t="str">
        <f>konkurs2!$AU$16</f>
        <v/>
      </c>
      <c r="BF401" t="str">
        <f>konkurs2!$AQ$16</f>
        <v/>
      </c>
      <c r="BG401" s="50" t="str">
        <f>konkurs2!$O$16</f>
        <v/>
      </c>
      <c r="BH401" s="50" t="str">
        <f>konkurs2!$W$16</f>
        <v/>
      </c>
      <c r="BI401" s="50" t="str">
        <f>konkurs2!$AE$16</f>
        <v/>
      </c>
      <c r="BJ401" s="50" t="str">
        <f>konkurs2!$AI$16</f>
        <v/>
      </c>
    </row>
    <row r="402" spans="50:62">
      <c r="AX402" s="49" t="s">
        <v>512</v>
      </c>
      <c r="AY402" t="str">
        <f>konkurs2!$S$16</f>
        <v/>
      </c>
      <c r="AZ402" t="str">
        <f>konkurs2!$AA$16</f>
        <v/>
      </c>
      <c r="BA402" t="str">
        <f>konkurs2!$G$16</f>
        <v/>
      </c>
      <c r="BB402" t="str">
        <f>konkurs2!$C$16</f>
        <v/>
      </c>
      <c r="BC402" t="str">
        <f>konkurs2!$AI$16</f>
        <v/>
      </c>
      <c r="BD402" t="str">
        <f>konkurs2!$K$16</f>
        <v/>
      </c>
      <c r="BE402" t="str">
        <f>konkurs2!$AU$16</f>
        <v/>
      </c>
      <c r="BF402" t="str">
        <f>konkurs2!$AQ$16</f>
        <v/>
      </c>
      <c r="BG402" s="50" t="str">
        <f>konkurs2!$O$16</f>
        <v/>
      </c>
      <c r="BH402" s="50" t="str">
        <f>konkurs2!$W$16</f>
        <v/>
      </c>
      <c r="BI402" s="50" t="str">
        <f>konkurs2!$AE$16</f>
        <v/>
      </c>
      <c r="BJ402" s="50" t="str">
        <f>konkurs2!$AM$16</f>
        <v/>
      </c>
    </row>
    <row r="403" spans="50:62">
      <c r="AX403" s="49" t="s">
        <v>513</v>
      </c>
      <c r="AY403" t="str">
        <f>konkurs2!$S$16</f>
        <v/>
      </c>
      <c r="AZ403" t="str">
        <f>konkurs2!$AM$16</f>
        <v/>
      </c>
      <c r="BA403" t="str">
        <f>konkurs2!$G$16</f>
        <v/>
      </c>
      <c r="BB403" t="str">
        <f>konkurs2!$K$16</f>
        <v/>
      </c>
      <c r="BC403" t="str">
        <f>konkurs2!$C$16</f>
        <v/>
      </c>
      <c r="BD403" t="str">
        <f>konkurs2!$AA$16</f>
        <v/>
      </c>
      <c r="BE403" t="str">
        <f>konkurs2!$AU$16</f>
        <v/>
      </c>
      <c r="BF403" t="str">
        <f>konkurs2!$AI$16</f>
        <v/>
      </c>
      <c r="BG403" s="50" t="str">
        <f>konkurs2!$O$16</f>
        <v/>
      </c>
      <c r="BH403" s="50" t="str">
        <f>konkurs2!$W$16</f>
        <v/>
      </c>
      <c r="BI403" s="50" t="str">
        <f>konkurs2!$AE$16</f>
        <v/>
      </c>
      <c r="BJ403" s="50" t="str">
        <f>konkurs2!$AQ$16</f>
        <v/>
      </c>
    </row>
    <row r="404" spans="50:62">
      <c r="AX404" s="49" t="s">
        <v>514</v>
      </c>
      <c r="AY404" t="str">
        <f>konkurs2!$S$16</f>
        <v/>
      </c>
      <c r="AZ404" t="str">
        <f>konkurs2!$AM$16</f>
        <v/>
      </c>
      <c r="BA404" t="str">
        <f>konkurs2!$G$16</f>
        <v/>
      </c>
      <c r="BB404" t="str">
        <f>konkurs2!$K$16</f>
        <v/>
      </c>
      <c r="BC404" t="str">
        <f>konkurs2!$C$16</f>
        <v/>
      </c>
      <c r="BD404" t="str">
        <f>konkurs2!$AA$16</f>
        <v/>
      </c>
      <c r="BE404" t="str">
        <f>konkurs2!$AI$16</f>
        <v/>
      </c>
      <c r="BF404" t="str">
        <f>konkurs2!$AQ$16</f>
        <v/>
      </c>
      <c r="BG404" s="50" t="str">
        <f>konkurs2!$O$16</f>
        <v/>
      </c>
      <c r="BH404" s="50" t="str">
        <f>konkurs2!$W$16</f>
        <v/>
      </c>
      <c r="BI404" s="50" t="str">
        <f>konkurs2!$AE$16</f>
        <v/>
      </c>
      <c r="BJ404" s="50" t="str">
        <f>konkurs2!$AU$16</f>
        <v/>
      </c>
    </row>
    <row r="405" spans="50:62">
      <c r="AX405" s="49" t="s">
        <v>515</v>
      </c>
      <c r="AY405" t="str">
        <f>konkurs2!$S$16</f>
        <v/>
      </c>
      <c r="AZ405" t="str">
        <f>konkurs2!$AA$16</f>
        <v/>
      </c>
      <c r="BA405" t="str">
        <f>konkurs2!$G$16</f>
        <v/>
      </c>
      <c r="BB405" t="str">
        <f>konkurs2!$K$16</f>
        <v/>
      </c>
      <c r="BC405" t="str">
        <f>konkurs2!$C$16</f>
        <v/>
      </c>
      <c r="BD405" t="str">
        <f>konkurs2!$AE$16</f>
        <v/>
      </c>
      <c r="BE405" t="str">
        <f>konkurs2!$AU$16</f>
        <v/>
      </c>
      <c r="BF405" t="str">
        <f>konkurs2!$AQ$16</f>
        <v/>
      </c>
      <c r="BG405" s="50" t="str">
        <f>konkurs2!$O$16</f>
        <v/>
      </c>
      <c r="BH405" s="50" t="str">
        <f>konkurs2!$W$16</f>
        <v/>
      </c>
      <c r="BI405" s="50" t="str">
        <f>konkurs2!$AI$16</f>
        <v/>
      </c>
      <c r="BJ405" s="50" t="str">
        <f>konkurs2!$AM$16</f>
        <v/>
      </c>
    </row>
    <row r="406" spans="50:62">
      <c r="AX406" s="49" t="s">
        <v>516</v>
      </c>
      <c r="AY406" t="str">
        <f>konkurs2!$AE$16</f>
        <v/>
      </c>
      <c r="AZ406" t="str">
        <f>konkurs2!$AM$16</f>
        <v/>
      </c>
      <c r="BA406" t="str">
        <f>konkurs2!$G$16</f>
        <v/>
      </c>
      <c r="BB406" t="str">
        <f>konkurs2!$K$16</f>
        <v/>
      </c>
      <c r="BC406" t="str">
        <f>konkurs2!$C$16</f>
        <v/>
      </c>
      <c r="BD406" t="str">
        <f>konkurs2!$AA$16</f>
        <v/>
      </c>
      <c r="BE406" t="str">
        <f>konkurs2!$AU$16</f>
        <v/>
      </c>
      <c r="BF406" t="str">
        <f>konkurs2!$S$16</f>
        <v/>
      </c>
      <c r="BG406" s="50" t="str">
        <f>konkurs2!$O$16</f>
        <v/>
      </c>
      <c r="BH406" s="50" t="str">
        <f>konkurs2!$W$16</f>
        <v/>
      </c>
      <c r="BI406" s="50" t="str">
        <f>konkurs2!$AI$16</f>
        <v/>
      </c>
      <c r="BJ406" s="50" t="str">
        <f>konkurs2!$AQ$16</f>
        <v/>
      </c>
    </row>
    <row r="407" spans="50:62">
      <c r="AX407" s="49" t="s">
        <v>517</v>
      </c>
      <c r="AY407" t="str">
        <f>konkurs2!$AE$16</f>
        <v/>
      </c>
      <c r="AZ407" t="str">
        <f>konkurs2!$AM$16</f>
        <v/>
      </c>
      <c r="BA407" t="str">
        <f>konkurs2!$G$16</f>
        <v/>
      </c>
      <c r="BB407" t="str">
        <f>konkurs2!$K$16</f>
        <v/>
      </c>
      <c r="BC407" t="str">
        <f>konkurs2!$C$16</f>
        <v/>
      </c>
      <c r="BD407" t="str">
        <f>konkurs2!$AA$16</f>
        <v/>
      </c>
      <c r="BE407" t="str">
        <f>konkurs2!$S$16</f>
        <v/>
      </c>
      <c r="BF407" t="str">
        <f>konkurs2!$AQ$16</f>
        <v/>
      </c>
      <c r="BG407" s="50" t="str">
        <f>konkurs2!$O$16</f>
        <v/>
      </c>
      <c r="BH407" s="50" t="str">
        <f>konkurs2!$W$16</f>
        <v/>
      </c>
      <c r="BI407" s="50" t="str">
        <f>konkurs2!$AI$16</f>
        <v/>
      </c>
      <c r="BJ407" s="50" t="str">
        <f>konkurs2!$AU$16</f>
        <v/>
      </c>
    </row>
    <row r="408" spans="50:62">
      <c r="AX408" s="49" t="s">
        <v>518</v>
      </c>
      <c r="AY408" t="str">
        <f>konkurs2!$S$16</f>
        <v/>
      </c>
      <c r="AZ408" t="str">
        <f>konkurs2!$AA$16</f>
        <v/>
      </c>
      <c r="BA408" t="str">
        <f>konkurs2!$G$16</f>
        <v/>
      </c>
      <c r="BB408" t="str">
        <f>konkurs2!$K$16</f>
        <v/>
      </c>
      <c r="BC408" t="str">
        <f>konkurs2!$C$16</f>
        <v/>
      </c>
      <c r="BD408" t="str">
        <f>konkurs2!$AE$16</f>
        <v/>
      </c>
      <c r="BE408" t="str">
        <f>konkurs2!$AU$16</f>
        <v/>
      </c>
      <c r="BF408" t="str">
        <f>konkurs2!$AI$16</f>
        <v/>
      </c>
      <c r="BG408" s="50" t="str">
        <f>konkurs2!$O$16</f>
        <v/>
      </c>
      <c r="BH408" s="50" t="str">
        <f>konkurs2!$W$16</f>
        <v/>
      </c>
      <c r="BI408" s="50" t="str">
        <f>konkurs2!$AM$16</f>
        <v/>
      </c>
      <c r="BJ408" s="50" t="str">
        <f>konkurs2!$AQ$16</f>
        <v/>
      </c>
    </row>
    <row r="409" spans="50:62">
      <c r="AX409" s="49" t="s">
        <v>519</v>
      </c>
      <c r="AY409" t="str">
        <f>konkurs2!$S$16</f>
        <v/>
      </c>
      <c r="AZ409" t="str">
        <f>konkurs2!$AA$16</f>
        <v/>
      </c>
      <c r="BA409" t="str">
        <f>konkurs2!$G$16</f>
        <v/>
      </c>
      <c r="BB409" t="str">
        <f>konkurs2!$K$16</f>
        <v/>
      </c>
      <c r="BC409" t="str">
        <f>konkurs2!$C$16</f>
        <v/>
      </c>
      <c r="BD409" t="str">
        <f>konkurs2!$AE$16</f>
        <v/>
      </c>
      <c r="BE409" t="str">
        <f>konkurs2!$AI$16</f>
        <v/>
      </c>
      <c r="BF409" t="str">
        <f>konkurs2!$AQ$16</f>
        <v/>
      </c>
      <c r="BG409" s="50" t="str">
        <f>konkurs2!$O$16</f>
        <v/>
      </c>
      <c r="BH409" s="50" t="str">
        <f>konkurs2!$W$16</f>
        <v/>
      </c>
      <c r="BI409" s="50" t="str">
        <f>konkurs2!$AM$16</f>
        <v/>
      </c>
      <c r="BJ409" s="50" t="str">
        <f>konkurs2!$AU$16</f>
        <v/>
      </c>
    </row>
    <row r="410" spans="50:62">
      <c r="AX410" s="49" t="s">
        <v>520</v>
      </c>
      <c r="AY410" t="str">
        <f>konkurs2!$AE$16</f>
        <v/>
      </c>
      <c r="AZ410" t="str">
        <f>konkurs2!$AM$16</f>
        <v/>
      </c>
      <c r="BA410" t="str">
        <f>konkurs2!$G$16</f>
        <v/>
      </c>
      <c r="BB410" t="str">
        <f>konkurs2!$K$16</f>
        <v/>
      </c>
      <c r="BC410" t="str">
        <f>konkurs2!$C$16</f>
        <v/>
      </c>
      <c r="BD410" t="str">
        <f>konkurs2!$AA$16</f>
        <v/>
      </c>
      <c r="BE410" t="str">
        <f>konkurs2!$S$16</f>
        <v/>
      </c>
      <c r="BF410" t="str">
        <f>konkurs2!$AI$16</f>
        <v/>
      </c>
      <c r="BG410" s="50" t="str">
        <f>konkurs2!$O$16</f>
        <v/>
      </c>
      <c r="BH410" s="50" t="str">
        <f>konkurs2!$W$16</f>
        <v/>
      </c>
      <c r="BI410" s="50" t="str">
        <f>konkurs2!$AQ$16</f>
        <v/>
      </c>
      <c r="BJ410" s="50" t="str">
        <f>konkurs2!$AU$16</f>
        <v/>
      </c>
    </row>
    <row r="411" spans="50:62">
      <c r="AX411" s="49" t="s">
        <v>521</v>
      </c>
      <c r="AY411" t="str">
        <f>konkurs2!$S$16</f>
        <v/>
      </c>
      <c r="AZ411" t="str">
        <f>konkurs2!$AM$16</f>
        <v/>
      </c>
      <c r="BA411" t="str">
        <f>konkurs2!$G$16</f>
        <v/>
      </c>
      <c r="BB411" t="str">
        <f>konkurs2!$K$16</f>
        <v/>
      </c>
      <c r="BC411" t="str">
        <f>konkurs2!$C$16</f>
        <v/>
      </c>
      <c r="BD411" t="str">
        <f>konkurs2!$W$16</f>
        <v/>
      </c>
      <c r="BE411" t="str">
        <f>konkurs2!$AU$16</f>
        <v/>
      </c>
      <c r="BF411" t="str">
        <f>konkurs2!$AQ$16</f>
        <v/>
      </c>
      <c r="BG411" s="50" t="str">
        <f>konkurs2!$O$16</f>
        <v/>
      </c>
      <c r="BH411" s="50" t="str">
        <f>konkurs2!$AA$16</f>
        <v/>
      </c>
      <c r="BI411" s="50" t="str">
        <f>konkurs2!$AE$16</f>
        <v/>
      </c>
      <c r="BJ411" s="50" t="str">
        <f>konkurs2!$AI$16</f>
        <v/>
      </c>
    </row>
    <row r="412" spans="50:62">
      <c r="AX412" s="49" t="s">
        <v>522</v>
      </c>
      <c r="AY412" t="str">
        <f>konkurs2!$S$16</f>
        <v/>
      </c>
      <c r="AZ412" t="str">
        <f>konkurs2!$AI$16</f>
        <v/>
      </c>
      <c r="BA412" t="str">
        <f>konkurs2!$G$16</f>
        <v/>
      </c>
      <c r="BB412" t="str">
        <f>konkurs2!$K$16</f>
        <v/>
      </c>
      <c r="BC412" t="str">
        <f>konkurs2!$C$16</f>
        <v/>
      </c>
      <c r="BD412" t="str">
        <f>konkurs2!$W$16</f>
        <v/>
      </c>
      <c r="BE412" t="str">
        <f>konkurs2!$AU$16</f>
        <v/>
      </c>
      <c r="BF412" t="str">
        <f>konkurs2!$AQ$16</f>
        <v/>
      </c>
      <c r="BG412" s="50" t="str">
        <f>konkurs2!$O$16</f>
        <v/>
      </c>
      <c r="BH412" s="50" t="str">
        <f>konkurs2!$AA$16</f>
        <v/>
      </c>
      <c r="BI412" s="50" t="str">
        <f>konkurs2!$AE$16</f>
        <v/>
      </c>
      <c r="BJ412" s="50" t="str">
        <f>konkurs2!$AM$16</f>
        <v/>
      </c>
    </row>
    <row r="413" spans="50:62">
      <c r="AX413" s="49" t="s">
        <v>523</v>
      </c>
      <c r="AY413" t="str">
        <f>konkurs2!$S$16</f>
        <v/>
      </c>
      <c r="AZ413" t="str">
        <f>konkurs2!$AM$16</f>
        <v/>
      </c>
      <c r="BA413" t="str">
        <f>konkurs2!$G$16</f>
        <v/>
      </c>
      <c r="BB413" t="str">
        <f>konkurs2!$K$16</f>
        <v/>
      </c>
      <c r="BC413" t="str">
        <f>konkurs2!$C$16</f>
        <v/>
      </c>
      <c r="BD413" t="str">
        <f>konkurs2!$W$16</f>
        <v/>
      </c>
      <c r="BE413" t="str">
        <f>konkurs2!$AU$16</f>
        <v/>
      </c>
      <c r="BF413" t="str">
        <f>konkurs2!$AI$16</f>
        <v/>
      </c>
      <c r="BG413" s="50" t="str">
        <f>konkurs2!$O$16</f>
        <v/>
      </c>
      <c r="BH413" s="50" t="str">
        <f>konkurs2!$AA$16</f>
        <v/>
      </c>
      <c r="BI413" s="50" t="str">
        <f>konkurs2!$AE$16</f>
        <v/>
      </c>
      <c r="BJ413" s="50" t="str">
        <f>konkurs2!$AQ$16</f>
        <v/>
      </c>
    </row>
    <row r="414" spans="50:62">
      <c r="AX414" s="49" t="s">
        <v>524</v>
      </c>
      <c r="AY414" t="str">
        <f>konkurs2!$S$16</f>
        <v/>
      </c>
      <c r="AZ414" t="str">
        <f>konkurs2!$AM$16</f>
        <v/>
      </c>
      <c r="BA414" t="str">
        <f>konkurs2!$G$16</f>
        <v/>
      </c>
      <c r="BB414" t="str">
        <f>konkurs2!$K$16</f>
        <v/>
      </c>
      <c r="BC414" t="str">
        <f>konkurs2!$C$16</f>
        <v/>
      </c>
      <c r="BD414" t="str">
        <f>konkurs2!$W$16</f>
        <v/>
      </c>
      <c r="BE414" t="str">
        <f>konkurs2!$AI$16</f>
        <v/>
      </c>
      <c r="BF414" t="str">
        <f>konkurs2!$AQ$16</f>
        <v/>
      </c>
      <c r="BG414" s="50" t="str">
        <f>konkurs2!$O$16</f>
        <v/>
      </c>
      <c r="BH414" s="50" t="str">
        <f>konkurs2!$AA$16</f>
        <v/>
      </c>
      <c r="BI414" s="50" t="str">
        <f>konkurs2!$AE$16</f>
        <v/>
      </c>
      <c r="BJ414" s="50" t="str">
        <f>konkurs2!$AU$16</f>
        <v/>
      </c>
    </row>
    <row r="415" spans="50:62">
      <c r="AX415" s="49" t="s">
        <v>525</v>
      </c>
      <c r="AY415" t="str">
        <f>konkurs2!$AE$16</f>
        <v/>
      </c>
      <c r="AZ415" t="str">
        <f>konkurs2!$S$16</f>
        <v/>
      </c>
      <c r="BA415" t="str">
        <f>konkurs2!$G$16</f>
        <v/>
      </c>
      <c r="BB415" t="str">
        <f>konkurs2!$K$16</f>
        <v/>
      </c>
      <c r="BC415" t="str">
        <f>konkurs2!$C$16</f>
        <v/>
      </c>
      <c r="BD415" t="str">
        <f>konkurs2!$W$16</f>
        <v/>
      </c>
      <c r="BE415" t="str">
        <f>konkurs2!$AU$16</f>
        <v/>
      </c>
      <c r="BF415" t="str">
        <f>konkurs2!$AQ$16</f>
        <v/>
      </c>
      <c r="BG415" s="50" t="str">
        <f>konkurs2!$O$16</f>
        <v/>
      </c>
      <c r="BH415" s="50" t="str">
        <f>konkurs2!$AA$16</f>
        <v/>
      </c>
      <c r="BI415" s="50" t="str">
        <f>konkurs2!$AI$16</f>
        <v/>
      </c>
      <c r="BJ415" s="50" t="str">
        <f>konkurs2!$AM$16</f>
        <v/>
      </c>
    </row>
    <row r="416" spans="50:62">
      <c r="AX416" s="49" t="s">
        <v>526</v>
      </c>
      <c r="AY416" t="str">
        <f>konkurs2!$AE$16</f>
        <v/>
      </c>
      <c r="AZ416" t="str">
        <f>konkurs2!$AM$16</f>
        <v/>
      </c>
      <c r="BA416" t="str">
        <f>konkurs2!$G$16</f>
        <v/>
      </c>
      <c r="BB416" t="str">
        <f>konkurs2!$K$16</f>
        <v/>
      </c>
      <c r="BC416" t="str">
        <f>konkurs2!$C$16</f>
        <v/>
      </c>
      <c r="BD416" t="str">
        <f>konkurs2!$W$16</f>
        <v/>
      </c>
      <c r="BE416" t="str">
        <f>konkurs2!$AU$16</f>
        <v/>
      </c>
      <c r="BF416" t="str">
        <f>konkurs2!$S$16</f>
        <v/>
      </c>
      <c r="BG416" s="50" t="str">
        <f>konkurs2!$O$16</f>
        <v/>
      </c>
      <c r="BH416" s="50" t="str">
        <f>konkurs2!$AA$16</f>
        <v/>
      </c>
      <c r="BI416" s="50" t="str">
        <f>konkurs2!$AI$16</f>
        <v/>
      </c>
      <c r="BJ416" s="50" t="str">
        <f>konkurs2!$AQ$16</f>
        <v/>
      </c>
    </row>
    <row r="417" spans="50:62">
      <c r="AX417" s="49" t="s">
        <v>527</v>
      </c>
      <c r="AY417" t="str">
        <f>konkurs2!$AE$16</f>
        <v/>
      </c>
      <c r="AZ417" t="str">
        <f>konkurs2!$AM$16</f>
        <v/>
      </c>
      <c r="BA417" t="str">
        <f>konkurs2!$G$16</f>
        <v/>
      </c>
      <c r="BB417" t="str">
        <f>konkurs2!$K$16</f>
        <v/>
      </c>
      <c r="BC417" t="str">
        <f>konkurs2!$C$16</f>
        <v/>
      </c>
      <c r="BD417" t="str">
        <f>konkurs2!$W$16</f>
        <v/>
      </c>
      <c r="BE417" t="str">
        <f>konkurs2!$S$16</f>
        <v/>
      </c>
      <c r="BF417" t="str">
        <f>konkurs2!$AQ$16</f>
        <v/>
      </c>
      <c r="BG417" s="50" t="str">
        <f>konkurs2!$O$16</f>
        <v/>
      </c>
      <c r="BH417" s="50" t="str">
        <f>konkurs2!$AA$16</f>
        <v/>
      </c>
      <c r="BI417" s="50" t="str">
        <f>konkurs2!$AI$16</f>
        <v/>
      </c>
      <c r="BJ417" s="50" t="str">
        <f>konkurs2!$AU$16</f>
        <v/>
      </c>
    </row>
    <row r="418" spans="50:62">
      <c r="AX418" s="49" t="s">
        <v>528</v>
      </c>
      <c r="AY418" t="str">
        <f>konkurs2!$AE$16</f>
        <v/>
      </c>
      <c r="AZ418" t="str">
        <f>konkurs2!$S$16</f>
        <v/>
      </c>
      <c r="BA418" t="str">
        <f>konkurs2!$G$16</f>
        <v/>
      </c>
      <c r="BB418" t="str">
        <f>konkurs2!$K$16</f>
        <v/>
      </c>
      <c r="BC418" t="str">
        <f>konkurs2!$C$16</f>
        <v/>
      </c>
      <c r="BD418" t="str">
        <f>konkurs2!$W$16</f>
        <v/>
      </c>
      <c r="BE418" t="str">
        <f>konkurs2!$AU$16</f>
        <v/>
      </c>
      <c r="BF418" t="str">
        <f>konkurs2!$AI$16</f>
        <v/>
      </c>
      <c r="BG418" s="50" t="str">
        <f>konkurs2!$O$16</f>
        <v/>
      </c>
      <c r="BH418" s="50" t="str">
        <f>konkurs2!$AA$16</f>
        <v/>
      </c>
      <c r="BI418" s="50" t="str">
        <f>konkurs2!$AM$16</f>
        <v/>
      </c>
      <c r="BJ418" s="50" t="str">
        <f>konkurs2!$AQ$16</f>
        <v/>
      </c>
    </row>
    <row r="419" spans="50:62">
      <c r="AX419" s="49" t="s">
        <v>529</v>
      </c>
      <c r="AY419" t="str">
        <f>konkurs2!$AE$16</f>
        <v/>
      </c>
      <c r="AZ419" t="str">
        <f>konkurs2!$S$16</f>
        <v/>
      </c>
      <c r="BA419" t="str">
        <f>konkurs2!$G$16</f>
        <v/>
      </c>
      <c r="BB419" t="str">
        <f>konkurs2!$K$16</f>
        <v/>
      </c>
      <c r="BC419" t="str">
        <f>konkurs2!$C$16</f>
        <v/>
      </c>
      <c r="BD419" t="str">
        <f>konkurs2!$W$16</f>
        <v/>
      </c>
      <c r="BE419" t="str">
        <f>konkurs2!$AI$16</f>
        <v/>
      </c>
      <c r="BF419" t="str">
        <f>konkurs2!$AQ$16</f>
        <v/>
      </c>
      <c r="BG419" s="50" t="str">
        <f>konkurs2!$O$16</f>
        <v/>
      </c>
      <c r="BH419" s="50" t="str">
        <f>konkurs2!$AA$16</f>
        <v/>
      </c>
      <c r="BI419" s="50" t="str">
        <f>konkurs2!$AM$16</f>
        <v/>
      </c>
      <c r="BJ419" s="50" t="str">
        <f>konkurs2!$AU$16</f>
        <v/>
      </c>
    </row>
    <row r="420" spans="50:62">
      <c r="AX420" s="49" t="s">
        <v>530</v>
      </c>
      <c r="AY420" t="str">
        <f>konkurs2!$AE$16</f>
        <v/>
      </c>
      <c r="AZ420" t="str">
        <f>konkurs2!$AM$16</f>
        <v/>
      </c>
      <c r="BA420" t="str">
        <f>konkurs2!$G$16</f>
        <v/>
      </c>
      <c r="BB420" t="str">
        <f>konkurs2!$K$16</f>
        <v/>
      </c>
      <c r="BC420" t="str">
        <f>konkurs2!$C$16</f>
        <v/>
      </c>
      <c r="BD420" t="str">
        <f>konkurs2!$W$16</f>
        <v/>
      </c>
      <c r="BE420" t="str">
        <f>konkurs2!$S$16</f>
        <v/>
      </c>
      <c r="BF420" t="str">
        <f>konkurs2!$AI$16</f>
        <v/>
      </c>
      <c r="BG420" s="50" t="str">
        <f>konkurs2!$O$16</f>
        <v/>
      </c>
      <c r="BH420" s="50" t="str">
        <f>konkurs2!$AA$16</f>
        <v/>
      </c>
      <c r="BI420" s="50" t="str">
        <f>konkurs2!$AQ$16</f>
        <v/>
      </c>
      <c r="BJ420" s="50" t="str">
        <f>konkurs2!$AU$16</f>
        <v/>
      </c>
    </row>
    <row r="421" spans="50:62">
      <c r="AX421" s="49" t="s">
        <v>531</v>
      </c>
      <c r="AY421" t="str">
        <f>konkurs2!$S$16</f>
        <v/>
      </c>
      <c r="AZ421" t="str">
        <f>konkurs2!$AA$16</f>
        <v/>
      </c>
      <c r="BA421" t="str">
        <f>konkurs2!$G$16</f>
        <v/>
      </c>
      <c r="BB421" t="str">
        <f>konkurs2!$K$16</f>
        <v/>
      </c>
      <c r="BC421" t="str">
        <f>konkurs2!$C$16</f>
        <v/>
      </c>
      <c r="BD421" t="str">
        <f>konkurs2!$W$16</f>
        <v/>
      </c>
      <c r="BE421" t="str">
        <f>konkurs2!$AU$16</f>
        <v/>
      </c>
      <c r="BF421" t="str">
        <f>konkurs2!$AQ$16</f>
        <v/>
      </c>
      <c r="BG421" s="50" t="str">
        <f>konkurs2!$O$16</f>
        <v/>
      </c>
      <c r="BH421" s="50" t="str">
        <f>konkurs2!$AE$16</f>
        <v/>
      </c>
      <c r="BI421" s="50" t="str">
        <f>konkurs2!$AI$16</f>
        <v/>
      </c>
      <c r="BJ421" s="50" t="str">
        <f>konkurs2!$AM$16</f>
        <v/>
      </c>
    </row>
    <row r="422" spans="50:62">
      <c r="AX422" s="49" t="s">
        <v>532</v>
      </c>
      <c r="AY422" t="str">
        <f>konkurs2!$S$16</f>
        <v/>
      </c>
      <c r="AZ422" t="str">
        <f>konkurs2!$AA$16</f>
        <v/>
      </c>
      <c r="BA422" t="str">
        <f>konkurs2!$G$16</f>
        <v/>
      </c>
      <c r="BB422" t="str">
        <f>konkurs2!$K$16</f>
        <v/>
      </c>
      <c r="BC422" t="str">
        <f>konkurs2!$C$16</f>
        <v/>
      </c>
      <c r="BD422" t="str">
        <f>konkurs2!$W$16</f>
        <v/>
      </c>
      <c r="BE422" t="str">
        <f>konkurs2!$AU$16</f>
        <v/>
      </c>
      <c r="BF422" t="str">
        <f>konkurs2!$AM$16</f>
        <v/>
      </c>
      <c r="BG422" s="50" t="str">
        <f>konkurs2!$O$16</f>
        <v/>
      </c>
      <c r="BH422" s="50" t="str">
        <f>konkurs2!$AE$16</f>
        <v/>
      </c>
      <c r="BI422" s="50" t="str">
        <f>konkurs2!$AI$16</f>
        <v/>
      </c>
      <c r="BJ422" s="50" t="str">
        <f>konkurs2!$AQ$16</f>
        <v/>
      </c>
    </row>
    <row r="423" spans="50:62">
      <c r="AX423" s="49" t="s">
        <v>533</v>
      </c>
      <c r="AY423" t="str">
        <f>konkurs2!$S$16</f>
        <v/>
      </c>
      <c r="AZ423" t="str">
        <f>konkurs2!$AA$16</f>
        <v/>
      </c>
      <c r="BA423" t="str">
        <f>konkurs2!$G$16</f>
        <v/>
      </c>
      <c r="BB423" t="str">
        <f>konkurs2!$K$16</f>
        <v/>
      </c>
      <c r="BC423" t="str">
        <f>konkurs2!$C$16</f>
        <v/>
      </c>
      <c r="BD423" t="str">
        <f>konkurs2!$W$16</f>
        <v/>
      </c>
      <c r="BE423" t="str">
        <f>konkurs2!$AM$16</f>
        <v/>
      </c>
      <c r="BF423" t="str">
        <f>konkurs2!$AQ$16</f>
        <v/>
      </c>
      <c r="BG423" s="50" t="str">
        <f>konkurs2!$O$16</f>
        <v/>
      </c>
      <c r="BH423" s="50" t="str">
        <f>konkurs2!$AE$16</f>
        <v/>
      </c>
      <c r="BI423" s="50" t="str">
        <f>konkurs2!$AI$16</f>
        <v/>
      </c>
      <c r="BJ423" s="50" t="str">
        <f>konkurs2!$AU$16</f>
        <v/>
      </c>
    </row>
    <row r="424" spans="50:62">
      <c r="AX424" s="49" t="s">
        <v>534</v>
      </c>
      <c r="AY424" t="str">
        <f>konkurs2!$S$16</f>
        <v/>
      </c>
      <c r="AZ424" t="str">
        <f>konkurs2!$AA$16</f>
        <v/>
      </c>
      <c r="BA424" t="str">
        <f>konkurs2!$G$16</f>
        <v/>
      </c>
      <c r="BB424" t="str">
        <f>konkurs2!$K$16</f>
        <v/>
      </c>
      <c r="BC424" t="str">
        <f>konkurs2!$C$16</f>
        <v/>
      </c>
      <c r="BD424" t="str">
        <f>konkurs2!$W$16</f>
        <v/>
      </c>
      <c r="BE424" t="str">
        <f>konkurs2!$AU$16</f>
        <v/>
      </c>
      <c r="BF424" t="str">
        <f>konkurs2!$AI$16</f>
        <v/>
      </c>
      <c r="BG424" s="50" t="str">
        <f>konkurs2!$O$16</f>
        <v/>
      </c>
      <c r="BH424" s="50" t="str">
        <f>konkurs2!$AE$16</f>
        <v/>
      </c>
      <c r="BI424" s="50" t="str">
        <f>konkurs2!$AM$16</f>
        <v/>
      </c>
      <c r="BJ424" s="50" t="str">
        <f>konkurs2!$AQ$16</f>
        <v/>
      </c>
    </row>
    <row r="425" spans="50:62">
      <c r="AX425" s="49" t="s">
        <v>535</v>
      </c>
      <c r="AY425" t="str">
        <f>konkurs2!$S$16</f>
        <v/>
      </c>
      <c r="AZ425" t="str">
        <f>konkurs2!$AA$16</f>
        <v/>
      </c>
      <c r="BA425" t="str">
        <f>konkurs2!$G$16</f>
        <v/>
      </c>
      <c r="BB425" t="str">
        <f>konkurs2!$K$16</f>
        <v/>
      </c>
      <c r="BC425" t="str">
        <f>konkurs2!$C$16</f>
        <v/>
      </c>
      <c r="BD425" t="str">
        <f>konkurs2!$W$16</f>
        <v/>
      </c>
      <c r="BE425" t="str">
        <f>konkurs2!$AI$16</f>
        <v/>
      </c>
      <c r="BF425" t="str">
        <f>konkurs2!$AQ$16</f>
        <v/>
      </c>
      <c r="BG425" s="50" t="str">
        <f>konkurs2!$O$16</f>
        <v/>
      </c>
      <c r="BH425" s="50" t="str">
        <f>konkurs2!$AE$16</f>
        <v/>
      </c>
      <c r="BI425" s="50" t="str">
        <f>konkurs2!$AM$16</f>
        <v/>
      </c>
      <c r="BJ425" s="50" t="str">
        <f>konkurs2!$AU$16</f>
        <v/>
      </c>
    </row>
    <row r="426" spans="50:62">
      <c r="AX426" s="49" t="s">
        <v>536</v>
      </c>
      <c r="AY426" t="str">
        <f>konkurs2!$S$16</f>
        <v/>
      </c>
      <c r="AZ426" t="str">
        <f>konkurs2!$AA$16</f>
        <v/>
      </c>
      <c r="BA426" t="str">
        <f>konkurs2!$G$16</f>
        <v/>
      </c>
      <c r="BB426" t="str">
        <f>konkurs2!$K$16</f>
        <v/>
      </c>
      <c r="BC426" t="str">
        <f>konkurs2!$C$16</f>
        <v/>
      </c>
      <c r="BD426" t="str">
        <f>konkurs2!$W$16</f>
        <v/>
      </c>
      <c r="BE426" t="str">
        <f>konkurs2!$AI$16</f>
        <v/>
      </c>
      <c r="BF426" t="str">
        <f>konkurs2!$AM$16</f>
        <v/>
      </c>
      <c r="BG426" s="50" t="str">
        <f>konkurs2!$O$16</f>
        <v/>
      </c>
      <c r="BH426" s="50" t="str">
        <f>konkurs2!$AE$16</f>
        <v/>
      </c>
      <c r="BI426" s="50" t="str">
        <f>konkurs2!$AQ$16</f>
        <v/>
      </c>
      <c r="BJ426" s="50" t="str">
        <f>konkurs2!$AU$16</f>
        <v/>
      </c>
    </row>
    <row r="427" spans="50:62">
      <c r="AX427" s="49" t="s">
        <v>537</v>
      </c>
      <c r="AY427" t="str">
        <f>konkurs2!$AE$16</f>
        <v/>
      </c>
      <c r="AZ427" t="str">
        <f>konkurs2!$AA$16</f>
        <v/>
      </c>
      <c r="BA427" t="str">
        <f>konkurs2!$G$16</f>
        <v/>
      </c>
      <c r="BB427" t="str">
        <f>konkurs2!$K$16</f>
        <v/>
      </c>
      <c r="BC427" t="str">
        <f>konkurs2!$C$16</f>
        <v/>
      </c>
      <c r="BD427" t="str">
        <f>konkurs2!$W$16</f>
        <v/>
      </c>
      <c r="BE427" t="str">
        <f>konkurs2!$AU$16</f>
        <v/>
      </c>
      <c r="BF427" t="str">
        <f>konkurs2!$S$16</f>
        <v/>
      </c>
      <c r="BG427" s="50" t="str">
        <f>konkurs2!$O$16</f>
        <v/>
      </c>
      <c r="BH427" s="50" t="str">
        <f>konkurs2!$AI$16</f>
        <v/>
      </c>
      <c r="BI427" s="50" t="str">
        <f>konkurs2!$AM$16</f>
        <v/>
      </c>
      <c r="BJ427" s="50" t="str">
        <f>konkurs2!$AQ$16</f>
        <v/>
      </c>
    </row>
    <row r="428" spans="50:62">
      <c r="AX428" s="49" t="s">
        <v>538</v>
      </c>
      <c r="AY428" t="str">
        <f>konkurs2!$AE$16</f>
        <v/>
      </c>
      <c r="AZ428" t="str">
        <f>konkurs2!$AA$16</f>
        <v/>
      </c>
      <c r="BA428" t="str">
        <f>konkurs2!$G$16</f>
        <v/>
      </c>
      <c r="BB428" t="str">
        <f>konkurs2!$K$16</f>
        <v/>
      </c>
      <c r="BC428" t="str">
        <f>konkurs2!$C$16</f>
        <v/>
      </c>
      <c r="BD428" t="str">
        <f>konkurs2!$W$16</f>
        <v/>
      </c>
      <c r="BE428" t="str">
        <f>konkurs2!$S$16</f>
        <v/>
      </c>
      <c r="BF428" t="str">
        <f>konkurs2!$AQ$16</f>
        <v/>
      </c>
      <c r="BG428" s="50" t="str">
        <f>konkurs2!$O$16</f>
        <v/>
      </c>
      <c r="BH428" s="50" t="str">
        <f>konkurs2!$AI$16</f>
        <v/>
      </c>
      <c r="BI428" s="50" t="str">
        <f>konkurs2!$AM$16</f>
        <v/>
      </c>
      <c r="BJ428" s="50" t="str">
        <f>konkurs2!$AU$16</f>
        <v/>
      </c>
    </row>
    <row r="429" spans="50:62">
      <c r="AX429" s="49" t="s">
        <v>539</v>
      </c>
      <c r="AY429" t="str">
        <f>konkurs2!$AE$16</f>
        <v/>
      </c>
      <c r="AZ429" t="str">
        <f>konkurs2!$AA$16</f>
        <v/>
      </c>
      <c r="BA429" t="str">
        <f>konkurs2!$G$16</f>
        <v/>
      </c>
      <c r="BB429" t="str">
        <f>konkurs2!$K$16</f>
        <v/>
      </c>
      <c r="BC429" t="str">
        <f>konkurs2!$C$16</f>
        <v/>
      </c>
      <c r="BD429" t="str">
        <f>konkurs2!$W$16</f>
        <v/>
      </c>
      <c r="BE429" t="str">
        <f>konkurs2!$S$16</f>
        <v/>
      </c>
      <c r="BF429" t="str">
        <f>konkurs2!$AM$16</f>
        <v/>
      </c>
      <c r="BG429" s="50" t="str">
        <f>konkurs2!$O$16</f>
        <v/>
      </c>
      <c r="BH429" s="50" t="str">
        <f>konkurs2!$AI$16</f>
        <v/>
      </c>
      <c r="BI429" s="50" t="str">
        <f>konkurs2!$AQ$16</f>
        <v/>
      </c>
      <c r="BJ429" s="50" t="str">
        <f>konkurs2!$AU$16</f>
        <v/>
      </c>
    </row>
    <row r="430" spans="50:62">
      <c r="AX430" s="49" t="s">
        <v>540</v>
      </c>
      <c r="AY430" t="str">
        <f>konkurs2!$AE$16</f>
        <v/>
      </c>
      <c r="AZ430" t="str">
        <f>konkurs2!$AA$16</f>
        <v/>
      </c>
      <c r="BA430" t="str">
        <f>konkurs2!$G$16</f>
        <v/>
      </c>
      <c r="BB430" t="str">
        <f>konkurs2!$K$16</f>
        <v/>
      </c>
      <c r="BC430" t="str">
        <f>konkurs2!$C$16</f>
        <v/>
      </c>
      <c r="BD430" t="str">
        <f>konkurs2!$W$16</f>
        <v/>
      </c>
      <c r="BE430" t="str">
        <f>konkurs2!$S$16</f>
        <v/>
      </c>
      <c r="BF430" t="str">
        <f>konkurs2!$AI$16</f>
        <v/>
      </c>
      <c r="BG430" s="50" t="str">
        <f>konkurs2!$O$16</f>
        <v/>
      </c>
      <c r="BH430" s="50" t="str">
        <f>konkurs2!$AM$16</f>
        <v/>
      </c>
      <c r="BI430" s="50" t="str">
        <f>konkurs2!$AQ$16</f>
        <v/>
      </c>
      <c r="BJ430" s="50" t="str">
        <f>konkurs2!$AU$16</f>
        <v/>
      </c>
    </row>
    <row r="431" spans="50:62">
      <c r="AX431" s="49" t="s">
        <v>541</v>
      </c>
      <c r="AY431" t="str">
        <f>konkurs2!$AI$16</f>
        <v/>
      </c>
      <c r="AZ431" t="str">
        <f>konkurs2!$AM$16</f>
        <v/>
      </c>
      <c r="BA431" t="str">
        <f>konkurs2!$G$16</f>
        <v/>
      </c>
      <c r="BB431" t="str">
        <f>konkurs2!$K$16</f>
        <v/>
      </c>
      <c r="BC431" t="str">
        <f>konkurs2!$C$16</f>
        <v/>
      </c>
      <c r="BD431" t="str">
        <f>konkurs2!$O$16</f>
        <v/>
      </c>
      <c r="BE431" t="str">
        <f>konkurs2!$AU$16</f>
        <v/>
      </c>
      <c r="BF431" t="str">
        <f>konkurs2!$AQ$16</f>
        <v/>
      </c>
      <c r="BG431" s="50" t="str">
        <f>konkurs2!$S$16</f>
        <v/>
      </c>
      <c r="BH431" s="50" t="str">
        <f>konkurs2!$W$16</f>
        <v/>
      </c>
      <c r="BI431" s="50" t="str">
        <f>konkurs2!$AA$16</f>
        <v/>
      </c>
      <c r="BJ431" s="50" t="str">
        <f>konkurs2!$AE$16</f>
        <v/>
      </c>
    </row>
    <row r="432" spans="50:62">
      <c r="AX432" s="49" t="s">
        <v>542</v>
      </c>
      <c r="AY432" t="str">
        <f>konkurs2!$AE$16</f>
        <v/>
      </c>
      <c r="AZ432" t="str">
        <f>konkurs2!$AM$16</f>
        <v/>
      </c>
      <c r="BA432" t="str">
        <f>konkurs2!$G$16</f>
        <v/>
      </c>
      <c r="BB432" t="str">
        <f>konkurs2!$K$16</f>
        <v/>
      </c>
      <c r="BC432" t="str">
        <f>konkurs2!$C$16</f>
        <v/>
      </c>
      <c r="BD432" t="str">
        <f>konkurs2!$O$16</f>
        <v/>
      </c>
      <c r="BE432" t="str">
        <f>konkurs2!$AU$16</f>
        <v/>
      </c>
      <c r="BF432" t="str">
        <f>konkurs2!$AQ$16</f>
        <v/>
      </c>
      <c r="BG432" s="50" t="str">
        <f>konkurs2!$S$16</f>
        <v/>
      </c>
      <c r="BH432" s="50" t="str">
        <f>konkurs2!$W$16</f>
        <v/>
      </c>
      <c r="BI432" s="50" t="str">
        <f>konkurs2!$AA$16</f>
        <v/>
      </c>
      <c r="BJ432" s="50" t="str">
        <f>konkurs2!$AI$16</f>
        <v/>
      </c>
    </row>
    <row r="433" spans="50:62">
      <c r="AX433" s="49" t="s">
        <v>543</v>
      </c>
      <c r="AY433" t="str">
        <f>konkurs2!$AE$16</f>
        <v/>
      </c>
      <c r="AZ433" t="str">
        <f>konkurs2!$AI$16</f>
        <v/>
      </c>
      <c r="BA433" t="str">
        <f>konkurs2!$G$16</f>
        <v/>
      </c>
      <c r="BB433" t="str">
        <f>konkurs2!$K$16</f>
        <v/>
      </c>
      <c r="BC433" t="str">
        <f>konkurs2!$C$16</f>
        <v/>
      </c>
      <c r="BD433" t="str">
        <f>konkurs2!$O$16</f>
        <v/>
      </c>
      <c r="BE433" t="str">
        <f>konkurs2!$AU$16</f>
        <v/>
      </c>
      <c r="BF433" t="str">
        <f>konkurs2!$AQ$16</f>
        <v/>
      </c>
      <c r="BG433" s="50" t="str">
        <f>konkurs2!$S$16</f>
        <v/>
      </c>
      <c r="BH433" s="50" t="str">
        <f>konkurs2!$W$16</f>
        <v/>
      </c>
      <c r="BI433" s="50" t="str">
        <f>konkurs2!$AA$16</f>
        <v/>
      </c>
      <c r="BJ433" s="50" t="str">
        <f>konkurs2!$AM$16</f>
        <v/>
      </c>
    </row>
    <row r="434" spans="50:62">
      <c r="AX434" s="49" t="s">
        <v>544</v>
      </c>
      <c r="AY434" t="str">
        <f>konkurs2!$AE$16</f>
        <v/>
      </c>
      <c r="AZ434" t="str">
        <f>konkurs2!$AM$16</f>
        <v/>
      </c>
      <c r="BA434" t="str">
        <f>konkurs2!$G$16</f>
        <v/>
      </c>
      <c r="BB434" t="str">
        <f>konkurs2!$K$16</f>
        <v/>
      </c>
      <c r="BC434" t="str">
        <f>konkurs2!$C$16</f>
        <v/>
      </c>
      <c r="BD434" t="str">
        <f>konkurs2!$O$16</f>
        <v/>
      </c>
      <c r="BE434" t="str">
        <f>konkurs2!$AU$16</f>
        <v/>
      </c>
      <c r="BF434" t="str">
        <f>konkurs2!$AI$16</f>
        <v/>
      </c>
      <c r="BG434" s="50" t="str">
        <f>konkurs2!$S$16</f>
        <v/>
      </c>
      <c r="BH434" s="50" t="str">
        <f>konkurs2!$W$16</f>
        <v/>
      </c>
      <c r="BI434" s="50" t="str">
        <f>konkurs2!$AA$16</f>
        <v/>
      </c>
      <c r="BJ434" s="50" t="str">
        <f>konkurs2!$AQ$16</f>
        <v/>
      </c>
    </row>
    <row r="435" spans="50:62">
      <c r="AX435" s="49" t="s">
        <v>545</v>
      </c>
      <c r="AY435" t="str">
        <f>konkurs2!$AE$16</f>
        <v/>
      </c>
      <c r="AZ435" t="str">
        <f>konkurs2!$AM$16</f>
        <v/>
      </c>
      <c r="BA435" t="str">
        <f>konkurs2!$G$16</f>
        <v/>
      </c>
      <c r="BB435" t="str">
        <f>konkurs2!$K$16</f>
        <v/>
      </c>
      <c r="BC435" t="str">
        <f>konkurs2!$C$16</f>
        <v/>
      </c>
      <c r="BD435" t="str">
        <f>konkurs2!$O$16</f>
        <v/>
      </c>
      <c r="BE435" t="str">
        <f>konkurs2!$AI$16</f>
        <v/>
      </c>
      <c r="BF435" t="str">
        <f>konkurs2!$AQ$16</f>
        <v/>
      </c>
      <c r="BG435" s="50" t="str">
        <f>konkurs2!$S$16</f>
        <v/>
      </c>
      <c r="BH435" s="50" t="str">
        <f>konkurs2!$W$16</f>
        <v/>
      </c>
      <c r="BI435" s="50" t="str">
        <f>konkurs2!$AA$16</f>
        <v/>
      </c>
      <c r="BJ435" s="50" t="str">
        <f>konkurs2!$AU$16</f>
        <v/>
      </c>
    </row>
    <row r="436" spans="50:62">
      <c r="AX436" s="49" t="s">
        <v>546</v>
      </c>
      <c r="AY436" t="str">
        <f>konkurs2!$K$16</f>
        <v/>
      </c>
      <c r="AZ436" t="str">
        <f>konkurs2!$AM$16</f>
        <v/>
      </c>
      <c r="BA436" t="str">
        <f>konkurs2!$G$16</f>
        <v/>
      </c>
      <c r="BB436" t="str">
        <f>konkurs2!$O$16</f>
        <v/>
      </c>
      <c r="BC436" t="str">
        <f>konkurs2!$C$16</f>
        <v/>
      </c>
      <c r="BD436" t="str">
        <f>konkurs2!$AA$16</f>
        <v/>
      </c>
      <c r="BE436" t="str">
        <f>konkurs2!$AU$16</f>
        <v/>
      </c>
      <c r="BF436" t="str">
        <f>konkurs2!$AQ$16</f>
        <v/>
      </c>
      <c r="BG436" s="50" t="str">
        <f>konkurs2!$S$16</f>
        <v/>
      </c>
      <c r="BH436" s="50" t="str">
        <f>konkurs2!$W$16</f>
        <v/>
      </c>
      <c r="BI436" s="50" t="str">
        <f>konkurs2!$AE$16</f>
        <v/>
      </c>
      <c r="BJ436" s="50" t="str">
        <f>konkurs2!$AI$16</f>
        <v/>
      </c>
    </row>
    <row r="437" spans="50:62">
      <c r="AX437" s="49" t="s">
        <v>547</v>
      </c>
      <c r="AY437" t="str">
        <f>konkurs2!$AI$16</f>
        <v/>
      </c>
      <c r="AZ437" t="str">
        <f>konkurs2!$AA$16</f>
        <v/>
      </c>
      <c r="BA437" t="str">
        <f>konkurs2!$G$16</f>
        <v/>
      </c>
      <c r="BB437" t="str">
        <f>konkurs2!$K$16</f>
        <v/>
      </c>
      <c r="BC437" t="str">
        <f>konkurs2!$C$16</f>
        <v/>
      </c>
      <c r="BD437" t="str">
        <f>konkurs2!$O$16</f>
        <v/>
      </c>
      <c r="BE437" t="str">
        <f>konkurs2!$AU$16</f>
        <v/>
      </c>
      <c r="BF437" t="str">
        <f>konkurs2!$AQ$16</f>
        <v/>
      </c>
      <c r="BG437" s="50" t="str">
        <f>konkurs2!$S$16</f>
        <v/>
      </c>
      <c r="BH437" s="50" t="str">
        <f>konkurs2!$W$16</f>
        <v/>
      </c>
      <c r="BI437" s="50" t="str">
        <f>konkurs2!$AE$16</f>
        <v/>
      </c>
      <c r="BJ437" s="50" t="str">
        <f>konkurs2!$AM$16</f>
        <v/>
      </c>
    </row>
    <row r="438" spans="50:62">
      <c r="AX438" s="49" t="s">
        <v>548</v>
      </c>
      <c r="AY438" t="str">
        <f>konkurs2!$K$16</f>
        <v/>
      </c>
      <c r="AZ438" t="str">
        <f>konkurs2!$AM$16</f>
        <v/>
      </c>
      <c r="BA438" t="str">
        <f>konkurs2!$G$16</f>
        <v/>
      </c>
      <c r="BB438" t="str">
        <f>konkurs2!$O$16</f>
        <v/>
      </c>
      <c r="BC438" t="str">
        <f>konkurs2!$C$16</f>
        <v/>
      </c>
      <c r="BD438" t="str">
        <f>konkurs2!$AA$16</f>
        <v/>
      </c>
      <c r="BE438" t="str">
        <f>konkurs2!$AU$16</f>
        <v/>
      </c>
      <c r="BF438" t="str">
        <f>konkurs2!$AI$16</f>
        <v/>
      </c>
      <c r="BG438" s="50" t="str">
        <f>konkurs2!$S$16</f>
        <v/>
      </c>
      <c r="BH438" s="50" t="str">
        <f>konkurs2!$W$16</f>
        <v/>
      </c>
      <c r="BI438" s="50" t="str">
        <f>konkurs2!$AE$16</f>
        <v/>
      </c>
      <c r="BJ438" s="50" t="str">
        <f>konkurs2!$AQ$16</f>
        <v/>
      </c>
    </row>
    <row r="439" spans="50:62">
      <c r="AX439" s="49" t="s">
        <v>549</v>
      </c>
      <c r="AY439" t="str">
        <f>konkurs2!$K$16</f>
        <v/>
      </c>
      <c r="AZ439" t="str">
        <f>konkurs2!$AM$16</f>
        <v/>
      </c>
      <c r="BA439" t="str">
        <f>konkurs2!$G$16</f>
        <v/>
      </c>
      <c r="BB439" t="str">
        <f>konkurs2!$O$16</f>
        <v/>
      </c>
      <c r="BC439" t="str">
        <f>konkurs2!$C$16</f>
        <v/>
      </c>
      <c r="BD439" t="str">
        <f>konkurs2!$AA$16</f>
        <v/>
      </c>
      <c r="BE439" t="str">
        <f>konkurs2!$AI$16</f>
        <v/>
      </c>
      <c r="BF439" t="str">
        <f>konkurs2!$AQ$16</f>
        <v/>
      </c>
      <c r="BG439" s="50" t="str">
        <f>konkurs2!$S$16</f>
        <v/>
      </c>
      <c r="BH439" s="50" t="str">
        <f>konkurs2!$W$16</f>
        <v/>
      </c>
      <c r="BI439" s="50" t="str">
        <f>konkurs2!$AE$16</f>
        <v/>
      </c>
      <c r="BJ439" s="50" t="str">
        <f>konkurs2!$AU$16</f>
        <v/>
      </c>
    </row>
    <row r="440" spans="50:62">
      <c r="AX440" s="49" t="s">
        <v>550</v>
      </c>
      <c r="AY440" t="str">
        <f>konkurs2!$AE$16</f>
        <v/>
      </c>
      <c r="AZ440" t="str">
        <f>konkurs2!$AA$16</f>
        <v/>
      </c>
      <c r="BA440" t="str">
        <f>konkurs2!$G$16</f>
        <v/>
      </c>
      <c r="BB440" t="str">
        <f>konkurs2!$K$16</f>
        <v/>
      </c>
      <c r="BC440" t="str">
        <f>konkurs2!$C$16</f>
        <v/>
      </c>
      <c r="BD440" t="str">
        <f>konkurs2!$O$16</f>
        <v/>
      </c>
      <c r="BE440" t="str">
        <f>konkurs2!$AU$16</f>
        <v/>
      </c>
      <c r="BF440" t="str">
        <f>konkurs2!$AQ$16</f>
        <v/>
      </c>
      <c r="BG440" s="50" t="str">
        <f>konkurs2!$S$16</f>
        <v/>
      </c>
      <c r="BH440" s="50" t="str">
        <f>konkurs2!$W$16</f>
        <v/>
      </c>
      <c r="BI440" s="50" t="str">
        <f>konkurs2!$AI$16</f>
        <v/>
      </c>
      <c r="BJ440" s="50" t="str">
        <f>konkurs2!$AM$16</f>
        <v/>
      </c>
    </row>
    <row r="441" spans="50:62">
      <c r="AX441" s="49" t="s">
        <v>551</v>
      </c>
      <c r="AY441" t="str">
        <f>konkurs2!$AE$16</f>
        <v/>
      </c>
      <c r="AZ441" t="str">
        <f>konkurs2!$AA$16</f>
        <v/>
      </c>
      <c r="BA441" t="str">
        <f>konkurs2!$G$16</f>
        <v/>
      </c>
      <c r="BB441" t="str">
        <f>konkurs2!$K$16</f>
        <v/>
      </c>
      <c r="BC441" t="str">
        <f>konkurs2!$C$16</f>
        <v/>
      </c>
      <c r="BD441" t="str">
        <f>konkurs2!$O$16</f>
        <v/>
      </c>
      <c r="BE441" t="str">
        <f>konkurs2!$AU$16</f>
        <v/>
      </c>
      <c r="BF441" t="str">
        <f>konkurs2!$AM$16</f>
        <v/>
      </c>
      <c r="BG441" s="50" t="str">
        <f>konkurs2!$S$16</f>
        <v/>
      </c>
      <c r="BH441" s="50" t="str">
        <f>konkurs2!$W$16</f>
        <v/>
      </c>
      <c r="BI441" s="50" t="str">
        <f>konkurs2!$AI$16</f>
        <v/>
      </c>
      <c r="BJ441" s="50" t="str">
        <f>konkurs2!$AQ$16</f>
        <v/>
      </c>
    </row>
    <row r="442" spans="50:62">
      <c r="AX442" s="49" t="s">
        <v>552</v>
      </c>
      <c r="AY442" t="str">
        <f>konkurs2!$AE$16</f>
        <v/>
      </c>
      <c r="AZ442" t="str">
        <f>konkurs2!$AA$16</f>
        <v/>
      </c>
      <c r="BA442" t="str">
        <f>konkurs2!$G$16</f>
        <v/>
      </c>
      <c r="BB442" t="str">
        <f>konkurs2!$K$16</f>
        <v/>
      </c>
      <c r="BC442" t="str">
        <f>konkurs2!$C$16</f>
        <v/>
      </c>
      <c r="BD442" t="str">
        <f>konkurs2!$O$16</f>
        <v/>
      </c>
      <c r="BE442" t="str">
        <f>konkurs2!$AM$16</f>
        <v/>
      </c>
      <c r="BF442" t="str">
        <f>konkurs2!$AQ$16</f>
        <v/>
      </c>
      <c r="BG442" s="50" t="str">
        <f>konkurs2!$S$16</f>
        <v/>
      </c>
      <c r="BH442" s="50" t="str">
        <f>konkurs2!$W$16</f>
        <v/>
      </c>
      <c r="BI442" s="50" t="str">
        <f>konkurs2!$AI$16</f>
        <v/>
      </c>
      <c r="BJ442" s="50" t="str">
        <f>konkurs2!$AU$16</f>
        <v/>
      </c>
    </row>
    <row r="443" spans="50:62">
      <c r="AX443" s="49" t="s">
        <v>553</v>
      </c>
      <c r="AY443" t="str">
        <f>konkurs2!$AE$16</f>
        <v/>
      </c>
      <c r="AZ443" t="str">
        <f>konkurs2!$AA$16</f>
        <v/>
      </c>
      <c r="BA443" t="str">
        <f>konkurs2!$G$16</f>
        <v/>
      </c>
      <c r="BB443" t="str">
        <f>konkurs2!$K$16</f>
        <v/>
      </c>
      <c r="BC443" t="str">
        <f>konkurs2!$C$16</f>
        <v/>
      </c>
      <c r="BD443" t="str">
        <f>konkurs2!$O$16</f>
        <v/>
      </c>
      <c r="BE443" t="str">
        <f>konkurs2!$AU$16</f>
        <v/>
      </c>
      <c r="BF443" t="str">
        <f>konkurs2!$AI$16</f>
        <v/>
      </c>
      <c r="BG443" s="50" t="str">
        <f>konkurs2!$S$16</f>
        <v/>
      </c>
      <c r="BH443" s="50" t="str">
        <f>konkurs2!$W$16</f>
        <v/>
      </c>
      <c r="BI443" s="50" t="str">
        <f>konkurs2!$AM$16</f>
        <v/>
      </c>
      <c r="BJ443" s="50" t="str">
        <f>konkurs2!$AQ$16</f>
        <v/>
      </c>
    </row>
    <row r="444" spans="50:62">
      <c r="AX444" s="49" t="s">
        <v>554</v>
      </c>
      <c r="AY444" t="str">
        <f>konkurs2!$AE$16</f>
        <v/>
      </c>
      <c r="AZ444" t="str">
        <f>konkurs2!$AA$16</f>
        <v/>
      </c>
      <c r="BA444" t="str">
        <f>konkurs2!$G$16</f>
        <v/>
      </c>
      <c r="BB444" t="str">
        <f>konkurs2!$K$16</f>
        <v/>
      </c>
      <c r="BC444" t="str">
        <f>konkurs2!$C$16</f>
        <v/>
      </c>
      <c r="BD444" t="str">
        <f>konkurs2!$O$16</f>
        <v/>
      </c>
      <c r="BE444" t="str">
        <f>konkurs2!$AI$16</f>
        <v/>
      </c>
      <c r="BF444" t="str">
        <f>konkurs2!$AQ$16</f>
        <v/>
      </c>
      <c r="BG444" s="50" t="str">
        <f>konkurs2!$S$16</f>
        <v/>
      </c>
      <c r="BH444" s="50" t="str">
        <f>konkurs2!$W$16</f>
        <v/>
      </c>
      <c r="BI444" s="50" t="str">
        <f>konkurs2!$AM$16</f>
        <v/>
      </c>
      <c r="BJ444" s="50" t="str">
        <f>konkurs2!$AU$16</f>
        <v/>
      </c>
    </row>
    <row r="445" spans="50:62">
      <c r="AX445" s="49" t="s">
        <v>555</v>
      </c>
      <c r="AY445" t="str">
        <f>konkurs2!$AE$16</f>
        <v/>
      </c>
      <c r="AZ445" t="str">
        <f>konkurs2!$AA$16</f>
        <v/>
      </c>
      <c r="BA445" t="str">
        <f>konkurs2!$G$16</f>
        <v/>
      </c>
      <c r="BB445" t="str">
        <f>konkurs2!$K$16</f>
        <v/>
      </c>
      <c r="BC445" t="str">
        <f>konkurs2!$C$16</f>
        <v/>
      </c>
      <c r="BD445" t="str">
        <f>konkurs2!$O$16</f>
        <v/>
      </c>
      <c r="BE445" t="str">
        <f>konkurs2!$AI$16</f>
        <v/>
      </c>
      <c r="BF445" t="str">
        <f>konkurs2!$AM$16</f>
        <v/>
      </c>
      <c r="BG445" s="50" t="str">
        <f>konkurs2!$S$16</f>
        <v/>
      </c>
      <c r="BH445" s="50" t="str">
        <f>konkurs2!$W$16</f>
        <v/>
      </c>
      <c r="BI445" s="50" t="str">
        <f>konkurs2!$AQ$16</f>
        <v/>
      </c>
      <c r="BJ445" s="50" t="str">
        <f>konkurs2!$AU$16</f>
        <v/>
      </c>
    </row>
    <row r="446" spans="50:62">
      <c r="AX446" s="49" t="s">
        <v>556</v>
      </c>
      <c r="AY446" t="str">
        <f>konkurs2!$K$16</f>
        <v/>
      </c>
      <c r="AZ446" t="str">
        <f>konkurs2!$AM$16</f>
        <v/>
      </c>
      <c r="BA446" t="str">
        <f>konkurs2!$G$16</f>
        <v/>
      </c>
      <c r="BB446" t="str">
        <f>konkurs2!$O$16</f>
        <v/>
      </c>
      <c r="BC446" t="str">
        <f>konkurs2!$C$16</f>
        <v/>
      </c>
      <c r="BD446" t="str">
        <f>konkurs2!$W$16</f>
        <v/>
      </c>
      <c r="BE446" t="str">
        <f>konkurs2!$AU$16</f>
        <v/>
      </c>
      <c r="BF446" t="str">
        <f>konkurs2!$AQ$16</f>
        <v/>
      </c>
      <c r="BG446" s="50" t="str">
        <f>konkurs2!$S$16</f>
        <v/>
      </c>
      <c r="BH446" s="50" t="str">
        <f>konkurs2!$AA$16</f>
        <v/>
      </c>
      <c r="BI446" s="50" t="str">
        <f>konkurs2!$AE$16</f>
        <v/>
      </c>
      <c r="BJ446" s="50" t="str">
        <f>konkurs2!$AI$16</f>
        <v/>
      </c>
    </row>
    <row r="447" spans="50:62">
      <c r="AX447" s="49" t="s">
        <v>557</v>
      </c>
      <c r="AY447" t="str">
        <f>konkurs2!$K$16</f>
        <v/>
      </c>
      <c r="AZ447" t="str">
        <f>konkurs2!$AI$16</f>
        <v/>
      </c>
      <c r="BA447" t="str">
        <f>konkurs2!$G$16</f>
        <v/>
      </c>
      <c r="BB447" t="str">
        <f>konkurs2!$O$16</f>
        <v/>
      </c>
      <c r="BC447" t="str">
        <f>konkurs2!$C$16</f>
        <v/>
      </c>
      <c r="BD447" t="str">
        <f>konkurs2!$W$16</f>
        <v/>
      </c>
      <c r="BE447" t="str">
        <f>konkurs2!$AU$16</f>
        <v/>
      </c>
      <c r="BF447" t="str">
        <f>konkurs2!$AQ$16</f>
        <v/>
      </c>
      <c r="BG447" s="50" t="str">
        <f>konkurs2!$S$16</f>
        <v/>
      </c>
      <c r="BH447" s="50" t="str">
        <f>konkurs2!$AA$16</f>
        <v/>
      </c>
      <c r="BI447" s="50" t="str">
        <f>konkurs2!$AE$16</f>
        <v/>
      </c>
      <c r="BJ447" s="50" t="str">
        <f>konkurs2!$AM$16</f>
        <v/>
      </c>
    </row>
    <row r="448" spans="50:62">
      <c r="AX448" s="49" t="s">
        <v>558</v>
      </c>
      <c r="AY448" t="str">
        <f>konkurs2!$K$16</f>
        <v/>
      </c>
      <c r="AZ448" t="str">
        <f>konkurs2!$AM$16</f>
        <v/>
      </c>
      <c r="BA448" t="str">
        <f>konkurs2!$G$16</f>
        <v/>
      </c>
      <c r="BB448" t="str">
        <f>konkurs2!$O$16</f>
        <v/>
      </c>
      <c r="BC448" t="str">
        <f>konkurs2!$C$16</f>
        <v/>
      </c>
      <c r="BD448" t="str">
        <f>konkurs2!$W$16</f>
        <v/>
      </c>
      <c r="BE448" t="str">
        <f>konkurs2!$AU$16</f>
        <v/>
      </c>
      <c r="BF448" t="str">
        <f>konkurs2!$AI$16</f>
        <v/>
      </c>
      <c r="BG448" s="50" t="str">
        <f>konkurs2!$S$16</f>
        <v/>
      </c>
      <c r="BH448" s="50" t="str">
        <f>konkurs2!$AA$16</f>
        <v/>
      </c>
      <c r="BI448" s="50" t="str">
        <f>konkurs2!$AE$16</f>
        <v/>
      </c>
      <c r="BJ448" s="50" t="str">
        <f>konkurs2!$AQ$16</f>
        <v/>
      </c>
    </row>
    <row r="449" spans="50:62">
      <c r="AX449" s="49" t="s">
        <v>559</v>
      </c>
      <c r="AY449" t="str">
        <f>konkurs2!$K$16</f>
        <v/>
      </c>
      <c r="AZ449" t="str">
        <f>konkurs2!$AM$16</f>
        <v/>
      </c>
      <c r="BA449" t="str">
        <f>konkurs2!$G$16</f>
        <v/>
      </c>
      <c r="BB449" t="str">
        <f>konkurs2!$O$16</f>
        <v/>
      </c>
      <c r="BC449" t="str">
        <f>konkurs2!$C$16</f>
        <v/>
      </c>
      <c r="BD449" t="str">
        <f>konkurs2!$W$16</f>
        <v/>
      </c>
      <c r="BE449" t="str">
        <f>konkurs2!$AI$16</f>
        <v/>
      </c>
      <c r="BF449" t="str">
        <f>konkurs2!$AQ$16</f>
        <v/>
      </c>
      <c r="BG449" s="50" t="str">
        <f>konkurs2!$S$16</f>
        <v/>
      </c>
      <c r="BH449" s="50" t="str">
        <f>konkurs2!$AA$16</f>
        <v/>
      </c>
      <c r="BI449" s="50" t="str">
        <f>konkurs2!$AE$16</f>
        <v/>
      </c>
      <c r="BJ449" s="50" t="str">
        <f>konkurs2!$AU$16</f>
        <v/>
      </c>
    </row>
    <row r="450" spans="50:62">
      <c r="AX450" s="49" t="s">
        <v>560</v>
      </c>
      <c r="AY450" t="str">
        <f>konkurs2!$AE$16</f>
        <v/>
      </c>
      <c r="AZ450" t="str">
        <f>konkurs2!$W$16</f>
        <v/>
      </c>
      <c r="BA450" t="str">
        <f>konkurs2!$G$16</f>
        <v/>
      </c>
      <c r="BB450" t="str">
        <f>konkurs2!$K$16</f>
        <v/>
      </c>
      <c r="BC450" t="str">
        <f>konkurs2!$C$16</f>
        <v/>
      </c>
      <c r="BD450" t="str">
        <f>konkurs2!$O$16</f>
        <v/>
      </c>
      <c r="BE450" t="str">
        <f>konkurs2!$AU$16</f>
        <v/>
      </c>
      <c r="BF450" t="str">
        <f>konkurs2!$AQ$16</f>
        <v/>
      </c>
      <c r="BG450" s="50" t="str">
        <f>konkurs2!$S$16</f>
        <v/>
      </c>
      <c r="BH450" s="50" t="str">
        <f>konkurs2!$AA$16</f>
        <v/>
      </c>
      <c r="BI450" s="50" t="str">
        <f>konkurs2!$AI$16</f>
        <v/>
      </c>
      <c r="BJ450" s="50" t="str">
        <f>konkurs2!$AM$16</f>
        <v/>
      </c>
    </row>
    <row r="451" spans="50:62">
      <c r="AX451" s="49" t="s">
        <v>561</v>
      </c>
      <c r="AY451" t="str">
        <f>konkurs2!$K$16</f>
        <v/>
      </c>
      <c r="AZ451" t="str">
        <f>konkurs2!$AM$16</f>
        <v/>
      </c>
      <c r="BA451" t="str">
        <f>konkurs2!$G$16</f>
        <v/>
      </c>
      <c r="BB451" t="str">
        <f>konkurs2!$O$16</f>
        <v/>
      </c>
      <c r="BC451" t="str">
        <f>konkurs2!$C$16</f>
        <v/>
      </c>
      <c r="BD451" t="str">
        <f>konkurs2!$W$16</f>
        <v/>
      </c>
      <c r="BE451" t="str">
        <f>konkurs2!$AU$16</f>
        <v/>
      </c>
      <c r="BF451" t="str">
        <f>konkurs2!$AE$16</f>
        <v/>
      </c>
      <c r="BG451" s="50" t="str">
        <f>konkurs2!$S$16</f>
        <v/>
      </c>
      <c r="BH451" s="50" t="str">
        <f>konkurs2!$AA$16</f>
        <v/>
      </c>
      <c r="BI451" s="50" t="str">
        <f>konkurs2!$AI$16</f>
        <v/>
      </c>
      <c r="BJ451" s="50" t="str">
        <f>konkurs2!$AQ$16</f>
        <v/>
      </c>
    </row>
    <row r="452" spans="50:62">
      <c r="AX452" s="49" t="s">
        <v>562</v>
      </c>
      <c r="AY452" t="str">
        <f>konkurs2!$AE$16</f>
        <v/>
      </c>
      <c r="AZ452" t="str">
        <f>konkurs2!$AM$16</f>
        <v/>
      </c>
      <c r="BA452" t="str">
        <f>konkurs2!$G$16</f>
        <v/>
      </c>
      <c r="BB452" t="str">
        <f>konkurs2!$K$16</f>
        <v/>
      </c>
      <c r="BC452" t="str">
        <f>konkurs2!$C$16</f>
        <v/>
      </c>
      <c r="BD452" t="str">
        <f>konkurs2!$W$16</f>
        <v/>
      </c>
      <c r="BE452" t="str">
        <f>konkurs2!$O$16</f>
        <v/>
      </c>
      <c r="BF452" t="str">
        <f>konkurs2!$AQ$16</f>
        <v/>
      </c>
      <c r="BG452" s="50" t="str">
        <f>konkurs2!$S$16</f>
        <v/>
      </c>
      <c r="BH452" s="50" t="str">
        <f>konkurs2!$AA$16</f>
        <v/>
      </c>
      <c r="BI452" s="50" t="str">
        <f>konkurs2!$AI$16</f>
        <v/>
      </c>
      <c r="BJ452" s="50" t="str">
        <f>konkurs2!$AU$16</f>
        <v/>
      </c>
    </row>
    <row r="453" spans="50:62">
      <c r="AX453" s="49" t="s">
        <v>563</v>
      </c>
      <c r="AY453" t="str">
        <f>konkurs2!$AE$16</f>
        <v/>
      </c>
      <c r="AZ453" t="str">
        <f>konkurs2!$W$16</f>
        <v/>
      </c>
      <c r="BA453" t="str">
        <f>konkurs2!$G$16</f>
        <v/>
      </c>
      <c r="BB453" t="str">
        <f>konkurs2!$K$16</f>
        <v/>
      </c>
      <c r="BC453" t="str">
        <f>konkurs2!$C$16</f>
        <v/>
      </c>
      <c r="BD453" t="str">
        <f>konkurs2!$O$16</f>
        <v/>
      </c>
      <c r="BE453" t="str">
        <f>konkurs2!$AU$16</f>
        <v/>
      </c>
      <c r="BF453" t="str">
        <f>konkurs2!$AI$16</f>
        <v/>
      </c>
      <c r="BG453" s="50" t="str">
        <f>konkurs2!$S$16</f>
        <v/>
      </c>
      <c r="BH453" s="50" t="str">
        <f>konkurs2!$AA$16</f>
        <v/>
      </c>
      <c r="BI453" s="50" t="str">
        <f>konkurs2!$AM$16</f>
        <v/>
      </c>
      <c r="BJ453" s="50" t="str">
        <f>konkurs2!$AQ$16</f>
        <v/>
      </c>
    </row>
    <row r="454" spans="50:62">
      <c r="AX454" s="49" t="s">
        <v>564</v>
      </c>
      <c r="AY454" t="str">
        <f>konkurs2!$AE$16</f>
        <v/>
      </c>
      <c r="AZ454" t="str">
        <f>konkurs2!$W$16</f>
        <v/>
      </c>
      <c r="BA454" t="str">
        <f>konkurs2!$G$16</f>
        <v/>
      </c>
      <c r="BB454" t="str">
        <f>konkurs2!$K$16</f>
        <v/>
      </c>
      <c r="BC454" t="str">
        <f>konkurs2!$C$16</f>
        <v/>
      </c>
      <c r="BD454" t="str">
        <f>konkurs2!$O$16</f>
        <v/>
      </c>
      <c r="BE454" t="str">
        <f>konkurs2!$AI$16</f>
        <v/>
      </c>
      <c r="BF454" t="str">
        <f>konkurs2!$AQ$16</f>
        <v/>
      </c>
      <c r="BG454" s="50" t="str">
        <f>konkurs2!$S$16</f>
        <v/>
      </c>
      <c r="BH454" s="50" t="str">
        <f>konkurs2!$AA$16</f>
        <v/>
      </c>
      <c r="BI454" s="50" t="str">
        <f>konkurs2!$AM$16</f>
        <v/>
      </c>
      <c r="BJ454" s="50" t="str">
        <f>konkurs2!$AU$16</f>
        <v/>
      </c>
    </row>
    <row r="455" spans="50:62">
      <c r="AX455" s="49" t="s">
        <v>565</v>
      </c>
      <c r="AY455" t="str">
        <f>konkurs2!$AE$16</f>
        <v/>
      </c>
      <c r="AZ455" t="str">
        <f>konkurs2!$AM$16</f>
        <v/>
      </c>
      <c r="BA455" t="str">
        <f>konkurs2!$G$16</f>
        <v/>
      </c>
      <c r="BB455" t="str">
        <f>konkurs2!$K$16</f>
        <v/>
      </c>
      <c r="BC455" t="str">
        <f>konkurs2!$C$16</f>
        <v/>
      </c>
      <c r="BD455" t="str">
        <f>konkurs2!$W$16</f>
        <v/>
      </c>
      <c r="BE455" t="str">
        <f>konkurs2!$O$16</f>
        <v/>
      </c>
      <c r="BF455" t="str">
        <f>konkurs2!$AI$16</f>
        <v/>
      </c>
      <c r="BG455" s="50" t="str">
        <f>konkurs2!$S$16</f>
        <v/>
      </c>
      <c r="BH455" s="50" t="str">
        <f>konkurs2!$AA$16</f>
        <v/>
      </c>
      <c r="BI455" s="50" t="str">
        <f>konkurs2!$AQ$16</f>
        <v/>
      </c>
      <c r="BJ455" s="50" t="str">
        <f>konkurs2!$AU$16</f>
        <v/>
      </c>
    </row>
    <row r="456" spans="50:62">
      <c r="AX456" s="49" t="s">
        <v>566</v>
      </c>
      <c r="AY456" t="str">
        <f>konkurs2!$K$16</f>
        <v/>
      </c>
      <c r="AZ456" t="str">
        <f>konkurs2!$AA$16</f>
        <v/>
      </c>
      <c r="BA456" t="str">
        <f>konkurs2!$G$16</f>
        <v/>
      </c>
      <c r="BB456" t="str">
        <f>konkurs2!$O$16</f>
        <v/>
      </c>
      <c r="BC456" t="str">
        <f>konkurs2!$C$16</f>
        <v/>
      </c>
      <c r="BD456" t="str">
        <f>konkurs2!$W$16</f>
        <v/>
      </c>
      <c r="BE456" t="str">
        <f>konkurs2!$AU$16</f>
        <v/>
      </c>
      <c r="BF456" t="str">
        <f>konkurs2!$AQ$16</f>
        <v/>
      </c>
      <c r="BG456" s="50" t="str">
        <f>konkurs2!$S$16</f>
        <v/>
      </c>
      <c r="BH456" s="50" t="str">
        <f>konkurs2!$AE$16</f>
        <v/>
      </c>
      <c r="BI456" s="50" t="str">
        <f>konkurs2!$AI$16</f>
        <v/>
      </c>
      <c r="BJ456" s="50" t="str">
        <f>konkurs2!$AM$16</f>
        <v/>
      </c>
    </row>
    <row r="457" spans="50:62">
      <c r="AX457" s="49" t="s">
        <v>567</v>
      </c>
      <c r="AY457" t="str">
        <f>konkurs2!$K$16</f>
        <v/>
      </c>
      <c r="AZ457" t="str">
        <f>konkurs2!$AA$16</f>
        <v/>
      </c>
      <c r="BA457" t="str">
        <f>konkurs2!$G$16</f>
        <v/>
      </c>
      <c r="BB457" t="str">
        <f>konkurs2!$O$16</f>
        <v/>
      </c>
      <c r="BC457" t="str">
        <f>konkurs2!$C$16</f>
        <v/>
      </c>
      <c r="BD457" t="str">
        <f>konkurs2!$W$16</f>
        <v/>
      </c>
      <c r="BE457" t="str">
        <f>konkurs2!$AU$16</f>
        <v/>
      </c>
      <c r="BF457" t="str">
        <f>konkurs2!$AM$16</f>
        <v/>
      </c>
      <c r="BG457" s="50" t="str">
        <f>konkurs2!$S$16</f>
        <v/>
      </c>
      <c r="BH457" s="50" t="str">
        <f>konkurs2!$AE$16</f>
        <v/>
      </c>
      <c r="BI457" s="50" t="str">
        <f>konkurs2!$AI$16</f>
        <v/>
      </c>
      <c r="BJ457" s="50" t="str">
        <f>konkurs2!$AQ$16</f>
        <v/>
      </c>
    </row>
    <row r="458" spans="50:62">
      <c r="AX458" s="49" t="s">
        <v>568</v>
      </c>
      <c r="AY458" t="str">
        <f>konkurs2!$K$16</f>
        <v/>
      </c>
      <c r="AZ458" t="str">
        <f>konkurs2!$AA$16</f>
        <v/>
      </c>
      <c r="BA458" t="str">
        <f>konkurs2!$G$16</f>
        <v/>
      </c>
      <c r="BB458" t="str">
        <f>konkurs2!$O$16</f>
        <v/>
      </c>
      <c r="BC458" t="str">
        <f>konkurs2!$C$16</f>
        <v/>
      </c>
      <c r="BD458" t="str">
        <f>konkurs2!$W$16</f>
        <v/>
      </c>
      <c r="BE458" t="str">
        <f>konkurs2!$AM$16</f>
        <v/>
      </c>
      <c r="BF458" t="str">
        <f>konkurs2!$AQ$16</f>
        <v/>
      </c>
      <c r="BG458" s="50" t="str">
        <f>konkurs2!$S$16</f>
        <v/>
      </c>
      <c r="BH458" s="50" t="str">
        <f>konkurs2!$AE$16</f>
        <v/>
      </c>
      <c r="BI458" s="50" t="str">
        <f>konkurs2!$AI$16</f>
        <v/>
      </c>
      <c r="BJ458" s="50" t="str">
        <f>konkurs2!$AU$16</f>
        <v/>
      </c>
    </row>
    <row r="459" spans="50:62">
      <c r="AX459" s="49" t="s">
        <v>569</v>
      </c>
      <c r="AY459" t="str">
        <f>konkurs2!$K$16</f>
        <v/>
      </c>
      <c r="AZ459" t="str">
        <f>konkurs2!$AA$16</f>
        <v/>
      </c>
      <c r="BA459" t="str">
        <f>konkurs2!$G$16</f>
        <v/>
      </c>
      <c r="BB459" t="str">
        <f>konkurs2!$O$16</f>
        <v/>
      </c>
      <c r="BC459" t="str">
        <f>konkurs2!$C$16</f>
        <v/>
      </c>
      <c r="BD459" t="str">
        <f>konkurs2!$W$16</f>
        <v/>
      </c>
      <c r="BE459" t="str">
        <f>konkurs2!$AU$16</f>
        <v/>
      </c>
      <c r="BF459" t="str">
        <f>konkurs2!$AI$16</f>
        <v/>
      </c>
      <c r="BG459" s="50" t="str">
        <f>konkurs2!$S$16</f>
        <v/>
      </c>
      <c r="BH459" s="50" t="str">
        <f>konkurs2!$AE$16</f>
        <v/>
      </c>
      <c r="BI459" s="50" t="str">
        <f>konkurs2!$AM$16</f>
        <v/>
      </c>
      <c r="BJ459" s="50" t="str">
        <f>konkurs2!$AQ$16</f>
        <v/>
      </c>
    </row>
    <row r="460" spans="50:62">
      <c r="AX460" s="49" t="s">
        <v>570</v>
      </c>
      <c r="AY460" t="str">
        <f>konkurs2!$K$16</f>
        <v/>
      </c>
      <c r="AZ460" t="str">
        <f>konkurs2!$AA$16</f>
        <v/>
      </c>
      <c r="BA460" t="str">
        <f>konkurs2!$G$16</f>
        <v/>
      </c>
      <c r="BB460" t="str">
        <f>konkurs2!$O$16</f>
        <v/>
      </c>
      <c r="BC460" t="str">
        <f>konkurs2!$C$16</f>
        <v/>
      </c>
      <c r="BD460" t="str">
        <f>konkurs2!$W$16</f>
        <v/>
      </c>
      <c r="BE460" t="str">
        <f>konkurs2!$AI$16</f>
        <v/>
      </c>
      <c r="BF460" t="str">
        <f>konkurs2!$AQ$16</f>
        <v/>
      </c>
      <c r="BG460" s="50" t="str">
        <f>konkurs2!$S$16</f>
        <v/>
      </c>
      <c r="BH460" s="50" t="str">
        <f>konkurs2!$AE$16</f>
        <v/>
      </c>
      <c r="BI460" s="50" t="str">
        <f>konkurs2!$AM$16</f>
        <v/>
      </c>
      <c r="BJ460" s="50" t="str">
        <f>konkurs2!$AU$16</f>
        <v/>
      </c>
    </row>
    <row r="461" spans="50:62">
      <c r="AX461" s="49" t="s">
        <v>571</v>
      </c>
      <c r="AY461" t="str">
        <f>konkurs2!$K$16</f>
        <v/>
      </c>
      <c r="AZ461" t="str">
        <f>konkurs2!$AA$16</f>
        <v/>
      </c>
      <c r="BA461" t="str">
        <f>konkurs2!$G$16</f>
        <v/>
      </c>
      <c r="BB461" t="str">
        <f>konkurs2!$O$16</f>
        <v/>
      </c>
      <c r="BC461" t="str">
        <f>konkurs2!$C$16</f>
        <v/>
      </c>
      <c r="BD461" t="str">
        <f>konkurs2!$W$16</f>
        <v/>
      </c>
      <c r="BE461" t="str">
        <f>konkurs2!$AI$16</f>
        <v/>
      </c>
      <c r="BF461" t="str">
        <f>konkurs2!$AM$16</f>
        <v/>
      </c>
      <c r="BG461" s="50" t="str">
        <f>konkurs2!$S$16</f>
        <v/>
      </c>
      <c r="BH461" s="50" t="str">
        <f>konkurs2!$AE$16</f>
        <v/>
      </c>
      <c r="BI461" s="50" t="str">
        <f>konkurs2!$AQ$16</f>
        <v/>
      </c>
      <c r="BJ461" s="50" t="str">
        <f>konkurs2!$AU$16</f>
        <v/>
      </c>
    </row>
    <row r="462" spans="50:62">
      <c r="AX462" s="49" t="s">
        <v>572</v>
      </c>
      <c r="AY462" t="str">
        <f>konkurs2!$K$16</f>
        <v/>
      </c>
      <c r="AZ462" t="str">
        <f>konkurs2!$AA$16</f>
        <v/>
      </c>
      <c r="BA462" t="str">
        <f>konkurs2!$G$16</f>
        <v/>
      </c>
      <c r="BB462" t="str">
        <f>konkurs2!$O$16</f>
        <v/>
      </c>
      <c r="BC462" t="str">
        <f>konkurs2!$C$16</f>
        <v/>
      </c>
      <c r="BD462" t="str">
        <f>konkurs2!$W$16</f>
        <v/>
      </c>
      <c r="BE462" t="str">
        <f>konkurs2!$AU$16</f>
        <v/>
      </c>
      <c r="BF462" t="str">
        <f>konkurs2!$AE$16</f>
        <v/>
      </c>
      <c r="BG462" s="50" t="str">
        <f>konkurs2!$S$16</f>
        <v/>
      </c>
      <c r="BH462" s="50" t="str">
        <f>konkurs2!$AI$16</f>
        <v/>
      </c>
      <c r="BI462" s="50" t="str">
        <f>konkurs2!$AM$16</f>
        <v/>
      </c>
      <c r="BJ462" s="50" t="str">
        <f>konkurs2!$AQ$16</f>
        <v/>
      </c>
    </row>
    <row r="463" spans="50:62">
      <c r="AX463" s="49" t="s">
        <v>573</v>
      </c>
      <c r="AY463" t="str">
        <f>konkurs2!$AE$16</f>
        <v/>
      </c>
      <c r="AZ463" t="str">
        <f>konkurs2!$AA$16</f>
        <v/>
      </c>
      <c r="BA463" t="str">
        <f>konkurs2!$G$16</f>
        <v/>
      </c>
      <c r="BB463" t="str">
        <f>konkurs2!$K$16</f>
        <v/>
      </c>
      <c r="BC463" t="str">
        <f>konkurs2!$C$16</f>
        <v/>
      </c>
      <c r="BD463" t="str">
        <f>konkurs2!$W$16</f>
        <v/>
      </c>
      <c r="BE463" t="str">
        <f>konkurs2!$O$16</f>
        <v/>
      </c>
      <c r="BF463" t="str">
        <f>konkurs2!$AQ$16</f>
        <v/>
      </c>
      <c r="BG463" s="50" t="str">
        <f>konkurs2!$S$16</f>
        <v/>
      </c>
      <c r="BH463" s="50" t="str">
        <f>konkurs2!$AI$16</f>
        <v/>
      </c>
      <c r="BI463" s="50" t="str">
        <f>konkurs2!$AM$16</f>
        <v/>
      </c>
      <c r="BJ463" s="50" t="str">
        <f>konkurs2!$AU$16</f>
        <v/>
      </c>
    </row>
    <row r="464" spans="50:62">
      <c r="AX464" s="49" t="s">
        <v>574</v>
      </c>
      <c r="AY464" t="str">
        <f>konkurs2!$AE$16</f>
        <v/>
      </c>
      <c r="AZ464" t="str">
        <f>konkurs2!$AA$16</f>
        <v/>
      </c>
      <c r="BA464" t="str">
        <f>konkurs2!$G$16</f>
        <v/>
      </c>
      <c r="BB464" t="str">
        <f>konkurs2!$K$16</f>
        <v/>
      </c>
      <c r="BC464" t="str">
        <f>konkurs2!$C$16</f>
        <v/>
      </c>
      <c r="BD464" t="str">
        <f>konkurs2!$W$16</f>
        <v/>
      </c>
      <c r="BE464" t="str">
        <f>konkurs2!$O$16</f>
        <v/>
      </c>
      <c r="BF464" t="str">
        <f>konkurs2!$AM$16</f>
        <v/>
      </c>
      <c r="BG464" s="50" t="str">
        <f>konkurs2!$S$16</f>
        <v/>
      </c>
      <c r="BH464" s="50" t="str">
        <f>konkurs2!$AI$16</f>
        <v/>
      </c>
      <c r="BI464" s="50" t="str">
        <f>konkurs2!$AQ$16</f>
        <v/>
      </c>
      <c r="BJ464" s="50" t="str">
        <f>konkurs2!$AU$16</f>
        <v/>
      </c>
    </row>
    <row r="465" spans="50:62">
      <c r="AX465" s="49" t="s">
        <v>575</v>
      </c>
      <c r="AY465" t="str">
        <f>konkurs2!$AE$16</f>
        <v/>
      </c>
      <c r="AZ465" t="str">
        <f>konkurs2!$AA$16</f>
        <v/>
      </c>
      <c r="BA465" t="str">
        <f>konkurs2!$G$16</f>
        <v/>
      </c>
      <c r="BB465" t="str">
        <f>konkurs2!$K$16</f>
        <v/>
      </c>
      <c r="BC465" t="str">
        <f>konkurs2!$C$16</f>
        <v/>
      </c>
      <c r="BD465" t="str">
        <f>konkurs2!$W$16</f>
        <v/>
      </c>
      <c r="BE465" t="str">
        <f>konkurs2!$O$16</f>
        <v/>
      </c>
      <c r="BF465" t="str">
        <f>konkurs2!$AI$16</f>
        <v/>
      </c>
      <c r="BG465" s="50" t="str">
        <f>konkurs2!$S$16</f>
        <v/>
      </c>
      <c r="BH465" s="50" t="str">
        <f>konkurs2!$AM$16</f>
        <v/>
      </c>
      <c r="BI465" s="50" t="str">
        <f>konkurs2!$AQ$16</f>
        <v/>
      </c>
      <c r="BJ465" s="50" t="str">
        <f>konkurs2!$AU$16</f>
        <v/>
      </c>
    </row>
    <row r="466" spans="50:62">
      <c r="AX466" s="49" t="s">
        <v>576</v>
      </c>
      <c r="AY466" t="str">
        <f>konkurs2!$S$16</f>
        <v/>
      </c>
      <c r="AZ466" t="str">
        <f>konkurs2!$AM$16</f>
        <v/>
      </c>
      <c r="BA466" t="str">
        <f>konkurs2!$G$16</f>
        <v/>
      </c>
      <c r="BB466" t="str">
        <f>konkurs2!$K$16</f>
        <v/>
      </c>
      <c r="BC466" t="str">
        <f>konkurs2!$C$16</f>
        <v/>
      </c>
      <c r="BD466" t="str">
        <f>konkurs2!$O$16</f>
        <v/>
      </c>
      <c r="BE466" t="str">
        <f>konkurs2!$AU$16</f>
        <v/>
      </c>
      <c r="BF466" t="str">
        <f>konkurs2!$AQ$16</f>
        <v/>
      </c>
      <c r="BG466" s="50" t="str">
        <f>konkurs2!$W$16</f>
        <v/>
      </c>
      <c r="BH466" s="50" t="str">
        <f>konkurs2!$AA$16</f>
        <v/>
      </c>
      <c r="BI466" s="50" t="str">
        <f>konkurs2!$AE$16</f>
        <v/>
      </c>
      <c r="BJ466" s="50" t="str">
        <f>konkurs2!$AI$16</f>
        <v/>
      </c>
    </row>
    <row r="467" spans="50:62">
      <c r="AX467" s="49" t="s">
        <v>577</v>
      </c>
      <c r="AY467" t="str">
        <f>konkurs2!$S$16</f>
        <v/>
      </c>
      <c r="AZ467" t="str">
        <f>konkurs2!$AI$16</f>
        <v/>
      </c>
      <c r="BA467" t="str">
        <f>konkurs2!$G$16</f>
        <v/>
      </c>
      <c r="BB467" t="str">
        <f>konkurs2!$K$16</f>
        <v/>
      </c>
      <c r="BC467" t="str">
        <f>konkurs2!$C$16</f>
        <v/>
      </c>
      <c r="BD467" t="str">
        <f>konkurs2!$O$16</f>
        <v/>
      </c>
      <c r="BE467" t="str">
        <f>konkurs2!$AU$16</f>
        <v/>
      </c>
      <c r="BF467" t="str">
        <f>konkurs2!$AQ$16</f>
        <v/>
      </c>
      <c r="BG467" s="50" t="str">
        <f>konkurs2!$W$16</f>
        <v/>
      </c>
      <c r="BH467" s="50" t="str">
        <f>konkurs2!$AA$16</f>
        <v/>
      </c>
      <c r="BI467" s="50" t="str">
        <f>konkurs2!$AE$16</f>
        <v/>
      </c>
      <c r="BJ467" s="50" t="str">
        <f>konkurs2!$AM$16</f>
        <v/>
      </c>
    </row>
    <row r="468" spans="50:62">
      <c r="AX468" s="49" t="s">
        <v>578</v>
      </c>
      <c r="AY468" t="str">
        <f>konkurs2!$S$16</f>
        <v/>
      </c>
      <c r="AZ468" t="str">
        <f>konkurs2!$AM$16</f>
        <v/>
      </c>
      <c r="BA468" t="str">
        <f>konkurs2!$G$16</f>
        <v/>
      </c>
      <c r="BB468" t="str">
        <f>konkurs2!$K$16</f>
        <v/>
      </c>
      <c r="BC468" t="str">
        <f>konkurs2!$C$16</f>
        <v/>
      </c>
      <c r="BD468" t="str">
        <f>konkurs2!$O$16</f>
        <v/>
      </c>
      <c r="BE468" t="str">
        <f>konkurs2!$AU$16</f>
        <v/>
      </c>
      <c r="BF468" t="str">
        <f>konkurs2!$AI$16</f>
        <v/>
      </c>
      <c r="BG468" s="50" t="str">
        <f>konkurs2!$W$16</f>
        <v/>
      </c>
      <c r="BH468" s="50" t="str">
        <f>konkurs2!$AA$16</f>
        <v/>
      </c>
      <c r="BI468" s="50" t="str">
        <f>konkurs2!$AE$16</f>
        <v/>
      </c>
      <c r="BJ468" s="50" t="str">
        <f>konkurs2!$AQ$16</f>
        <v/>
      </c>
    </row>
    <row r="469" spans="50:62">
      <c r="AX469" s="49" t="s">
        <v>579</v>
      </c>
      <c r="AY469" t="str">
        <f>konkurs2!$S$16</f>
        <v/>
      </c>
      <c r="AZ469" t="str">
        <f>konkurs2!$AM$16</f>
        <v/>
      </c>
      <c r="BA469" t="str">
        <f>konkurs2!$G$16</f>
        <v/>
      </c>
      <c r="BB469" t="str">
        <f>konkurs2!$K$16</f>
        <v/>
      </c>
      <c r="BC469" t="str">
        <f>konkurs2!$C$16</f>
        <v/>
      </c>
      <c r="BD469" t="str">
        <f>konkurs2!$O$16</f>
        <v/>
      </c>
      <c r="BE469" t="str">
        <f>konkurs2!$AI$16</f>
        <v/>
      </c>
      <c r="BF469" t="str">
        <f>konkurs2!$AQ$16</f>
        <v/>
      </c>
      <c r="BG469" s="50" t="str">
        <f>konkurs2!$W$16</f>
        <v/>
      </c>
      <c r="BH469" s="50" t="str">
        <f>konkurs2!$AA$16</f>
        <v/>
      </c>
      <c r="BI469" s="50" t="str">
        <f>konkurs2!$AE$16</f>
        <v/>
      </c>
      <c r="BJ469" s="50" t="str">
        <f>konkurs2!$AU$16</f>
        <v/>
      </c>
    </row>
    <row r="470" spans="50:62">
      <c r="AX470" s="49" t="s">
        <v>580</v>
      </c>
      <c r="AY470" t="str">
        <f>konkurs2!$AE$16</f>
        <v/>
      </c>
      <c r="AZ470" t="str">
        <f>konkurs2!$S$16</f>
        <v/>
      </c>
      <c r="BA470" t="str">
        <f>konkurs2!$G$16</f>
        <v/>
      </c>
      <c r="BB470" t="str">
        <f>konkurs2!$K$16</f>
        <v/>
      </c>
      <c r="BC470" t="str">
        <f>konkurs2!$C$16</f>
        <v/>
      </c>
      <c r="BD470" t="str">
        <f>konkurs2!$O$16</f>
        <v/>
      </c>
      <c r="BE470" t="str">
        <f>konkurs2!$AU$16</f>
        <v/>
      </c>
      <c r="BF470" t="str">
        <f>konkurs2!$AQ$16</f>
        <v/>
      </c>
      <c r="BG470" s="50" t="str">
        <f>konkurs2!$W$16</f>
        <v/>
      </c>
      <c r="BH470" s="50" t="str">
        <f>konkurs2!$AA$16</f>
        <v/>
      </c>
      <c r="BI470" s="50" t="str">
        <f>konkurs2!$AI$16</f>
        <v/>
      </c>
      <c r="BJ470" s="50" t="str">
        <f>konkurs2!$AM$16</f>
        <v/>
      </c>
    </row>
    <row r="471" spans="50:62">
      <c r="AX471" s="49" t="s">
        <v>581</v>
      </c>
      <c r="AY471" t="str">
        <f>konkurs2!$AE$16</f>
        <v/>
      </c>
      <c r="AZ471" t="str">
        <f>konkurs2!$AM$16</f>
        <v/>
      </c>
      <c r="BA471" t="str">
        <f>konkurs2!$G$16</f>
        <v/>
      </c>
      <c r="BB471" t="str">
        <f>konkurs2!$K$16</f>
        <v/>
      </c>
      <c r="BC471" t="str">
        <f>konkurs2!$C$16</f>
        <v/>
      </c>
      <c r="BD471" t="str">
        <f>konkurs2!$O$16</f>
        <v/>
      </c>
      <c r="BE471" t="str">
        <f>konkurs2!$AU$16</f>
        <v/>
      </c>
      <c r="BF471" t="str">
        <f>konkurs2!$S$16</f>
        <v/>
      </c>
      <c r="BG471" s="50" t="str">
        <f>konkurs2!$W$16</f>
        <v/>
      </c>
      <c r="BH471" s="50" t="str">
        <f>konkurs2!$AA$16</f>
        <v/>
      </c>
      <c r="BI471" s="50" t="str">
        <f>konkurs2!$AI$16</f>
        <v/>
      </c>
      <c r="BJ471" s="50" t="str">
        <f>konkurs2!$AQ$16</f>
        <v/>
      </c>
    </row>
    <row r="472" spans="50:62">
      <c r="AX472" s="49" t="s">
        <v>582</v>
      </c>
      <c r="AY472" t="str">
        <f>konkurs2!$AE$16</f>
        <v/>
      </c>
      <c r="AZ472" t="str">
        <f>konkurs2!$AM$16</f>
        <v/>
      </c>
      <c r="BA472" t="str">
        <f>konkurs2!$G$16</f>
        <v/>
      </c>
      <c r="BB472" t="str">
        <f>konkurs2!$K$16</f>
        <v/>
      </c>
      <c r="BC472" t="str">
        <f>konkurs2!$C$16</f>
        <v/>
      </c>
      <c r="BD472" t="str">
        <f>konkurs2!$O$16</f>
        <v/>
      </c>
      <c r="BE472" t="str">
        <f>konkurs2!$S$16</f>
        <v/>
      </c>
      <c r="BF472" t="str">
        <f>konkurs2!$AQ$16</f>
        <v/>
      </c>
      <c r="BG472" s="50" t="str">
        <f>konkurs2!$W$16</f>
        <v/>
      </c>
      <c r="BH472" s="50" t="str">
        <f>konkurs2!$AA$16</f>
        <v/>
      </c>
      <c r="BI472" s="50" t="str">
        <f>konkurs2!$AI$16</f>
        <v/>
      </c>
      <c r="BJ472" s="50" t="str">
        <f>konkurs2!$AU$16</f>
        <v/>
      </c>
    </row>
    <row r="473" spans="50:62">
      <c r="AX473" s="49" t="s">
        <v>583</v>
      </c>
      <c r="AY473" t="str">
        <f>konkurs2!$AE$16</f>
        <v/>
      </c>
      <c r="AZ473" t="str">
        <f>konkurs2!$S$16</f>
        <v/>
      </c>
      <c r="BA473" t="str">
        <f>konkurs2!$G$16</f>
        <v/>
      </c>
      <c r="BB473" t="str">
        <f>konkurs2!$K$16</f>
        <v/>
      </c>
      <c r="BC473" t="str">
        <f>konkurs2!$C$16</f>
        <v/>
      </c>
      <c r="BD473" t="str">
        <f>konkurs2!$O$16</f>
        <v/>
      </c>
      <c r="BE473" t="str">
        <f>konkurs2!$AU$16</f>
        <v/>
      </c>
      <c r="BF473" t="str">
        <f>konkurs2!$AI$16</f>
        <v/>
      </c>
      <c r="BG473" s="50" t="str">
        <f>konkurs2!$W$16</f>
        <v/>
      </c>
      <c r="BH473" s="50" t="str">
        <f>konkurs2!$AA$16</f>
        <v/>
      </c>
      <c r="BI473" s="50" t="str">
        <f>konkurs2!$AM$16</f>
        <v/>
      </c>
      <c r="BJ473" s="50" t="str">
        <f>konkurs2!$AQ$16</f>
        <v/>
      </c>
    </row>
    <row r="474" spans="50:62">
      <c r="AX474" s="49" t="s">
        <v>584</v>
      </c>
      <c r="AY474" t="str">
        <f>konkurs2!$AE$16</f>
        <v/>
      </c>
      <c r="AZ474" t="str">
        <f>konkurs2!$S$16</f>
        <v/>
      </c>
      <c r="BA474" t="str">
        <f>konkurs2!$G$16</f>
        <v/>
      </c>
      <c r="BB474" t="str">
        <f>konkurs2!$K$16</f>
        <v/>
      </c>
      <c r="BC474" t="str">
        <f>konkurs2!$C$16</f>
        <v/>
      </c>
      <c r="BD474" t="str">
        <f>konkurs2!$O$16</f>
        <v/>
      </c>
      <c r="BE474" t="str">
        <f>konkurs2!$AI$16</f>
        <v/>
      </c>
      <c r="BF474" t="str">
        <f>konkurs2!$AQ$16</f>
        <v/>
      </c>
      <c r="BG474" s="50" t="str">
        <f>konkurs2!$W$16</f>
        <v/>
      </c>
      <c r="BH474" s="50" t="str">
        <f>konkurs2!$AA$16</f>
        <v/>
      </c>
      <c r="BI474" s="50" t="str">
        <f>konkurs2!$AM$16</f>
        <v/>
      </c>
      <c r="BJ474" s="50" t="str">
        <f>konkurs2!$AU$16</f>
        <v/>
      </c>
    </row>
    <row r="475" spans="50:62">
      <c r="AX475" s="49" t="s">
        <v>585</v>
      </c>
      <c r="AY475" t="str">
        <f>konkurs2!$AE$16</f>
        <v/>
      </c>
      <c r="AZ475" t="str">
        <f>konkurs2!$AM$16</f>
        <v/>
      </c>
      <c r="BA475" t="str">
        <f>konkurs2!$G$16</f>
        <v/>
      </c>
      <c r="BB475" t="str">
        <f>konkurs2!$K$16</f>
        <v/>
      </c>
      <c r="BC475" t="str">
        <f>konkurs2!$C$16</f>
        <v/>
      </c>
      <c r="BD475" t="str">
        <f>konkurs2!$O$16</f>
        <v/>
      </c>
      <c r="BE475" t="str">
        <f>konkurs2!$S$16</f>
        <v/>
      </c>
      <c r="BF475" t="str">
        <f>konkurs2!$AI$16</f>
        <v/>
      </c>
      <c r="BG475" s="50" t="str">
        <f>konkurs2!$W$16</f>
        <v/>
      </c>
      <c r="BH475" s="50" t="str">
        <f>konkurs2!$AA$16</f>
        <v/>
      </c>
      <c r="BI475" s="50" t="str">
        <f>konkurs2!$AQ$16</f>
        <v/>
      </c>
      <c r="BJ475" s="50" t="str">
        <f>konkurs2!$AU$16</f>
        <v/>
      </c>
    </row>
    <row r="476" spans="50:62">
      <c r="AX476" s="49" t="s">
        <v>586</v>
      </c>
      <c r="AY476" t="str">
        <f>konkurs2!$S$16</f>
        <v/>
      </c>
      <c r="AZ476" t="str">
        <f>konkurs2!$AA$16</f>
        <v/>
      </c>
      <c r="BA476" t="str">
        <f>konkurs2!$G$16</f>
        <v/>
      </c>
      <c r="BB476" t="str">
        <f>konkurs2!$K$16</f>
        <v/>
      </c>
      <c r="BC476" t="str">
        <f>konkurs2!$C$16</f>
        <v/>
      </c>
      <c r="BD476" t="str">
        <f>konkurs2!$O$16</f>
        <v/>
      </c>
      <c r="BE476" t="str">
        <f>konkurs2!$AU$16</f>
        <v/>
      </c>
      <c r="BF476" t="str">
        <f>konkurs2!$AQ$16</f>
        <v/>
      </c>
      <c r="BG476" s="50" t="str">
        <f>konkurs2!$W$16</f>
        <v/>
      </c>
      <c r="BH476" s="50" t="str">
        <f>konkurs2!$AE$16</f>
        <v/>
      </c>
      <c r="BI476" s="50" t="str">
        <f>konkurs2!$AI$16</f>
        <v/>
      </c>
      <c r="BJ476" s="50" t="str">
        <f>konkurs2!$AM$16</f>
        <v/>
      </c>
    </row>
    <row r="477" spans="50:62">
      <c r="AX477" s="49" t="s">
        <v>587</v>
      </c>
      <c r="AY477" t="str">
        <f>konkurs2!$S$16</f>
        <v/>
      </c>
      <c r="AZ477" t="str">
        <f>konkurs2!$AA$16</f>
        <v/>
      </c>
      <c r="BA477" t="str">
        <f>konkurs2!$G$16</f>
        <v/>
      </c>
      <c r="BB477" t="str">
        <f>konkurs2!$K$16</f>
        <v/>
      </c>
      <c r="BC477" t="str">
        <f>konkurs2!$C$16</f>
        <v/>
      </c>
      <c r="BD477" t="str">
        <f>konkurs2!$O$16</f>
        <v/>
      </c>
      <c r="BE477" t="str">
        <f>konkurs2!$AU$16</f>
        <v/>
      </c>
      <c r="BF477" t="str">
        <f>konkurs2!$AM$16</f>
        <v/>
      </c>
      <c r="BG477" s="50" t="str">
        <f>konkurs2!$W$16</f>
        <v/>
      </c>
      <c r="BH477" s="50" t="str">
        <f>konkurs2!$AE$16</f>
        <v/>
      </c>
      <c r="BI477" s="50" t="str">
        <f>konkurs2!$AI$16</f>
        <v/>
      </c>
      <c r="BJ477" s="50" t="str">
        <f>konkurs2!$AQ$16</f>
        <v/>
      </c>
    </row>
    <row r="478" spans="50:62">
      <c r="AX478" s="49" t="s">
        <v>588</v>
      </c>
      <c r="AY478" t="str">
        <f>konkurs2!$S$16</f>
        <v/>
      </c>
      <c r="AZ478" t="str">
        <f>konkurs2!$AA$16</f>
        <v/>
      </c>
      <c r="BA478" t="str">
        <f>konkurs2!$G$16</f>
        <v/>
      </c>
      <c r="BB478" t="str">
        <f>konkurs2!$K$16</f>
        <v/>
      </c>
      <c r="BC478" t="str">
        <f>konkurs2!$C$16</f>
        <v/>
      </c>
      <c r="BD478" t="str">
        <f>konkurs2!$O$16</f>
        <v/>
      </c>
      <c r="BE478" t="str">
        <f>konkurs2!$AM$16</f>
        <v/>
      </c>
      <c r="BF478" t="str">
        <f>konkurs2!$AQ$16</f>
        <v/>
      </c>
      <c r="BG478" s="50" t="str">
        <f>konkurs2!$W$16</f>
        <v/>
      </c>
      <c r="BH478" s="50" t="str">
        <f>konkurs2!$AE$16</f>
        <v/>
      </c>
      <c r="BI478" s="50" t="str">
        <f>konkurs2!$AI$16</f>
        <v/>
      </c>
      <c r="BJ478" s="50" t="str">
        <f>konkurs2!$AU$16</f>
        <v/>
      </c>
    </row>
    <row r="479" spans="50:62">
      <c r="AX479" s="49" t="s">
        <v>589</v>
      </c>
      <c r="AY479" t="str">
        <f>konkurs2!$S$16</f>
        <v/>
      </c>
      <c r="AZ479" t="str">
        <f>konkurs2!$AA$16</f>
        <v/>
      </c>
      <c r="BA479" t="str">
        <f>konkurs2!$G$16</f>
        <v/>
      </c>
      <c r="BB479" t="str">
        <f>konkurs2!$K$16</f>
        <v/>
      </c>
      <c r="BC479" t="str">
        <f>konkurs2!$C$16</f>
        <v/>
      </c>
      <c r="BD479" t="str">
        <f>konkurs2!$O$16</f>
        <v/>
      </c>
      <c r="BE479" t="str">
        <f>konkurs2!$AU$16</f>
        <v/>
      </c>
      <c r="BF479" t="str">
        <f>konkurs2!$AI$16</f>
        <v/>
      </c>
      <c r="BG479" s="50" t="str">
        <f>konkurs2!$W$16</f>
        <v/>
      </c>
      <c r="BH479" s="50" t="str">
        <f>konkurs2!$AE$16</f>
        <v/>
      </c>
      <c r="BI479" s="50" t="str">
        <f>konkurs2!$AM$16</f>
        <v/>
      </c>
      <c r="BJ479" s="50" t="str">
        <f>konkurs2!$AQ$16</f>
        <v/>
      </c>
    </row>
    <row r="480" spans="50:62">
      <c r="AX480" s="49" t="s">
        <v>590</v>
      </c>
      <c r="AY480" t="str">
        <f>konkurs2!$S$16</f>
        <v/>
      </c>
      <c r="AZ480" t="str">
        <f>konkurs2!$AA$16</f>
        <v/>
      </c>
      <c r="BA480" t="str">
        <f>konkurs2!$G$16</f>
        <v/>
      </c>
      <c r="BB480" t="str">
        <f>konkurs2!$K$16</f>
        <v/>
      </c>
      <c r="BC480" t="str">
        <f>konkurs2!$C$16</f>
        <v/>
      </c>
      <c r="BD480" t="str">
        <f>konkurs2!$O$16</f>
        <v/>
      </c>
      <c r="BE480" t="str">
        <f>konkurs2!$AI$16</f>
        <v/>
      </c>
      <c r="BF480" t="str">
        <f>konkurs2!$AQ$16</f>
        <v/>
      </c>
      <c r="BG480" s="50" t="str">
        <f>konkurs2!$W$16</f>
        <v/>
      </c>
      <c r="BH480" s="50" t="str">
        <f>konkurs2!$AE$16</f>
        <v/>
      </c>
      <c r="BI480" s="50" t="str">
        <f>konkurs2!$AM$16</f>
        <v/>
      </c>
      <c r="BJ480" s="50" t="str">
        <f>konkurs2!$AU$16</f>
        <v/>
      </c>
    </row>
    <row r="481" spans="50:62">
      <c r="AX481" s="49" t="s">
        <v>591</v>
      </c>
      <c r="AY481" t="str">
        <f>konkurs2!$S$16</f>
        <v/>
      </c>
      <c r="AZ481" t="str">
        <f>konkurs2!$AA$16</f>
        <v/>
      </c>
      <c r="BA481" t="str">
        <f>konkurs2!$G$16</f>
        <v/>
      </c>
      <c r="BB481" t="str">
        <f>konkurs2!$K$16</f>
        <v/>
      </c>
      <c r="BC481" t="str">
        <f>konkurs2!$C$16</f>
        <v/>
      </c>
      <c r="BD481" t="str">
        <f>konkurs2!$O$16</f>
        <v/>
      </c>
      <c r="BE481" t="str">
        <f>konkurs2!$AI$16</f>
        <v/>
      </c>
      <c r="BF481" t="str">
        <f>konkurs2!$AM$16</f>
        <v/>
      </c>
      <c r="BG481" s="50" t="str">
        <f>konkurs2!$W$16</f>
        <v/>
      </c>
      <c r="BH481" s="50" t="str">
        <f>konkurs2!$AE$16</f>
        <v/>
      </c>
      <c r="BI481" s="50" t="str">
        <f>konkurs2!$AQ$16</f>
        <v/>
      </c>
      <c r="BJ481" s="50" t="str">
        <f>konkurs2!$AU$16</f>
        <v/>
      </c>
    </row>
    <row r="482" spans="50:62">
      <c r="AX482" s="49" t="s">
        <v>592</v>
      </c>
      <c r="AY482" t="str">
        <f>konkurs2!$AE$16</f>
        <v/>
      </c>
      <c r="AZ482" t="str">
        <f>konkurs2!$AA$16</f>
        <v/>
      </c>
      <c r="BA482" t="str">
        <f>konkurs2!$G$16</f>
        <v/>
      </c>
      <c r="BB482" t="str">
        <f>konkurs2!$K$16</f>
        <v/>
      </c>
      <c r="BC482" t="str">
        <f>konkurs2!$C$16</f>
        <v/>
      </c>
      <c r="BD482" t="str">
        <f>konkurs2!$O$16</f>
        <v/>
      </c>
      <c r="BE482" t="str">
        <f>konkurs2!$AU$16</f>
        <v/>
      </c>
      <c r="BF482" t="str">
        <f>konkurs2!$S$16</f>
        <v/>
      </c>
      <c r="BG482" s="50" t="str">
        <f>konkurs2!$W$16</f>
        <v/>
      </c>
      <c r="BH482" s="50" t="str">
        <f>konkurs2!$AI$16</f>
        <v/>
      </c>
      <c r="BI482" s="50" t="str">
        <f>konkurs2!$AM$16</f>
        <v/>
      </c>
      <c r="BJ482" s="50" t="str">
        <f>konkurs2!$AQ$16</f>
        <v/>
      </c>
    </row>
    <row r="483" spans="50:62">
      <c r="AX483" s="49" t="s">
        <v>593</v>
      </c>
      <c r="AY483" t="str">
        <f>konkurs2!$AE$16</f>
        <v/>
      </c>
      <c r="AZ483" t="str">
        <f>konkurs2!$AA$16</f>
        <v/>
      </c>
      <c r="BA483" t="str">
        <f>konkurs2!$G$16</f>
        <v/>
      </c>
      <c r="BB483" t="str">
        <f>konkurs2!$K$16</f>
        <v/>
      </c>
      <c r="BC483" t="str">
        <f>konkurs2!$C$16</f>
        <v/>
      </c>
      <c r="BD483" t="str">
        <f>konkurs2!$O$16</f>
        <v/>
      </c>
      <c r="BE483" t="str">
        <f>konkurs2!$S$16</f>
        <v/>
      </c>
      <c r="BF483" t="str">
        <f>konkurs2!$AQ$16</f>
        <v/>
      </c>
      <c r="BG483" s="50" t="str">
        <f>konkurs2!$W$16</f>
        <v/>
      </c>
      <c r="BH483" s="50" t="str">
        <f>konkurs2!$AI$16</f>
        <v/>
      </c>
      <c r="BI483" s="50" t="str">
        <f>konkurs2!$AM$16</f>
        <v/>
      </c>
      <c r="BJ483" s="50" t="str">
        <f>konkurs2!$AU$16</f>
        <v/>
      </c>
    </row>
    <row r="484" spans="50:62">
      <c r="AX484" s="49" t="s">
        <v>594</v>
      </c>
      <c r="AY484" t="str">
        <f>konkurs2!$AE$16</f>
        <v/>
      </c>
      <c r="AZ484" t="str">
        <f>konkurs2!$AA$16</f>
        <v/>
      </c>
      <c r="BA484" t="str">
        <f>konkurs2!$G$16</f>
        <v/>
      </c>
      <c r="BB484" t="str">
        <f>konkurs2!$K$16</f>
        <v/>
      </c>
      <c r="BC484" t="str">
        <f>konkurs2!$C$16</f>
        <v/>
      </c>
      <c r="BD484" t="str">
        <f>konkurs2!$O$16</f>
        <v/>
      </c>
      <c r="BE484" t="str">
        <f>konkurs2!$S$16</f>
        <v/>
      </c>
      <c r="BF484" t="str">
        <f>konkurs2!$AM$16</f>
        <v/>
      </c>
      <c r="BG484" s="50" t="str">
        <f>konkurs2!$W$16</f>
        <v/>
      </c>
      <c r="BH484" s="50" t="str">
        <f>konkurs2!$AI$16</f>
        <v/>
      </c>
      <c r="BI484" s="50" t="str">
        <f>konkurs2!$AQ$16</f>
        <v/>
      </c>
      <c r="BJ484" s="50" t="str">
        <f>konkurs2!$AU$16</f>
        <v/>
      </c>
    </row>
    <row r="485" spans="50:62">
      <c r="AX485" s="49" t="s">
        <v>595</v>
      </c>
      <c r="AY485" t="str">
        <f>konkurs2!$AE$16</f>
        <v/>
      </c>
      <c r="AZ485" t="str">
        <f>konkurs2!$AA$16</f>
        <v/>
      </c>
      <c r="BA485" t="str">
        <f>konkurs2!$G$16</f>
        <v/>
      </c>
      <c r="BB485" t="str">
        <f>konkurs2!$K$16</f>
        <v/>
      </c>
      <c r="BC485" t="str">
        <f>konkurs2!$C$16</f>
        <v/>
      </c>
      <c r="BD485" t="str">
        <f>konkurs2!$O$16</f>
        <v/>
      </c>
      <c r="BE485" t="str">
        <f>konkurs2!$S$16</f>
        <v/>
      </c>
      <c r="BF485" t="str">
        <f>konkurs2!$AI$16</f>
        <v/>
      </c>
      <c r="BG485" s="50" t="str">
        <f>konkurs2!$W$16</f>
        <v/>
      </c>
      <c r="BH485" s="50" t="str">
        <f>konkurs2!$AM$16</f>
        <v/>
      </c>
      <c r="BI485" s="50" t="str">
        <f>konkurs2!$AQ$16</f>
        <v/>
      </c>
      <c r="BJ485" s="50" t="str">
        <f>konkurs2!$AU$16</f>
        <v/>
      </c>
    </row>
    <row r="486" spans="50:62">
      <c r="AX486" s="49" t="s">
        <v>596</v>
      </c>
      <c r="AY486" t="str">
        <f>konkurs2!$K$16</f>
        <v/>
      </c>
      <c r="AZ486" t="str">
        <f>konkurs2!$S$16</f>
        <v/>
      </c>
      <c r="BA486" t="str">
        <f>konkurs2!$G$16</f>
        <v/>
      </c>
      <c r="BB486" t="str">
        <f>konkurs2!$O$16</f>
        <v/>
      </c>
      <c r="BC486" t="str">
        <f>konkurs2!$C$16</f>
        <v/>
      </c>
      <c r="BD486" t="str">
        <f>konkurs2!$W$16</f>
        <v/>
      </c>
      <c r="BE486" t="str">
        <f>konkurs2!$AU$16</f>
        <v/>
      </c>
      <c r="BF486" t="str">
        <f>konkurs2!$AQ$16</f>
        <v/>
      </c>
      <c r="BG486" s="50" t="str">
        <f>konkurs2!$AA$16</f>
        <v/>
      </c>
      <c r="BH486" s="50" t="str">
        <f>konkurs2!$AE$16</f>
        <v/>
      </c>
      <c r="BI486" s="50" t="str">
        <f>konkurs2!$AI$16</f>
        <v/>
      </c>
      <c r="BJ486" s="50" t="str">
        <f>konkurs2!$AM$16</f>
        <v/>
      </c>
    </row>
    <row r="487" spans="50:62">
      <c r="AX487" s="49" t="s">
        <v>597</v>
      </c>
      <c r="AY487" t="str">
        <f>konkurs2!$K$16</f>
        <v/>
      </c>
      <c r="AZ487" t="str">
        <f>konkurs2!$AM$16</f>
        <v/>
      </c>
      <c r="BA487" t="str">
        <f>konkurs2!$G$16</f>
        <v/>
      </c>
      <c r="BB487" t="str">
        <f>konkurs2!$O$16</f>
        <v/>
      </c>
      <c r="BC487" t="str">
        <f>konkurs2!$C$16</f>
        <v/>
      </c>
      <c r="BD487" t="str">
        <f>konkurs2!$W$16</f>
        <v/>
      </c>
      <c r="BE487" t="str">
        <f>konkurs2!$AU$16</f>
        <v/>
      </c>
      <c r="BF487" t="str">
        <f>konkurs2!$S$16</f>
        <v/>
      </c>
      <c r="BG487" s="50" t="str">
        <f>konkurs2!$AA$16</f>
        <v/>
      </c>
      <c r="BH487" s="50" t="str">
        <f>konkurs2!$AE$16</f>
        <v/>
      </c>
      <c r="BI487" s="50" t="str">
        <f>konkurs2!$AI$16</f>
        <v/>
      </c>
      <c r="BJ487" s="50" t="str">
        <f>konkurs2!$AQ$16</f>
        <v/>
      </c>
    </row>
    <row r="488" spans="50:62">
      <c r="AX488" s="49" t="s">
        <v>598</v>
      </c>
      <c r="AY488" t="str">
        <f>konkurs2!$K$16</f>
        <v/>
      </c>
      <c r="AZ488" t="str">
        <f>konkurs2!$AM$16</f>
        <v/>
      </c>
      <c r="BA488" t="str">
        <f>konkurs2!$G$16</f>
        <v/>
      </c>
      <c r="BB488" t="str">
        <f>konkurs2!$O$16</f>
        <v/>
      </c>
      <c r="BC488" t="str">
        <f>konkurs2!$C$16</f>
        <v/>
      </c>
      <c r="BD488" t="str">
        <f>konkurs2!$W$16</f>
        <v/>
      </c>
      <c r="BE488" t="str">
        <f>konkurs2!$S$16</f>
        <v/>
      </c>
      <c r="BF488" t="str">
        <f>konkurs2!$AQ$16</f>
        <v/>
      </c>
      <c r="BG488" s="50" t="str">
        <f>konkurs2!$AA$16</f>
        <v/>
      </c>
      <c r="BH488" s="50" t="str">
        <f>konkurs2!$AE$16</f>
        <v/>
      </c>
      <c r="BI488" s="50" t="str">
        <f>konkurs2!$AI$16</f>
        <v/>
      </c>
      <c r="BJ488" s="50" t="str">
        <f>konkurs2!$AU$16</f>
        <v/>
      </c>
    </row>
    <row r="489" spans="50:62">
      <c r="AX489" s="49" t="s">
        <v>599</v>
      </c>
      <c r="AY489" t="str">
        <f>konkurs2!$K$16</f>
        <v/>
      </c>
      <c r="AZ489" t="str">
        <f>konkurs2!$S$16</f>
        <v/>
      </c>
      <c r="BA489" t="str">
        <f>konkurs2!$G$16</f>
        <v/>
      </c>
      <c r="BB489" t="str">
        <f>konkurs2!$O$16</f>
        <v/>
      </c>
      <c r="BC489" t="str">
        <f>konkurs2!$C$16</f>
        <v/>
      </c>
      <c r="BD489" t="str">
        <f>konkurs2!$W$16</f>
        <v/>
      </c>
      <c r="BE489" t="str">
        <f>konkurs2!$AU$16</f>
        <v/>
      </c>
      <c r="BF489" t="str">
        <f>konkurs2!$AI$16</f>
        <v/>
      </c>
      <c r="BG489" s="50" t="str">
        <f>konkurs2!$AA$16</f>
        <v/>
      </c>
      <c r="BH489" s="50" t="str">
        <f>konkurs2!$AE$16</f>
        <v/>
      </c>
      <c r="BI489" s="50" t="str">
        <f>konkurs2!$AM$16</f>
        <v/>
      </c>
      <c r="BJ489" s="50" t="str">
        <f>konkurs2!$AQ$16</f>
        <v/>
      </c>
    </row>
    <row r="490" spans="50:62">
      <c r="AX490" s="49" t="s">
        <v>600</v>
      </c>
      <c r="AY490" t="str">
        <f>konkurs2!$K$16</f>
        <v/>
      </c>
      <c r="AZ490" t="str">
        <f>konkurs2!$S$16</f>
        <v/>
      </c>
      <c r="BA490" t="str">
        <f>konkurs2!$G$16</f>
        <v/>
      </c>
      <c r="BB490" t="str">
        <f>konkurs2!$O$16</f>
        <v/>
      </c>
      <c r="BC490" t="str">
        <f>konkurs2!$C$16</f>
        <v/>
      </c>
      <c r="BD490" t="str">
        <f>konkurs2!$W$16</f>
        <v/>
      </c>
      <c r="BE490" t="str">
        <f>konkurs2!$AI$16</f>
        <v/>
      </c>
      <c r="BF490" t="str">
        <f>konkurs2!$AQ$16</f>
        <v/>
      </c>
      <c r="BG490" s="50" t="str">
        <f>konkurs2!$AA$16</f>
        <v/>
      </c>
      <c r="BH490" s="50" t="str">
        <f>konkurs2!$AE$16</f>
        <v/>
      </c>
      <c r="BI490" s="50" t="str">
        <f>konkurs2!$AM$16</f>
        <v/>
      </c>
      <c r="BJ490" s="50" t="str">
        <f>konkurs2!$AU$16</f>
        <v/>
      </c>
    </row>
    <row r="491" spans="50:62">
      <c r="AX491" s="49" t="s">
        <v>601</v>
      </c>
      <c r="AY491" t="str">
        <f>konkurs2!$K$16</f>
        <v/>
      </c>
      <c r="AZ491" t="str">
        <f>konkurs2!$AM$16</f>
        <v/>
      </c>
      <c r="BA491" t="str">
        <f>konkurs2!$G$16</f>
        <v/>
      </c>
      <c r="BB491" t="str">
        <f>konkurs2!$O$16</f>
        <v/>
      </c>
      <c r="BC491" t="str">
        <f>konkurs2!$C$16</f>
        <v/>
      </c>
      <c r="BD491" t="str">
        <f>konkurs2!$W$16</f>
        <v/>
      </c>
      <c r="BE491" t="str">
        <f>konkurs2!$S$16</f>
        <v/>
      </c>
      <c r="BF491" t="str">
        <f>konkurs2!$AI$16</f>
        <v/>
      </c>
      <c r="BG491" s="50" t="str">
        <f>konkurs2!$AA$16</f>
        <v/>
      </c>
      <c r="BH491" s="50" t="str">
        <f>konkurs2!$AE$16</f>
        <v/>
      </c>
      <c r="BI491" s="50" t="str">
        <f>konkurs2!$AQ$16</f>
        <v/>
      </c>
      <c r="BJ491" s="50" t="str">
        <f>konkurs2!$AU$16</f>
        <v/>
      </c>
    </row>
    <row r="492" spans="50:62">
      <c r="AX492" s="49" t="s">
        <v>602</v>
      </c>
      <c r="AY492" t="str">
        <f>konkurs2!$AE$16</f>
        <v/>
      </c>
      <c r="AZ492" t="str">
        <f>konkurs2!$W$16</f>
        <v/>
      </c>
      <c r="BA492" t="str">
        <f>konkurs2!$G$16</f>
        <v/>
      </c>
      <c r="BB492" t="str">
        <f>konkurs2!$K$16</f>
        <v/>
      </c>
      <c r="BC492" t="str">
        <f>konkurs2!$C$16</f>
        <v/>
      </c>
      <c r="BD492" t="str">
        <f>konkurs2!$O$16</f>
        <v/>
      </c>
      <c r="BE492" t="str">
        <f>konkurs2!$AU$16</f>
        <v/>
      </c>
      <c r="BF492" t="str">
        <f>konkurs2!$S$16</f>
        <v/>
      </c>
      <c r="BG492" s="50" t="str">
        <f>konkurs2!$AA$16</f>
        <v/>
      </c>
      <c r="BH492" s="50" t="str">
        <f>konkurs2!$AI$16</f>
        <v/>
      </c>
      <c r="BI492" s="50" t="str">
        <f>konkurs2!$AM$16</f>
        <v/>
      </c>
      <c r="BJ492" s="50" t="str">
        <f>konkurs2!$AQ$16</f>
        <v/>
      </c>
    </row>
    <row r="493" spans="50:62">
      <c r="AX493" s="49" t="s">
        <v>603</v>
      </c>
      <c r="AY493" t="str">
        <f>konkurs2!$AE$16</f>
        <v/>
      </c>
      <c r="AZ493" t="str">
        <f>konkurs2!$S$16</f>
        <v/>
      </c>
      <c r="BA493" t="str">
        <f>konkurs2!$G$16</f>
        <v/>
      </c>
      <c r="BB493" t="str">
        <f>konkurs2!$K$16</f>
        <v/>
      </c>
      <c r="BC493" t="str">
        <f>konkurs2!$C$16</f>
        <v/>
      </c>
      <c r="BD493" t="str">
        <f>konkurs2!$W$16</f>
        <v/>
      </c>
      <c r="BE493" t="str">
        <f>konkurs2!$O$16</f>
        <v/>
      </c>
      <c r="BF493" t="str">
        <f>konkurs2!$AQ$16</f>
        <v/>
      </c>
      <c r="BG493" s="50" t="str">
        <f>konkurs2!$AA$16</f>
        <v/>
      </c>
      <c r="BH493" s="50" t="str">
        <f>konkurs2!$AI$16</f>
        <v/>
      </c>
      <c r="BI493" s="50" t="str">
        <f>konkurs2!$AM$16</f>
        <v/>
      </c>
      <c r="BJ493" s="50" t="str">
        <f>konkurs2!$AU$16</f>
        <v/>
      </c>
    </row>
    <row r="494" spans="50:62">
      <c r="AX494" s="49" t="s">
        <v>604</v>
      </c>
      <c r="AY494" t="str">
        <f>konkurs2!$AE$16</f>
        <v/>
      </c>
      <c r="AZ494" t="str">
        <f>konkurs2!$AM$16</f>
        <v/>
      </c>
      <c r="BA494" t="str">
        <f>konkurs2!$G$16</f>
        <v/>
      </c>
      <c r="BB494" t="str">
        <f>konkurs2!$K$16</f>
        <v/>
      </c>
      <c r="BC494" t="str">
        <f>konkurs2!$C$16</f>
        <v/>
      </c>
      <c r="BD494" t="str">
        <f>konkurs2!$W$16</f>
        <v/>
      </c>
      <c r="BE494" t="str">
        <f>konkurs2!$O$16</f>
        <v/>
      </c>
      <c r="BF494" t="str">
        <f>konkurs2!$S$16</f>
        <v/>
      </c>
      <c r="BG494" s="50" t="str">
        <f>konkurs2!$AA$16</f>
        <v/>
      </c>
      <c r="BH494" s="50" t="str">
        <f>konkurs2!$AI$16</f>
        <v/>
      </c>
      <c r="BI494" s="50" t="str">
        <f>konkurs2!$AQ$16</f>
        <v/>
      </c>
      <c r="BJ494" s="50" t="str">
        <f>konkurs2!$AU$16</f>
        <v/>
      </c>
    </row>
    <row r="495" spans="50:62">
      <c r="AX495" s="49" t="s">
        <v>605</v>
      </c>
      <c r="AY495" t="str">
        <f>konkurs2!$AE$16</f>
        <v/>
      </c>
      <c r="AZ495" t="str">
        <f>konkurs2!$S$16</f>
        <v/>
      </c>
      <c r="BA495" t="str">
        <f>konkurs2!$G$16</f>
        <v/>
      </c>
      <c r="BB495" t="str">
        <f>konkurs2!$K$16</f>
        <v/>
      </c>
      <c r="BC495" t="str">
        <f>konkurs2!$C$16</f>
        <v/>
      </c>
      <c r="BD495" t="str">
        <f>konkurs2!$W$16</f>
        <v/>
      </c>
      <c r="BE495" t="str">
        <f>konkurs2!$O$16</f>
        <v/>
      </c>
      <c r="BF495" t="str">
        <f>konkurs2!$AI$16</f>
        <v/>
      </c>
      <c r="BG495" s="50" t="str">
        <f>konkurs2!$AA$16</f>
        <v/>
      </c>
      <c r="BH495" s="50" t="str">
        <f>konkurs2!$AM$16</f>
        <v/>
      </c>
      <c r="BI495" s="50" t="str">
        <f>konkurs2!$AQ$16</f>
        <v/>
      </c>
      <c r="BJ495" s="50" t="str">
        <f>konkurs2!$AU$16</f>
        <v/>
      </c>
    </row>
    <row r="496" spans="50:62">
      <c r="AX496" s="49" t="s">
        <v>606</v>
      </c>
      <c r="AY496" t="str">
        <f>konkurs2!$K$16</f>
        <v/>
      </c>
      <c r="AZ496" t="str">
        <f>konkurs2!$AA$16</f>
        <v/>
      </c>
      <c r="BA496" t="str">
        <f>konkurs2!$G$16</f>
        <v/>
      </c>
      <c r="BB496" t="str">
        <f>konkurs2!$O$16</f>
        <v/>
      </c>
      <c r="BC496" t="str">
        <f>konkurs2!$C$16</f>
        <v/>
      </c>
      <c r="BD496" t="str">
        <f>konkurs2!$W$16</f>
        <v/>
      </c>
      <c r="BE496" t="str">
        <f>konkurs2!$AU$16</f>
        <v/>
      </c>
      <c r="BF496" t="str">
        <f>konkurs2!$S$16</f>
        <v/>
      </c>
      <c r="BG496" s="50" t="str">
        <f>konkurs2!$AE$16</f>
        <v/>
      </c>
      <c r="BH496" s="50" t="str">
        <f>konkurs2!$AI$16</f>
        <v/>
      </c>
      <c r="BI496" s="50" t="str">
        <f>konkurs2!$AM$16</f>
        <v/>
      </c>
      <c r="BJ496" s="50" t="str">
        <f>konkurs2!$AQ$16</f>
        <v/>
      </c>
    </row>
    <row r="497" spans="50:62">
      <c r="AX497" s="49" t="s">
        <v>607</v>
      </c>
      <c r="AY497" t="str">
        <f>konkurs2!$K$16</f>
        <v/>
      </c>
      <c r="AZ497" t="str">
        <f>konkurs2!$AA$16</f>
        <v/>
      </c>
      <c r="BA497" t="str">
        <f>konkurs2!$G$16</f>
        <v/>
      </c>
      <c r="BB497" t="str">
        <f>konkurs2!$O$16</f>
        <v/>
      </c>
      <c r="BC497" t="str">
        <f>konkurs2!$C$16</f>
        <v/>
      </c>
      <c r="BD497" t="str">
        <f>konkurs2!$W$16</f>
        <v/>
      </c>
      <c r="BE497" t="str">
        <f>konkurs2!$S$16</f>
        <v/>
      </c>
      <c r="BF497" t="str">
        <f>konkurs2!$AQ$16</f>
        <v/>
      </c>
      <c r="BG497" s="50" t="str">
        <f>konkurs2!$AE$16</f>
        <v/>
      </c>
      <c r="BH497" s="50" t="str">
        <f>konkurs2!$AI$16</f>
        <v/>
      </c>
      <c r="BI497" s="50" t="str">
        <f>konkurs2!$AM$16</f>
        <v/>
      </c>
      <c r="BJ497" s="50" t="str">
        <f>konkurs2!$AU$16</f>
        <v/>
      </c>
    </row>
    <row r="498" spans="50:62">
      <c r="AX498" s="49" t="s">
        <v>608</v>
      </c>
      <c r="AY498" t="str">
        <f>konkurs2!$K$16</f>
        <v/>
      </c>
      <c r="AZ498" t="str">
        <f>konkurs2!$AA$16</f>
        <v/>
      </c>
      <c r="BA498" t="str">
        <f>konkurs2!$G$16</f>
        <v/>
      </c>
      <c r="BB498" t="str">
        <f>konkurs2!$O$16</f>
        <v/>
      </c>
      <c r="BC498" t="str">
        <f>konkurs2!$C$16</f>
        <v/>
      </c>
      <c r="BD498" t="str">
        <f>konkurs2!$W$16</f>
        <v/>
      </c>
      <c r="BE498" t="str">
        <f>konkurs2!$S$16</f>
        <v/>
      </c>
      <c r="BF498" t="str">
        <f>konkurs2!$AM$16</f>
        <v/>
      </c>
      <c r="BG498" s="50" t="str">
        <f>konkurs2!$AE$16</f>
        <v/>
      </c>
      <c r="BH498" s="50" t="str">
        <f>konkurs2!$AI$16</f>
        <v/>
      </c>
      <c r="BI498" s="50" t="str">
        <f>konkurs2!$AQ$16</f>
        <v/>
      </c>
      <c r="BJ498" s="50" t="str">
        <f>konkurs2!$AU$16</f>
        <v/>
      </c>
    </row>
    <row r="499" spans="50:62">
      <c r="AX499" s="49" t="s">
        <v>609</v>
      </c>
      <c r="AY499" t="str">
        <f>konkurs2!$K$16</f>
        <v/>
      </c>
      <c r="AZ499" t="str">
        <f>konkurs2!$AA$16</f>
        <v/>
      </c>
      <c r="BA499" t="str">
        <f>konkurs2!$G$16</f>
        <v/>
      </c>
      <c r="BB499" t="str">
        <f>konkurs2!$O$16</f>
        <v/>
      </c>
      <c r="BC499" t="str">
        <f>konkurs2!$C$16</f>
        <v/>
      </c>
      <c r="BD499" t="str">
        <f>konkurs2!$W$16</f>
        <v/>
      </c>
      <c r="BE499" t="str">
        <f>konkurs2!$S$16</f>
        <v/>
      </c>
      <c r="BF499" t="str">
        <f>konkurs2!$AI$16</f>
        <v/>
      </c>
      <c r="BG499" s="50" t="str">
        <f>konkurs2!$AE$16</f>
        <v/>
      </c>
      <c r="BH499" s="50" t="str">
        <f>konkurs2!$AM$16</f>
        <v/>
      </c>
      <c r="BI499" s="50" t="str">
        <f>konkurs2!$AQ$16</f>
        <v/>
      </c>
      <c r="BJ499" s="50" t="str">
        <f>konkurs2!$AU$16</f>
        <v/>
      </c>
    </row>
    <row r="500" spans="50:62">
      <c r="AX500" s="74" t="s">
        <v>610</v>
      </c>
      <c r="AY500" t="str">
        <f>konkurs2!$AE$16</f>
        <v/>
      </c>
      <c r="AZ500" t="str">
        <f>konkurs2!$AA$16</f>
        <v/>
      </c>
      <c r="BA500" t="str">
        <f>konkurs2!$G$16</f>
        <v/>
      </c>
      <c r="BB500" t="str">
        <f>konkurs2!$K$16</f>
        <v/>
      </c>
      <c r="BC500" t="str">
        <f>konkurs2!$C$16</f>
        <v/>
      </c>
      <c r="BD500" t="str">
        <f>konkurs2!$W$16</f>
        <v/>
      </c>
      <c r="BE500" t="str">
        <f>konkurs2!$O$16</f>
        <v/>
      </c>
      <c r="BF500" t="str">
        <f>konkurs2!$S$16</f>
        <v/>
      </c>
      <c r="BG500" s="50" t="str">
        <f>konkurs2!$AI$16</f>
        <v/>
      </c>
      <c r="BH500" s="50" t="str">
        <f>konkurs2!$AM$16</f>
        <v/>
      </c>
      <c r="BI500" s="50" t="str">
        <f>konkurs2!$AQ$16</f>
        <v/>
      </c>
      <c r="BJ500" s="50" t="str">
        <f>konkurs2!$AU$16</f>
        <v/>
      </c>
    </row>
    <row r="501" spans="50:62">
      <c r="AX501" s="1"/>
    </row>
    <row r="502" spans="50:62">
      <c r="AX502" s="1"/>
    </row>
  </sheetData>
  <sheetProtection algorithmName="SHA-512" hashValue="HkYEpfm1NVzQaXdEY/LR75xVhYlZKRk+bE0SN+YMX3A5dcGAhRxoVqmk8URZOO7erYKwAfQndfB+p0tjUN461Q==" saltValue="7q6i3tt54HVvGiQfXZpZJQ==" spinCount="100000" sheet="1" objects="1" scenarios="1"/>
  <mergeCells count="70">
    <mergeCell ref="O72:S72"/>
    <mergeCell ref="O71:S71"/>
    <mergeCell ref="C35:V35"/>
    <mergeCell ref="G24:K24"/>
    <mergeCell ref="C22:V22"/>
    <mergeCell ref="C21:V21"/>
    <mergeCell ref="C2:E2"/>
    <mergeCell ref="V39:W39"/>
    <mergeCell ref="AA39:AB39"/>
    <mergeCell ref="AD39:AE39"/>
    <mergeCell ref="C41:D41"/>
    <mergeCell ref="F41:G41"/>
    <mergeCell ref="K41:L41"/>
    <mergeCell ref="N41:O41"/>
    <mergeCell ref="S41:T41"/>
    <mergeCell ref="V41:W41"/>
    <mergeCell ref="AA41:AB41"/>
    <mergeCell ref="C39:D39"/>
    <mergeCell ref="F39:G39"/>
    <mergeCell ref="K39:L39"/>
    <mergeCell ref="N39:O39"/>
    <mergeCell ref="S39:T39"/>
    <mergeCell ref="AD41:AE41"/>
    <mergeCell ref="V43:W43"/>
    <mergeCell ref="AA43:AB43"/>
    <mergeCell ref="AD43:AE43"/>
    <mergeCell ref="C45:D45"/>
    <mergeCell ref="F45:G45"/>
    <mergeCell ref="K45:L45"/>
    <mergeCell ref="N45:O45"/>
    <mergeCell ref="S45:T45"/>
    <mergeCell ref="AA45:AB45"/>
    <mergeCell ref="AD45:AE45"/>
    <mergeCell ref="C43:D43"/>
    <mergeCell ref="F43:G43"/>
    <mergeCell ref="K43:L43"/>
    <mergeCell ref="N43:O43"/>
    <mergeCell ref="S43:T43"/>
    <mergeCell ref="K49:L49"/>
    <mergeCell ref="N49:O49"/>
    <mergeCell ref="S49:T49"/>
    <mergeCell ref="V49:W49"/>
    <mergeCell ref="V45:W45"/>
    <mergeCell ref="K51:L51"/>
    <mergeCell ref="N51:O51"/>
    <mergeCell ref="S51:T51"/>
    <mergeCell ref="V51:W51"/>
    <mergeCell ref="K53:L53"/>
    <mergeCell ref="N53:O53"/>
    <mergeCell ref="S53:T53"/>
    <mergeCell ref="V53:W53"/>
    <mergeCell ref="K55:L55"/>
    <mergeCell ref="N55:O55"/>
    <mergeCell ref="S55:T55"/>
    <mergeCell ref="V55:W55"/>
    <mergeCell ref="K59:L59"/>
    <mergeCell ref="N59:O59"/>
    <mergeCell ref="S59:T59"/>
    <mergeCell ref="V59:W59"/>
    <mergeCell ref="V61:W61"/>
    <mergeCell ref="K65:L65"/>
    <mergeCell ref="N65:O65"/>
    <mergeCell ref="S65:T65"/>
    <mergeCell ref="V65:W65"/>
    <mergeCell ref="O67:S67"/>
    <mergeCell ref="N69:O69"/>
    <mergeCell ref="S69:T69"/>
    <mergeCell ref="K61:L61"/>
    <mergeCell ref="N61:O61"/>
    <mergeCell ref="S61:T61"/>
  </mergeCells>
  <conditionalFormatting sqref="C6:C9 G6:G9 K6:K9 O6:O9 S6:S9 W6:W9 AE6:AE9 AM6:AM9 G26:G29 K26:K33">
    <cfRule type="cellIs" dxfId="159" priority="87" operator="between">
      <formula>3</formula>
      <formula>4</formula>
    </cfRule>
    <cfRule type="cellIs" dxfId="158" priority="88" operator="equal">
      <formula>"o"</formula>
    </cfRule>
  </conditionalFormatting>
  <conditionalFormatting sqref="C14:C17">
    <cfRule type="cellIs" dxfId="157" priority="75" operator="between">
      <formula>3</formula>
      <formula>4</formula>
    </cfRule>
    <cfRule type="cellIs" dxfId="156" priority="76" operator="equal">
      <formula>"o"</formula>
    </cfRule>
  </conditionalFormatting>
  <conditionalFormatting sqref="C39">
    <cfRule type="cellIs" dxfId="155" priority="127" operator="between">
      <formula>3</formula>
      <formula>4</formula>
    </cfRule>
    <cfRule type="cellIs" dxfId="154" priority="128" operator="equal">
      <formula>"o"</formula>
    </cfRule>
  </conditionalFormatting>
  <conditionalFormatting sqref="C41">
    <cfRule type="cellIs" dxfId="153" priority="125" operator="between">
      <formula>3</formula>
      <formula>4</formula>
    </cfRule>
    <cfRule type="cellIs" dxfId="152" priority="126" operator="equal">
      <formula>"o"</formula>
    </cfRule>
  </conditionalFormatting>
  <conditionalFormatting sqref="C43">
    <cfRule type="cellIs" dxfId="151" priority="123" operator="between">
      <formula>3</formula>
      <formula>4</formula>
    </cfRule>
    <cfRule type="cellIs" dxfId="150" priority="124" operator="equal">
      <formula>"o"</formula>
    </cfRule>
  </conditionalFormatting>
  <conditionalFormatting sqref="C45">
    <cfRule type="cellIs" dxfId="149" priority="117" operator="between">
      <formula>3</formula>
      <formula>4</formula>
    </cfRule>
    <cfRule type="cellIs" dxfId="148" priority="118" operator="equal">
      <formula>"o"</formula>
    </cfRule>
  </conditionalFormatting>
  <conditionalFormatting sqref="F39">
    <cfRule type="cellIs" dxfId="147" priority="103" operator="between">
      <formula>3</formula>
      <formula>4</formula>
    </cfRule>
    <cfRule type="cellIs" dxfId="146" priority="104" operator="equal">
      <formula>"o"</formula>
    </cfRule>
  </conditionalFormatting>
  <conditionalFormatting sqref="F41">
    <cfRule type="cellIs" dxfId="145" priority="101" operator="between">
      <formula>3</formula>
      <formula>4</formula>
    </cfRule>
    <cfRule type="cellIs" dxfId="144" priority="102" operator="equal">
      <formula>"o"</formula>
    </cfRule>
  </conditionalFormatting>
  <conditionalFormatting sqref="F43">
    <cfRule type="cellIs" dxfId="143" priority="121" operator="between">
      <formula>3</formula>
      <formula>4</formula>
    </cfRule>
    <cfRule type="cellIs" dxfId="142" priority="122" operator="equal">
      <formula>"o"</formula>
    </cfRule>
  </conditionalFormatting>
  <conditionalFormatting sqref="F45">
    <cfRule type="cellIs" dxfId="141" priority="119" operator="between">
      <formula>3</formula>
      <formula>4</formula>
    </cfRule>
    <cfRule type="cellIs" dxfId="140" priority="120" operator="equal">
      <formula>"o"</formula>
    </cfRule>
  </conditionalFormatting>
  <conditionalFormatting sqref="G14:G17">
    <cfRule type="cellIs" dxfId="139" priority="73" operator="between">
      <formula>3</formula>
      <formula>4</formula>
    </cfRule>
    <cfRule type="cellIs" dxfId="138" priority="74" operator="equal">
      <formula>"o"</formula>
    </cfRule>
  </conditionalFormatting>
  <conditionalFormatting sqref="G24">
    <cfRule type="cellIs" dxfId="137" priority="77" operator="between">
      <formula>3</formula>
      <formula>4</formula>
    </cfRule>
    <cfRule type="cellIs" dxfId="136" priority="78" operator="equal">
      <formula>"o"</formula>
    </cfRule>
  </conditionalFormatting>
  <conditionalFormatting sqref="K14:K17">
    <cfRule type="cellIs" dxfId="135" priority="71" operator="between">
      <formula>3</formula>
      <formula>4</formula>
    </cfRule>
    <cfRule type="cellIs" dxfId="134" priority="72" operator="equal">
      <formula>"o"</formula>
    </cfRule>
  </conditionalFormatting>
  <conditionalFormatting sqref="K39">
    <cfRule type="cellIs" dxfId="133" priority="151" operator="between">
      <formula>3</formula>
      <formula>4</formula>
    </cfRule>
    <cfRule type="cellIs" dxfId="132" priority="152" operator="equal">
      <formula>"o"</formula>
    </cfRule>
  </conditionalFormatting>
  <conditionalFormatting sqref="K41">
    <cfRule type="cellIs" dxfId="131" priority="143" operator="between">
      <formula>3</formula>
      <formula>4</formula>
    </cfRule>
    <cfRule type="cellIs" dxfId="130" priority="144" operator="equal">
      <formula>"o"</formula>
    </cfRule>
  </conditionalFormatting>
  <conditionalFormatting sqref="K43">
    <cfRule type="cellIs" dxfId="129" priority="135" operator="between">
      <formula>3</formula>
      <formula>4</formula>
    </cfRule>
    <cfRule type="cellIs" dxfId="128" priority="136" operator="equal">
      <formula>"o"</formula>
    </cfRule>
  </conditionalFormatting>
  <conditionalFormatting sqref="K45">
    <cfRule type="cellIs" dxfId="127" priority="129" operator="between">
      <formula>3</formula>
      <formula>4</formula>
    </cfRule>
    <cfRule type="cellIs" dxfId="126" priority="130" operator="equal">
      <formula>"o"</formula>
    </cfRule>
  </conditionalFormatting>
  <conditionalFormatting sqref="K49">
    <cfRule type="cellIs" dxfId="125" priority="163" operator="between">
      <formula>3</formula>
      <formula>4</formula>
    </cfRule>
    <cfRule type="cellIs" dxfId="124" priority="164" operator="equal">
      <formula>"o"</formula>
    </cfRule>
  </conditionalFormatting>
  <conditionalFormatting sqref="K51">
    <cfRule type="cellIs" dxfId="123" priority="51" operator="between">
      <formula>3</formula>
      <formula>4</formula>
    </cfRule>
    <cfRule type="cellIs" dxfId="122" priority="52" operator="equal">
      <formula>"o"</formula>
    </cfRule>
  </conditionalFormatting>
  <conditionalFormatting sqref="K53">
    <cfRule type="cellIs" dxfId="121" priority="47" operator="between">
      <formula>3</formula>
      <formula>4</formula>
    </cfRule>
    <cfRule type="cellIs" dxfId="120" priority="48" operator="equal">
      <formula>"o"</formula>
    </cfRule>
  </conditionalFormatting>
  <conditionalFormatting sqref="K55">
    <cfRule type="cellIs" dxfId="119" priority="43" operator="between">
      <formula>3</formula>
      <formula>4</formula>
    </cfRule>
    <cfRule type="cellIs" dxfId="118" priority="44" operator="equal">
      <formula>"o"</formula>
    </cfRule>
  </conditionalFormatting>
  <conditionalFormatting sqref="K59">
    <cfRule type="cellIs" dxfId="117" priority="39" operator="between">
      <formula>3</formula>
      <formula>4</formula>
    </cfRule>
    <cfRule type="cellIs" dxfId="116" priority="40" operator="equal">
      <formula>"o"</formula>
    </cfRule>
  </conditionalFormatting>
  <conditionalFormatting sqref="K61">
    <cfRule type="cellIs" dxfId="115" priority="35" operator="between">
      <formula>3</formula>
      <formula>4</formula>
    </cfRule>
    <cfRule type="cellIs" dxfId="114" priority="36" operator="equal">
      <formula>"o"</formula>
    </cfRule>
  </conditionalFormatting>
  <conditionalFormatting sqref="K65">
    <cfRule type="cellIs" dxfId="113" priority="31" operator="between">
      <formula>3</formula>
      <formula>4</formula>
    </cfRule>
    <cfRule type="cellIs" dxfId="112" priority="32" operator="equal">
      <formula>"o"</formula>
    </cfRule>
  </conditionalFormatting>
  <conditionalFormatting sqref="N39">
    <cfRule type="cellIs" dxfId="111" priority="145" operator="between">
      <formula>3</formula>
      <formula>4</formula>
    </cfRule>
    <cfRule type="cellIs" dxfId="110" priority="146" operator="equal">
      <formula>"o"</formula>
    </cfRule>
  </conditionalFormatting>
  <conditionalFormatting sqref="N41">
    <cfRule type="cellIs" dxfId="109" priority="141" operator="between">
      <formula>3</formula>
      <formula>4</formula>
    </cfRule>
    <cfRule type="cellIs" dxfId="108" priority="142" operator="equal">
      <formula>"o"</formula>
    </cfRule>
  </conditionalFormatting>
  <conditionalFormatting sqref="N43">
    <cfRule type="cellIs" dxfId="107" priority="99" operator="between">
      <formula>3</formula>
      <formula>4</formula>
    </cfRule>
    <cfRule type="cellIs" dxfId="106" priority="100" operator="equal">
      <formula>"o"</formula>
    </cfRule>
  </conditionalFormatting>
  <conditionalFormatting sqref="N45">
    <cfRule type="cellIs" dxfId="105" priority="97" operator="between">
      <formula>3</formula>
      <formula>4</formula>
    </cfRule>
    <cfRule type="cellIs" dxfId="104" priority="98" operator="equal">
      <formula>"o"</formula>
    </cfRule>
  </conditionalFormatting>
  <conditionalFormatting sqref="N49">
    <cfRule type="cellIs" dxfId="103" priority="153" operator="between">
      <formula>3</formula>
      <formula>4</formula>
    </cfRule>
    <cfRule type="cellIs" dxfId="102" priority="154" operator="equal">
      <formula>"o"</formula>
    </cfRule>
  </conditionalFormatting>
  <conditionalFormatting sqref="N51">
    <cfRule type="cellIs" dxfId="101" priority="49" operator="between">
      <formula>3</formula>
      <formula>4</formula>
    </cfRule>
    <cfRule type="cellIs" dxfId="100" priority="50" operator="equal">
      <formula>"o"</formula>
    </cfRule>
  </conditionalFormatting>
  <conditionalFormatting sqref="N53">
    <cfRule type="cellIs" dxfId="99" priority="45" operator="between">
      <formula>3</formula>
      <formula>4</formula>
    </cfRule>
    <cfRule type="cellIs" dxfId="98" priority="46" operator="equal">
      <formula>"o"</formula>
    </cfRule>
  </conditionalFormatting>
  <conditionalFormatting sqref="N55">
    <cfRule type="cellIs" dxfId="97" priority="41" operator="between">
      <formula>3</formula>
      <formula>4</formula>
    </cfRule>
    <cfRule type="cellIs" dxfId="96" priority="42" operator="equal">
      <formula>"o"</formula>
    </cfRule>
  </conditionalFormatting>
  <conditionalFormatting sqref="N59">
    <cfRule type="cellIs" dxfId="95" priority="37" operator="between">
      <formula>3</formula>
      <formula>4</formula>
    </cfRule>
    <cfRule type="cellIs" dxfId="94" priority="38" operator="equal">
      <formula>"o"</formula>
    </cfRule>
  </conditionalFormatting>
  <conditionalFormatting sqref="N61">
    <cfRule type="cellIs" dxfId="93" priority="33" operator="between">
      <formula>3</formula>
      <formula>4</formula>
    </cfRule>
    <cfRule type="cellIs" dxfId="92" priority="34" operator="equal">
      <formula>"o"</formula>
    </cfRule>
  </conditionalFormatting>
  <conditionalFormatting sqref="N65">
    <cfRule type="cellIs" dxfId="91" priority="29" operator="between">
      <formula>3</formula>
      <formula>4</formula>
    </cfRule>
    <cfRule type="cellIs" dxfId="90" priority="30" operator="equal">
      <formula>"o"</formula>
    </cfRule>
  </conditionalFormatting>
  <conditionalFormatting sqref="N69">
    <cfRule type="cellIs" dxfId="89" priority="161" operator="between">
      <formula>3</formula>
      <formula>4</formula>
    </cfRule>
    <cfRule type="cellIs" dxfId="88" priority="162" operator="equal">
      <formula>"o"</formula>
    </cfRule>
  </conditionalFormatting>
  <conditionalFormatting sqref="O14:O17">
    <cfRule type="cellIs" dxfId="87" priority="69" operator="between">
      <formula>3</formula>
      <formula>4</formula>
    </cfRule>
    <cfRule type="cellIs" dxfId="86" priority="70" operator="equal">
      <formula>"o"</formula>
    </cfRule>
  </conditionalFormatting>
  <conditionalFormatting sqref="S14:S17">
    <cfRule type="cellIs" dxfId="85" priority="67" operator="between">
      <formula>3</formula>
      <formula>4</formula>
    </cfRule>
    <cfRule type="cellIs" dxfId="84" priority="68" operator="equal">
      <formula>"o"</formula>
    </cfRule>
  </conditionalFormatting>
  <conditionalFormatting sqref="S39">
    <cfRule type="cellIs" dxfId="83" priority="147" operator="between">
      <formula>3</formula>
      <formula>4</formula>
    </cfRule>
    <cfRule type="cellIs" dxfId="82" priority="148" operator="equal">
      <formula>"o"</formula>
    </cfRule>
  </conditionalFormatting>
  <conditionalFormatting sqref="S41">
    <cfRule type="cellIs" dxfId="81" priority="139" operator="between">
      <formula>3</formula>
      <formula>4</formula>
    </cfRule>
    <cfRule type="cellIs" dxfId="80" priority="140" operator="equal">
      <formula>"o"</formula>
    </cfRule>
  </conditionalFormatting>
  <conditionalFormatting sqref="S43">
    <cfRule type="cellIs" dxfId="79" priority="133" operator="between">
      <formula>3</formula>
      <formula>4</formula>
    </cfRule>
    <cfRule type="cellIs" dxfId="78" priority="134" operator="equal">
      <formula>"o"</formula>
    </cfRule>
  </conditionalFormatting>
  <conditionalFormatting sqref="S45">
    <cfRule type="cellIs" dxfId="77" priority="131" operator="between">
      <formula>3</formula>
      <formula>4</formula>
    </cfRule>
    <cfRule type="cellIs" dxfId="76" priority="132" operator="equal">
      <formula>"o"</formula>
    </cfRule>
  </conditionalFormatting>
  <conditionalFormatting sqref="S49">
    <cfRule type="cellIs" dxfId="75" priority="155" operator="between">
      <formula>3</formula>
      <formula>4</formula>
    </cfRule>
    <cfRule type="cellIs" dxfId="74" priority="156" operator="equal">
      <formula>"o"</formula>
    </cfRule>
  </conditionalFormatting>
  <conditionalFormatting sqref="S51">
    <cfRule type="cellIs" dxfId="73" priority="25" operator="between">
      <formula>3</formula>
      <formula>4</formula>
    </cfRule>
    <cfRule type="cellIs" dxfId="72" priority="26" operator="equal">
      <formula>"o"</formula>
    </cfRule>
  </conditionalFormatting>
  <conditionalFormatting sqref="S53">
    <cfRule type="cellIs" dxfId="71" priority="21" operator="between">
      <formula>3</formula>
      <formula>4</formula>
    </cfRule>
    <cfRule type="cellIs" dxfId="70" priority="22" operator="equal">
      <formula>"o"</formula>
    </cfRule>
  </conditionalFormatting>
  <conditionalFormatting sqref="S55">
    <cfRule type="cellIs" dxfId="69" priority="17" operator="between">
      <formula>3</formula>
      <formula>4</formula>
    </cfRule>
    <cfRule type="cellIs" dxfId="68" priority="18" operator="equal">
      <formula>"o"</formula>
    </cfRule>
  </conditionalFormatting>
  <conditionalFormatting sqref="S59">
    <cfRule type="cellIs" dxfId="67" priority="13" operator="between">
      <formula>3</formula>
      <formula>4</formula>
    </cfRule>
    <cfRule type="cellIs" dxfId="66" priority="14" operator="equal">
      <formula>"o"</formula>
    </cfRule>
  </conditionalFormatting>
  <conditionalFormatting sqref="S61">
    <cfRule type="cellIs" dxfId="65" priority="9" operator="between">
      <formula>3</formula>
      <formula>4</formula>
    </cfRule>
    <cfRule type="cellIs" dxfId="64" priority="10" operator="equal">
      <formula>"o"</formula>
    </cfRule>
  </conditionalFormatting>
  <conditionalFormatting sqref="S65">
    <cfRule type="cellIs" dxfId="63" priority="5" operator="between">
      <formula>3</formula>
      <formula>4</formula>
    </cfRule>
    <cfRule type="cellIs" dxfId="62" priority="6" operator="equal">
      <formula>"o"</formula>
    </cfRule>
  </conditionalFormatting>
  <conditionalFormatting sqref="S69">
    <cfRule type="cellIs" dxfId="61" priority="159" operator="between">
      <formula>3</formula>
      <formula>4</formula>
    </cfRule>
    <cfRule type="cellIs" dxfId="60" priority="160" operator="equal">
      <formula>"o"</formula>
    </cfRule>
  </conditionalFormatting>
  <conditionalFormatting sqref="V39">
    <cfRule type="cellIs" dxfId="59" priority="149" operator="between">
      <formula>3</formula>
      <formula>4</formula>
    </cfRule>
    <cfRule type="cellIs" dxfId="58" priority="150" operator="equal">
      <formula>"o"</formula>
    </cfRule>
  </conditionalFormatting>
  <conditionalFormatting sqref="V41">
    <cfRule type="cellIs" dxfId="57" priority="137" operator="between">
      <formula>3</formula>
      <formula>4</formula>
    </cfRule>
    <cfRule type="cellIs" dxfId="56" priority="138" operator="equal">
      <formula>"o"</formula>
    </cfRule>
  </conditionalFormatting>
  <conditionalFormatting sqref="V43">
    <cfRule type="cellIs" dxfId="55" priority="93" operator="between">
      <formula>3</formula>
      <formula>4</formula>
    </cfRule>
    <cfRule type="cellIs" dxfId="54" priority="94" operator="equal">
      <formula>"o"</formula>
    </cfRule>
  </conditionalFormatting>
  <conditionalFormatting sqref="V45">
    <cfRule type="cellIs" dxfId="53" priority="95" operator="between">
      <formula>3</formula>
      <formula>4</formula>
    </cfRule>
    <cfRule type="cellIs" dxfId="52" priority="96" operator="equal">
      <formula>"o"</formula>
    </cfRule>
  </conditionalFormatting>
  <conditionalFormatting sqref="V49">
    <cfRule type="cellIs" dxfId="51" priority="157" operator="between">
      <formula>3</formula>
      <formula>4</formula>
    </cfRule>
    <cfRule type="cellIs" dxfId="50" priority="158" operator="equal">
      <formula>"o"</formula>
    </cfRule>
  </conditionalFormatting>
  <conditionalFormatting sqref="V51">
    <cfRule type="cellIs" dxfId="49" priority="27" operator="between">
      <formula>3</formula>
      <formula>4</formula>
    </cfRule>
    <cfRule type="cellIs" dxfId="48" priority="28" operator="equal">
      <formula>"o"</formula>
    </cfRule>
  </conditionalFormatting>
  <conditionalFormatting sqref="V53">
    <cfRule type="cellIs" dxfId="47" priority="23" operator="between">
      <formula>3</formula>
      <formula>4</formula>
    </cfRule>
    <cfRule type="cellIs" dxfId="46" priority="24" operator="equal">
      <formula>"o"</formula>
    </cfRule>
  </conditionalFormatting>
  <conditionalFormatting sqref="V55">
    <cfRule type="cellIs" dxfId="45" priority="19" operator="between">
      <formula>3</formula>
      <formula>4</formula>
    </cfRule>
    <cfRule type="cellIs" dxfId="44" priority="20" operator="equal">
      <formula>"o"</formula>
    </cfRule>
  </conditionalFormatting>
  <conditionalFormatting sqref="V59">
    <cfRule type="cellIs" dxfId="43" priority="15" operator="between">
      <formula>3</formula>
      <formula>4</formula>
    </cfRule>
    <cfRule type="cellIs" dxfId="42" priority="16" operator="equal">
      <formula>"o"</formula>
    </cfRule>
  </conditionalFormatting>
  <conditionalFormatting sqref="V61">
    <cfRule type="cellIs" dxfId="41" priority="11" operator="between">
      <formula>3</formula>
      <formula>4</formula>
    </cfRule>
    <cfRule type="cellIs" dxfId="40" priority="12" operator="equal">
      <formula>"o"</formula>
    </cfRule>
  </conditionalFormatting>
  <conditionalFormatting sqref="V65">
    <cfRule type="cellIs" dxfId="39" priority="7" operator="between">
      <formula>3</formula>
      <formula>4</formula>
    </cfRule>
    <cfRule type="cellIs" dxfId="38" priority="8" operator="equal">
      <formula>"o"</formula>
    </cfRule>
  </conditionalFormatting>
  <conditionalFormatting sqref="W14:W17">
    <cfRule type="cellIs" dxfId="37" priority="65" operator="between">
      <formula>3</formula>
      <formula>4</formula>
    </cfRule>
    <cfRule type="cellIs" dxfId="36" priority="66" operator="equal">
      <formula>"o"</formula>
    </cfRule>
  </conditionalFormatting>
  <conditionalFormatting sqref="AA6:AA9">
    <cfRule type="cellIs" dxfId="35" priority="85" operator="between">
      <formula>3</formula>
      <formula>4</formula>
    </cfRule>
    <cfRule type="cellIs" dxfId="34" priority="86" operator="equal">
      <formula>"o"</formula>
    </cfRule>
  </conditionalFormatting>
  <conditionalFormatting sqref="AA14:AA17">
    <cfRule type="cellIs" dxfId="33" priority="63" operator="between">
      <formula>3</formula>
      <formula>4</formula>
    </cfRule>
    <cfRule type="cellIs" dxfId="32" priority="64" operator="equal">
      <formula>"o"</formula>
    </cfRule>
  </conditionalFormatting>
  <conditionalFormatting sqref="AA39">
    <cfRule type="cellIs" dxfId="31" priority="113" operator="between">
      <formula>3</formula>
      <formula>4</formula>
    </cfRule>
    <cfRule type="cellIs" dxfId="30" priority="114" operator="equal">
      <formula>"o"</formula>
    </cfRule>
  </conditionalFormatting>
  <conditionalFormatting sqref="AA41">
    <cfRule type="cellIs" dxfId="29" priority="111" operator="between">
      <formula>3</formula>
      <formula>4</formula>
    </cfRule>
    <cfRule type="cellIs" dxfId="28" priority="112" operator="equal">
      <formula>"o"</formula>
    </cfRule>
  </conditionalFormatting>
  <conditionalFormatting sqref="AA43">
    <cfRule type="cellIs" dxfId="27" priority="107" operator="between">
      <formula>3</formula>
      <formula>4</formula>
    </cfRule>
    <cfRule type="cellIs" dxfId="26" priority="108" operator="equal">
      <formula>"o"</formula>
    </cfRule>
  </conditionalFormatting>
  <conditionalFormatting sqref="AA45">
    <cfRule type="cellIs" dxfId="25" priority="105" operator="between">
      <formula>3</formula>
      <formula>4</formula>
    </cfRule>
    <cfRule type="cellIs" dxfId="24" priority="106" operator="equal">
      <formula>"o"</formula>
    </cfRule>
  </conditionalFormatting>
  <conditionalFormatting sqref="AD39">
    <cfRule type="cellIs" dxfId="23" priority="115" operator="between">
      <formula>3</formula>
      <formula>4</formula>
    </cfRule>
    <cfRule type="cellIs" dxfId="22" priority="116" operator="equal">
      <formula>"o"</formula>
    </cfRule>
  </conditionalFormatting>
  <conditionalFormatting sqref="AD41">
    <cfRule type="cellIs" dxfId="21" priority="109" operator="between">
      <formula>3</formula>
      <formula>4</formula>
    </cfRule>
    <cfRule type="cellIs" dxfId="20" priority="110" operator="equal">
      <formula>"o"</formula>
    </cfRule>
  </conditionalFormatting>
  <conditionalFormatting sqref="AD43">
    <cfRule type="cellIs" dxfId="19" priority="91" operator="between">
      <formula>3</formula>
      <formula>4</formula>
    </cfRule>
    <cfRule type="cellIs" dxfId="18" priority="92" operator="equal">
      <formula>"o"</formula>
    </cfRule>
  </conditionalFormatting>
  <conditionalFormatting sqref="AD45">
    <cfRule type="cellIs" dxfId="17" priority="89" operator="between">
      <formula>3</formula>
      <formula>4</formula>
    </cfRule>
    <cfRule type="cellIs" dxfId="16" priority="90" operator="equal">
      <formula>"o"</formula>
    </cfRule>
  </conditionalFormatting>
  <conditionalFormatting sqref="AE14:AE17">
    <cfRule type="cellIs" dxfId="15" priority="61" operator="between">
      <formula>3</formula>
      <formula>4</formula>
    </cfRule>
    <cfRule type="cellIs" dxfId="14" priority="62" operator="equal">
      <formula>"o"</formula>
    </cfRule>
  </conditionalFormatting>
  <conditionalFormatting sqref="AI6:AI9">
    <cfRule type="cellIs" dxfId="13" priority="83" operator="between">
      <formula>3</formula>
      <formula>4</formula>
    </cfRule>
    <cfRule type="cellIs" dxfId="12" priority="84" operator="equal">
      <formula>"o"</formula>
    </cfRule>
  </conditionalFormatting>
  <conditionalFormatting sqref="AI14:AI17">
    <cfRule type="cellIs" dxfId="11" priority="59" operator="between">
      <formula>3</formula>
      <formula>4</formula>
    </cfRule>
    <cfRule type="cellIs" dxfId="10" priority="60" operator="equal">
      <formula>"o"</formula>
    </cfRule>
  </conditionalFormatting>
  <conditionalFormatting sqref="AM14:AM17">
    <cfRule type="cellIs" dxfId="9" priority="57" operator="between">
      <formula>3</formula>
      <formula>4</formula>
    </cfRule>
    <cfRule type="cellIs" dxfId="8" priority="58" operator="equal">
      <formula>"o"</formula>
    </cfRule>
  </conditionalFormatting>
  <conditionalFormatting sqref="AQ6:AQ9">
    <cfRule type="cellIs" dxfId="7" priority="81" operator="between">
      <formula>3</formula>
      <formula>4</formula>
    </cfRule>
    <cfRule type="cellIs" dxfId="6" priority="82" operator="equal">
      <formula>"o"</formula>
    </cfRule>
  </conditionalFormatting>
  <conditionalFormatting sqref="AQ14:AQ17">
    <cfRule type="cellIs" dxfId="5" priority="55" operator="between">
      <formula>3</formula>
      <formula>4</formula>
    </cfRule>
    <cfRule type="cellIs" dxfId="4" priority="56" operator="equal">
      <formula>"o"</formula>
    </cfRule>
  </conditionalFormatting>
  <conditionalFormatting sqref="AU6:AU9">
    <cfRule type="cellIs" dxfId="3" priority="79" operator="between">
      <formula>3</formula>
      <formula>4</formula>
    </cfRule>
    <cfRule type="cellIs" dxfId="2" priority="80" operator="equal">
      <formula>"o"</formula>
    </cfRule>
  </conditionalFormatting>
  <conditionalFormatting sqref="AU14:AU17">
    <cfRule type="cellIs" dxfId="1" priority="53" operator="between">
      <formula>3</formula>
      <formula>4</formula>
    </cfRule>
    <cfRule type="cellIs" dxfId="0" priority="54" operator="equal">
      <formula>"o"</formula>
    </cfRule>
  </conditionalFormatting>
  <dataValidations count="2">
    <dataValidation type="whole" allowBlank="1" showInputMessage="1" showErrorMessage="1" error="type only numbers 1,2,3 or 4" prompt="type number 1 2 3 or 4" sqref="AU10 AH6:AH10 AP6:AP10 F6:F10 J6:J10 N6:N10 R6:R10 V6:V10 Z6:Z10 AD6:AD10 B6:B10 AL6:AL10 C10:E10 G10:I10 K10:M10 O10:Q10 S10:U10 W10:Y10 AA10:AC10 AE10:AG10 AI10:AK10 AM10:AO10 AQ10:AS10 AT6:AT10" xr:uid="{B45E8373-894C-4422-97FC-B5A89459F4BA}">
      <formula1>1</formula1>
      <formula2>4</formula2>
    </dataValidation>
    <dataValidation type="list" allowBlank="1" showInputMessage="1" showErrorMessage="1" sqref="G24:K24" xr:uid="{530978D5-6A87-42EC-AC36-EFFEA0CFAD3E}">
      <formula1>$AX$6:$AX$500</formula1>
    </dataValidation>
  </dataValidations>
  <printOptions gridLines="1"/>
  <pageMargins left="0.75" right="0.75" top="1" bottom="1" header="0.5" footer="0.5"/>
  <pageSetup paperSize="9" orientation="portrait" horizontalDpi="300" verticalDpi="300" r:id="rId1"/>
  <headerFooter>
    <oddHeader>&amp;A</oddHeader>
    <oddFooter>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C11" sqref="C11"/>
    </sheetView>
  </sheetViews>
  <sheetFormatPr defaultColWidth="9.140625" defaultRowHeight="12.75"/>
  <cols>
    <col min="1" max="1" width="10.28515625" style="2" customWidth="1"/>
    <col min="2" max="2" width="60" style="2" customWidth="1"/>
    <col min="3" max="3" width="5.7109375" style="2" customWidth="1"/>
    <col min="4" max="4" width="2.85546875" style="2" customWidth="1"/>
    <col min="5" max="7" width="3" style="2" customWidth="1"/>
    <col min="8" max="11" width="2.85546875" style="2" customWidth="1"/>
    <col min="12" max="12" width="5.140625" style="2" customWidth="1"/>
    <col min="13" max="16384" width="9.140625" style="2"/>
  </cols>
  <sheetData>
    <row r="3" spans="2:4" ht="20.100000000000001" customHeight="1">
      <c r="B3" s="101" t="s">
        <v>11</v>
      </c>
      <c r="C3" s="101"/>
    </row>
    <row r="4" spans="2:4" ht="20.100000000000001" customHeight="1">
      <c r="B4" s="27" t="s">
        <v>12</v>
      </c>
      <c r="C4" s="28" t="s">
        <v>13</v>
      </c>
    </row>
    <row r="5" spans="2:4" ht="20.100000000000001" customHeight="1">
      <c r="B5" s="2" t="s">
        <v>14</v>
      </c>
    </row>
    <row r="6" spans="2:4" ht="20.100000000000001" customHeight="1">
      <c r="B6" s="27" t="s">
        <v>46</v>
      </c>
      <c r="C6" s="28" t="s">
        <v>16</v>
      </c>
    </row>
    <row r="7" spans="2:4" ht="20.100000000000001" customHeight="1">
      <c r="B7" s="27" t="s">
        <v>15</v>
      </c>
      <c r="C7" s="28" t="s">
        <v>18</v>
      </c>
    </row>
    <row r="8" spans="2:4" ht="20.100000000000001" customHeight="1">
      <c r="B8" s="27" t="s">
        <v>17</v>
      </c>
      <c r="C8" s="28" t="s">
        <v>20</v>
      </c>
    </row>
    <row r="9" spans="2:4" ht="20.100000000000001" customHeight="1">
      <c r="B9" s="27" t="s">
        <v>19</v>
      </c>
      <c r="C9" s="28" t="s">
        <v>22</v>
      </c>
      <c r="D9" s="3"/>
    </row>
    <row r="10" spans="2:4" ht="20.100000000000001" customHeight="1">
      <c r="B10" s="27" t="s">
        <v>21</v>
      </c>
      <c r="C10" s="28" t="s">
        <v>23</v>
      </c>
    </row>
    <row r="11" spans="2:4" ht="20.100000000000001" customHeight="1">
      <c r="B11" s="27" t="s">
        <v>41</v>
      </c>
      <c r="C11" s="28" t="s">
        <v>611</v>
      </c>
    </row>
    <row r="12" spans="2:4" ht="20.100000000000001" customHeight="1"/>
    <row r="13" spans="2:4" ht="20.100000000000001" customHeight="1">
      <c r="B13" s="2" t="s">
        <v>34</v>
      </c>
    </row>
    <row r="14" spans="2:4" ht="20.100000000000001" customHeight="1">
      <c r="B14" s="2" t="s">
        <v>35</v>
      </c>
    </row>
  </sheetData>
  <mergeCells count="1">
    <mergeCell ref="B3:C3"/>
  </mergeCells>
  <printOptions gridLines="1"/>
  <pageMargins left="0.75" right="0.75" top="1" bottom="1" header="0.5" footer="0.5"/>
  <pageSetup paperSize="9" orientation="portrait" horizontalDpi="300" verticalDpi="300"/>
  <headerFooter>
    <oddHeader>&amp;A</oddHeader>
    <oddFooter>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wyniki</vt:lpstr>
      <vt:lpstr>konkurs2</vt:lpstr>
      <vt:lpstr>zasady</vt:lpstr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pc567</dc:creator>
  <cp:lastModifiedBy>Talwik Marcin</cp:lastModifiedBy>
  <cp:lastPrinted>2014-06-12T14:09:28Z</cp:lastPrinted>
  <dcterms:created xsi:type="dcterms:W3CDTF">1998-07-03T12:45:19Z</dcterms:created>
  <dcterms:modified xsi:type="dcterms:W3CDTF">2026-06-01T08:51:41Z</dcterms:modified>
</cp:coreProperties>
</file>