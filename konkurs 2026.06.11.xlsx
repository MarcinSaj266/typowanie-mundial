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lwikmr\Desktop\konkurs 2026\"/>
    </mc:Choice>
  </mc:AlternateContent>
  <xr:revisionPtr revIDLastSave="0" documentId="13_ncr:1_{656D4313-D373-49B1-A281-538473445F4D}" xr6:coauthVersionLast="47" xr6:coauthVersionMax="47" xr10:uidLastSave="{00000000-0000-0000-0000-000000000000}"/>
  <bookViews>
    <workbookView showHorizontalScroll="0" showVerticalScroll="0" xWindow="-120" yWindow="-120" windowWidth="38640" windowHeight="21120" tabRatio="853" xr2:uid="{00000000-000D-0000-FFFF-FFFF00000000}"/>
  </bookViews>
  <sheets>
    <sheet name="grup-1" sheetId="2" r:id="rId1"/>
    <sheet name="tab grup" sheetId="4" r:id="rId2"/>
    <sheet name="stat" sheetId="8" r:id="rId3"/>
    <sheet name="..." sheetId="32" r:id="rId4"/>
    <sheet name="tabela" sheetId="22" r:id="rId5"/>
    <sheet name="r1" sheetId="6" r:id="rId6"/>
    <sheet name="rpuch" sheetId="23" r:id="rId7"/>
    <sheet name="day by day" sheetId="1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7" l="1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" i="17"/>
  <c r="Z1" i="4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5" i="6"/>
  <c r="K60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5" i="6"/>
  <c r="T721" i="2"/>
  <c r="V721" i="2"/>
  <c r="U721" i="2" s="1"/>
  <c r="X721" i="2"/>
  <c r="W721" i="2" s="1"/>
  <c r="AC721" i="2"/>
  <c r="AE721" i="2"/>
  <c r="AD721" i="2" s="1"/>
  <c r="AG721" i="2"/>
  <c r="AF721" i="2" s="1"/>
  <c r="T722" i="2"/>
  <c r="V722" i="2"/>
  <c r="U722" i="2" s="1"/>
  <c r="X722" i="2"/>
  <c r="W722" i="2" s="1"/>
  <c r="AC722" i="2"/>
  <c r="AE722" i="2"/>
  <c r="AD722" i="2" s="1"/>
  <c r="AG722" i="2"/>
  <c r="AF722" i="2" s="1"/>
  <c r="T723" i="2"/>
  <c r="V723" i="2"/>
  <c r="U723" i="2" s="1"/>
  <c r="X723" i="2"/>
  <c r="W723" i="2" s="1"/>
  <c r="AC723" i="2"/>
  <c r="AE723" i="2"/>
  <c r="AD723" i="2" s="1"/>
  <c r="AG723" i="2"/>
  <c r="AF723" i="2" s="1"/>
  <c r="T724" i="2"/>
  <c r="V724" i="2"/>
  <c r="U724" i="2" s="1"/>
  <c r="X724" i="2"/>
  <c r="W724" i="2" s="1"/>
  <c r="AC724" i="2"/>
  <c r="AE724" i="2"/>
  <c r="AD724" i="2" s="1"/>
  <c r="AG724" i="2"/>
  <c r="AF724" i="2" s="1"/>
  <c r="T725" i="2"/>
  <c r="V725" i="2"/>
  <c r="U725" i="2" s="1"/>
  <c r="X725" i="2"/>
  <c r="W725" i="2" s="1"/>
  <c r="AC725" i="2"/>
  <c r="AE725" i="2"/>
  <c r="AD725" i="2" s="1"/>
  <c r="AG725" i="2"/>
  <c r="AF725" i="2" s="1"/>
  <c r="T726" i="2"/>
  <c r="V726" i="2"/>
  <c r="U726" i="2" s="1"/>
  <c r="X726" i="2"/>
  <c r="W726" i="2" s="1"/>
  <c r="AC726" i="2"/>
  <c r="AE726" i="2"/>
  <c r="AD726" i="2" s="1"/>
  <c r="AG726" i="2"/>
  <c r="AF726" i="2" s="1"/>
  <c r="T727" i="2"/>
  <c r="V727" i="2"/>
  <c r="U727" i="2" s="1"/>
  <c r="X727" i="2"/>
  <c r="W727" i="2" s="1"/>
  <c r="AC727" i="2"/>
  <c r="AE727" i="2"/>
  <c r="AD727" i="2" s="1"/>
  <c r="AG727" i="2"/>
  <c r="AF727" i="2" s="1"/>
  <c r="T728" i="2"/>
  <c r="V728" i="2"/>
  <c r="U728" i="2" s="1"/>
  <c r="X728" i="2"/>
  <c r="W728" i="2" s="1"/>
  <c r="AC728" i="2"/>
  <c r="AE728" i="2"/>
  <c r="AD728" i="2" s="1"/>
  <c r="AG728" i="2"/>
  <c r="AF728" i="2" s="1"/>
  <c r="T729" i="2"/>
  <c r="V729" i="2"/>
  <c r="U729" i="2" s="1"/>
  <c r="X729" i="2"/>
  <c r="W729" i="2" s="1"/>
  <c r="AC729" i="2"/>
  <c r="AE729" i="2"/>
  <c r="AD729" i="2" s="1"/>
  <c r="AG729" i="2"/>
  <c r="AF729" i="2" s="1"/>
  <c r="T730" i="2"/>
  <c r="V730" i="2"/>
  <c r="U730" i="2" s="1"/>
  <c r="X730" i="2"/>
  <c r="W730" i="2" s="1"/>
  <c r="AC730" i="2"/>
  <c r="AE730" i="2"/>
  <c r="AD730" i="2" s="1"/>
  <c r="AG730" i="2"/>
  <c r="AF730" i="2" s="1"/>
  <c r="T731" i="2"/>
  <c r="V731" i="2"/>
  <c r="U731" i="2" s="1"/>
  <c r="X731" i="2"/>
  <c r="W731" i="2" s="1"/>
  <c r="AC731" i="2"/>
  <c r="AE731" i="2"/>
  <c r="AD731" i="2" s="1"/>
  <c r="AG731" i="2"/>
  <c r="AF731" i="2" s="1"/>
  <c r="T732" i="2"/>
  <c r="V732" i="2"/>
  <c r="U732" i="2" s="1"/>
  <c r="X732" i="2"/>
  <c r="W732" i="2" s="1"/>
  <c r="AC732" i="2"/>
  <c r="AE732" i="2"/>
  <c r="AD732" i="2" s="1"/>
  <c r="AG732" i="2"/>
  <c r="AF732" i="2" s="1"/>
  <c r="T733" i="2"/>
  <c r="V733" i="2"/>
  <c r="U733" i="2" s="1"/>
  <c r="X733" i="2"/>
  <c r="W733" i="2" s="1"/>
  <c r="AC733" i="2"/>
  <c r="AE733" i="2"/>
  <c r="AD733" i="2" s="1"/>
  <c r="AG733" i="2"/>
  <c r="AF733" i="2" s="1"/>
  <c r="T734" i="2"/>
  <c r="V734" i="2"/>
  <c r="U734" i="2" s="1"/>
  <c r="X734" i="2"/>
  <c r="W734" i="2" s="1"/>
  <c r="AC734" i="2"/>
  <c r="AE734" i="2"/>
  <c r="AD734" i="2" s="1"/>
  <c r="AG734" i="2"/>
  <c r="AF734" i="2" s="1"/>
  <c r="T735" i="2"/>
  <c r="V735" i="2"/>
  <c r="U735" i="2" s="1"/>
  <c r="X735" i="2"/>
  <c r="W735" i="2" s="1"/>
  <c r="AC735" i="2"/>
  <c r="AE735" i="2"/>
  <c r="AD735" i="2" s="1"/>
  <c r="AG735" i="2"/>
  <c r="AF735" i="2" s="1"/>
  <c r="T736" i="2"/>
  <c r="V736" i="2"/>
  <c r="U736" i="2" s="1"/>
  <c r="X736" i="2"/>
  <c r="W736" i="2" s="1"/>
  <c r="AC736" i="2"/>
  <c r="AE736" i="2"/>
  <c r="AD736" i="2" s="1"/>
  <c r="AG736" i="2"/>
  <c r="AF736" i="2" s="1"/>
  <c r="T737" i="2"/>
  <c r="V737" i="2"/>
  <c r="U737" i="2" s="1"/>
  <c r="X737" i="2"/>
  <c r="W737" i="2" s="1"/>
  <c r="AC737" i="2"/>
  <c r="AE737" i="2"/>
  <c r="AD737" i="2" s="1"/>
  <c r="AG737" i="2"/>
  <c r="AF737" i="2" s="1"/>
  <c r="T738" i="2"/>
  <c r="V738" i="2"/>
  <c r="U738" i="2" s="1"/>
  <c r="X738" i="2"/>
  <c r="W738" i="2" s="1"/>
  <c r="AC738" i="2"/>
  <c r="AE738" i="2"/>
  <c r="AD738" i="2" s="1"/>
  <c r="AG738" i="2"/>
  <c r="AF738" i="2" s="1"/>
  <c r="T739" i="2"/>
  <c r="V739" i="2"/>
  <c r="U739" i="2" s="1"/>
  <c r="X739" i="2"/>
  <c r="W739" i="2" s="1"/>
  <c r="AC739" i="2"/>
  <c r="AE739" i="2"/>
  <c r="AD739" i="2" s="1"/>
  <c r="AG739" i="2"/>
  <c r="AF739" i="2" s="1"/>
  <c r="T740" i="2"/>
  <c r="V740" i="2"/>
  <c r="U740" i="2" s="1"/>
  <c r="X740" i="2"/>
  <c r="W740" i="2" s="1"/>
  <c r="AC740" i="2"/>
  <c r="AE740" i="2"/>
  <c r="AD740" i="2" s="1"/>
  <c r="AG740" i="2"/>
  <c r="AF740" i="2" s="1"/>
  <c r="T741" i="2"/>
  <c r="V741" i="2"/>
  <c r="U741" i="2" s="1"/>
  <c r="X741" i="2"/>
  <c r="W741" i="2" s="1"/>
  <c r="AC741" i="2"/>
  <c r="AE741" i="2"/>
  <c r="AD741" i="2" s="1"/>
  <c r="AG741" i="2"/>
  <c r="AF741" i="2" s="1"/>
  <c r="T742" i="2"/>
  <c r="V742" i="2"/>
  <c r="U742" i="2" s="1"/>
  <c r="X742" i="2"/>
  <c r="W742" i="2" s="1"/>
  <c r="AC742" i="2"/>
  <c r="AE742" i="2"/>
  <c r="AD742" i="2" s="1"/>
  <c r="AG742" i="2"/>
  <c r="AF742" i="2" s="1"/>
  <c r="T743" i="2"/>
  <c r="V743" i="2"/>
  <c r="U743" i="2" s="1"/>
  <c r="X743" i="2"/>
  <c r="W743" i="2" s="1"/>
  <c r="AC743" i="2"/>
  <c r="AE743" i="2"/>
  <c r="AD743" i="2" s="1"/>
  <c r="AG743" i="2"/>
  <c r="AF743" i="2" s="1"/>
  <c r="T744" i="2"/>
  <c r="V744" i="2"/>
  <c r="U744" i="2" s="1"/>
  <c r="X744" i="2"/>
  <c r="W744" i="2" s="1"/>
  <c r="AC744" i="2"/>
  <c r="AE744" i="2"/>
  <c r="AD744" i="2" s="1"/>
  <c r="AG744" i="2"/>
  <c r="AF744" i="2" s="1"/>
  <c r="T745" i="2"/>
  <c r="V745" i="2"/>
  <c r="U745" i="2" s="1"/>
  <c r="X745" i="2"/>
  <c r="W745" i="2" s="1"/>
  <c r="AC745" i="2"/>
  <c r="AE745" i="2"/>
  <c r="AD745" i="2" s="1"/>
  <c r="AG745" i="2"/>
  <c r="AF745" i="2" s="1"/>
  <c r="T746" i="2"/>
  <c r="V746" i="2"/>
  <c r="U746" i="2" s="1"/>
  <c r="X746" i="2"/>
  <c r="W746" i="2" s="1"/>
  <c r="AC746" i="2"/>
  <c r="AE746" i="2"/>
  <c r="AD746" i="2" s="1"/>
  <c r="AG746" i="2"/>
  <c r="AF746" i="2" s="1"/>
  <c r="T747" i="2"/>
  <c r="V747" i="2"/>
  <c r="U747" i="2" s="1"/>
  <c r="X747" i="2"/>
  <c r="W747" i="2" s="1"/>
  <c r="AC747" i="2"/>
  <c r="AE747" i="2"/>
  <c r="AD747" i="2" s="1"/>
  <c r="AG747" i="2"/>
  <c r="AF747" i="2" s="1"/>
  <c r="AE720" i="2"/>
  <c r="V720" i="2"/>
  <c r="U720" i="2" s="1"/>
  <c r="AC720" i="2"/>
  <c r="T720" i="2"/>
  <c r="T690" i="2"/>
  <c r="V690" i="2"/>
  <c r="U690" i="2" s="1"/>
  <c r="X690" i="2"/>
  <c r="W690" i="2" s="1"/>
  <c r="AC690" i="2"/>
  <c r="AE690" i="2"/>
  <c r="AD690" i="2" s="1"/>
  <c r="AG690" i="2"/>
  <c r="AF690" i="2" s="1"/>
  <c r="T691" i="2"/>
  <c r="V691" i="2"/>
  <c r="U691" i="2" s="1"/>
  <c r="X691" i="2"/>
  <c r="W691" i="2" s="1"/>
  <c r="AC691" i="2"/>
  <c r="AE691" i="2"/>
  <c r="AD691" i="2" s="1"/>
  <c r="AG691" i="2"/>
  <c r="AF691" i="2" s="1"/>
  <c r="T692" i="2"/>
  <c r="V692" i="2"/>
  <c r="U692" i="2" s="1"/>
  <c r="X692" i="2"/>
  <c r="W692" i="2" s="1"/>
  <c r="AC692" i="2"/>
  <c r="AE692" i="2"/>
  <c r="AD692" i="2" s="1"/>
  <c r="AG692" i="2"/>
  <c r="AF692" i="2" s="1"/>
  <c r="T693" i="2"/>
  <c r="V693" i="2"/>
  <c r="U693" i="2" s="1"/>
  <c r="X693" i="2"/>
  <c r="W693" i="2" s="1"/>
  <c r="AC693" i="2"/>
  <c r="AE693" i="2"/>
  <c r="AD693" i="2" s="1"/>
  <c r="AG693" i="2"/>
  <c r="AF693" i="2" s="1"/>
  <c r="T694" i="2"/>
  <c r="V694" i="2"/>
  <c r="U694" i="2" s="1"/>
  <c r="X694" i="2"/>
  <c r="W694" i="2" s="1"/>
  <c r="AC694" i="2"/>
  <c r="AE694" i="2"/>
  <c r="AD694" i="2" s="1"/>
  <c r="AG694" i="2"/>
  <c r="AF694" i="2" s="1"/>
  <c r="T695" i="2"/>
  <c r="V695" i="2"/>
  <c r="U695" i="2" s="1"/>
  <c r="X695" i="2"/>
  <c r="W695" i="2" s="1"/>
  <c r="AC695" i="2"/>
  <c r="AE695" i="2"/>
  <c r="AD695" i="2" s="1"/>
  <c r="AG695" i="2"/>
  <c r="AF695" i="2" s="1"/>
  <c r="T696" i="2"/>
  <c r="V696" i="2"/>
  <c r="U696" i="2" s="1"/>
  <c r="X696" i="2"/>
  <c r="W696" i="2" s="1"/>
  <c r="AC696" i="2"/>
  <c r="AE696" i="2"/>
  <c r="AD696" i="2" s="1"/>
  <c r="AG696" i="2"/>
  <c r="AF696" i="2" s="1"/>
  <c r="T697" i="2"/>
  <c r="V697" i="2"/>
  <c r="U697" i="2" s="1"/>
  <c r="X697" i="2"/>
  <c r="W697" i="2" s="1"/>
  <c r="AC697" i="2"/>
  <c r="AE697" i="2"/>
  <c r="AD697" i="2" s="1"/>
  <c r="AG697" i="2"/>
  <c r="AF697" i="2" s="1"/>
  <c r="T698" i="2"/>
  <c r="V698" i="2"/>
  <c r="U698" i="2" s="1"/>
  <c r="X698" i="2"/>
  <c r="W698" i="2" s="1"/>
  <c r="AC698" i="2"/>
  <c r="AE698" i="2"/>
  <c r="AD698" i="2" s="1"/>
  <c r="AG698" i="2"/>
  <c r="AF698" i="2" s="1"/>
  <c r="T699" i="2"/>
  <c r="V699" i="2"/>
  <c r="U699" i="2" s="1"/>
  <c r="X699" i="2"/>
  <c r="W699" i="2" s="1"/>
  <c r="AC699" i="2"/>
  <c r="AE699" i="2"/>
  <c r="AD699" i="2" s="1"/>
  <c r="AG699" i="2"/>
  <c r="AF699" i="2" s="1"/>
  <c r="T700" i="2"/>
  <c r="V700" i="2"/>
  <c r="U700" i="2" s="1"/>
  <c r="X700" i="2"/>
  <c r="W700" i="2" s="1"/>
  <c r="AC700" i="2"/>
  <c r="AE700" i="2"/>
  <c r="AD700" i="2" s="1"/>
  <c r="AG700" i="2"/>
  <c r="AF700" i="2" s="1"/>
  <c r="T701" i="2"/>
  <c r="V701" i="2"/>
  <c r="U701" i="2" s="1"/>
  <c r="X701" i="2"/>
  <c r="W701" i="2" s="1"/>
  <c r="AC701" i="2"/>
  <c r="AE701" i="2"/>
  <c r="AD701" i="2" s="1"/>
  <c r="AG701" i="2"/>
  <c r="AF701" i="2" s="1"/>
  <c r="T702" i="2"/>
  <c r="V702" i="2"/>
  <c r="U702" i="2" s="1"/>
  <c r="X702" i="2"/>
  <c r="W702" i="2" s="1"/>
  <c r="AC702" i="2"/>
  <c r="AE702" i="2"/>
  <c r="AD702" i="2" s="1"/>
  <c r="AG702" i="2"/>
  <c r="AF702" i="2" s="1"/>
  <c r="T703" i="2"/>
  <c r="V703" i="2"/>
  <c r="U703" i="2" s="1"/>
  <c r="X703" i="2"/>
  <c r="W703" i="2" s="1"/>
  <c r="AC703" i="2"/>
  <c r="AE703" i="2"/>
  <c r="AD703" i="2" s="1"/>
  <c r="AG703" i="2"/>
  <c r="AF703" i="2" s="1"/>
  <c r="T704" i="2"/>
  <c r="V704" i="2"/>
  <c r="U704" i="2" s="1"/>
  <c r="X704" i="2"/>
  <c r="W704" i="2" s="1"/>
  <c r="AC704" i="2"/>
  <c r="AE704" i="2"/>
  <c r="AD704" i="2" s="1"/>
  <c r="AG704" i="2"/>
  <c r="AF704" i="2" s="1"/>
  <c r="T705" i="2"/>
  <c r="V705" i="2"/>
  <c r="U705" i="2" s="1"/>
  <c r="X705" i="2"/>
  <c r="W705" i="2" s="1"/>
  <c r="AC705" i="2"/>
  <c r="AE705" i="2"/>
  <c r="AD705" i="2" s="1"/>
  <c r="AG705" i="2"/>
  <c r="AF705" i="2" s="1"/>
  <c r="T706" i="2"/>
  <c r="V706" i="2"/>
  <c r="U706" i="2" s="1"/>
  <c r="X706" i="2"/>
  <c r="W706" i="2" s="1"/>
  <c r="AC706" i="2"/>
  <c r="AE706" i="2"/>
  <c r="AD706" i="2" s="1"/>
  <c r="AG706" i="2"/>
  <c r="AF706" i="2" s="1"/>
  <c r="T707" i="2"/>
  <c r="V707" i="2"/>
  <c r="U707" i="2" s="1"/>
  <c r="X707" i="2"/>
  <c r="W707" i="2" s="1"/>
  <c r="AC707" i="2"/>
  <c r="AE707" i="2"/>
  <c r="AD707" i="2" s="1"/>
  <c r="AG707" i="2"/>
  <c r="AF707" i="2" s="1"/>
  <c r="T708" i="2"/>
  <c r="V708" i="2"/>
  <c r="U708" i="2" s="1"/>
  <c r="X708" i="2"/>
  <c r="W708" i="2" s="1"/>
  <c r="AC708" i="2"/>
  <c r="AE708" i="2"/>
  <c r="AD708" i="2" s="1"/>
  <c r="AG708" i="2"/>
  <c r="AF708" i="2" s="1"/>
  <c r="T709" i="2"/>
  <c r="V709" i="2"/>
  <c r="U709" i="2" s="1"/>
  <c r="X709" i="2"/>
  <c r="W709" i="2" s="1"/>
  <c r="AC709" i="2"/>
  <c r="AE709" i="2"/>
  <c r="AD709" i="2" s="1"/>
  <c r="AG709" i="2"/>
  <c r="AF709" i="2" s="1"/>
  <c r="T710" i="2"/>
  <c r="V710" i="2"/>
  <c r="U710" i="2" s="1"/>
  <c r="X710" i="2"/>
  <c r="W710" i="2" s="1"/>
  <c r="AC710" i="2"/>
  <c r="AE710" i="2"/>
  <c r="AD710" i="2" s="1"/>
  <c r="AG710" i="2"/>
  <c r="AF710" i="2" s="1"/>
  <c r="T711" i="2"/>
  <c r="V711" i="2"/>
  <c r="U711" i="2" s="1"/>
  <c r="X711" i="2"/>
  <c r="W711" i="2" s="1"/>
  <c r="AC711" i="2"/>
  <c r="AE711" i="2"/>
  <c r="AD711" i="2" s="1"/>
  <c r="AG711" i="2"/>
  <c r="AF711" i="2" s="1"/>
  <c r="T712" i="2"/>
  <c r="V712" i="2"/>
  <c r="U712" i="2" s="1"/>
  <c r="X712" i="2"/>
  <c r="W712" i="2" s="1"/>
  <c r="AC712" i="2"/>
  <c r="AE712" i="2"/>
  <c r="AD712" i="2" s="1"/>
  <c r="AG712" i="2"/>
  <c r="AF712" i="2" s="1"/>
  <c r="T713" i="2"/>
  <c r="V713" i="2"/>
  <c r="U713" i="2" s="1"/>
  <c r="X713" i="2"/>
  <c r="W713" i="2" s="1"/>
  <c r="AC713" i="2"/>
  <c r="AE713" i="2"/>
  <c r="AD713" i="2" s="1"/>
  <c r="AG713" i="2"/>
  <c r="AF713" i="2" s="1"/>
  <c r="T714" i="2"/>
  <c r="V714" i="2"/>
  <c r="U714" i="2" s="1"/>
  <c r="X714" i="2"/>
  <c r="W714" i="2" s="1"/>
  <c r="AC714" i="2"/>
  <c r="AE714" i="2"/>
  <c r="AD714" i="2" s="1"/>
  <c r="AG714" i="2"/>
  <c r="AF714" i="2" s="1"/>
  <c r="T715" i="2"/>
  <c r="V715" i="2"/>
  <c r="U715" i="2" s="1"/>
  <c r="X715" i="2"/>
  <c r="W715" i="2" s="1"/>
  <c r="AC715" i="2"/>
  <c r="AE715" i="2"/>
  <c r="AD715" i="2" s="1"/>
  <c r="AG715" i="2"/>
  <c r="AF715" i="2" s="1"/>
  <c r="T716" i="2"/>
  <c r="V716" i="2"/>
  <c r="U716" i="2" s="1"/>
  <c r="X716" i="2"/>
  <c r="W716" i="2" s="1"/>
  <c r="AC716" i="2"/>
  <c r="AE716" i="2"/>
  <c r="AD716" i="2" s="1"/>
  <c r="AG716" i="2"/>
  <c r="AF716" i="2" s="1"/>
  <c r="AE689" i="2"/>
  <c r="V689" i="2"/>
  <c r="AC689" i="2"/>
  <c r="T689" i="2"/>
  <c r="T659" i="2"/>
  <c r="V659" i="2"/>
  <c r="U659" i="2" s="1"/>
  <c r="X659" i="2"/>
  <c r="W659" i="2" s="1"/>
  <c r="AC659" i="2"/>
  <c r="AE659" i="2"/>
  <c r="AD659" i="2" s="1"/>
  <c r="AG659" i="2"/>
  <c r="AF659" i="2" s="1"/>
  <c r="T660" i="2"/>
  <c r="V660" i="2"/>
  <c r="U660" i="2" s="1"/>
  <c r="X660" i="2"/>
  <c r="W660" i="2" s="1"/>
  <c r="AC660" i="2"/>
  <c r="AE660" i="2"/>
  <c r="AD660" i="2" s="1"/>
  <c r="AG660" i="2"/>
  <c r="AF660" i="2" s="1"/>
  <c r="T661" i="2"/>
  <c r="V661" i="2"/>
  <c r="U661" i="2" s="1"/>
  <c r="X661" i="2"/>
  <c r="W661" i="2" s="1"/>
  <c r="AC661" i="2"/>
  <c r="AE661" i="2"/>
  <c r="AD661" i="2" s="1"/>
  <c r="AG661" i="2"/>
  <c r="AF661" i="2" s="1"/>
  <c r="T662" i="2"/>
  <c r="V662" i="2"/>
  <c r="U662" i="2" s="1"/>
  <c r="X662" i="2"/>
  <c r="W662" i="2" s="1"/>
  <c r="AC662" i="2"/>
  <c r="AE662" i="2"/>
  <c r="AD662" i="2" s="1"/>
  <c r="AG662" i="2"/>
  <c r="AF662" i="2" s="1"/>
  <c r="T663" i="2"/>
  <c r="V663" i="2"/>
  <c r="U663" i="2" s="1"/>
  <c r="X663" i="2"/>
  <c r="W663" i="2" s="1"/>
  <c r="AC663" i="2"/>
  <c r="AE663" i="2"/>
  <c r="AD663" i="2" s="1"/>
  <c r="AG663" i="2"/>
  <c r="AF663" i="2" s="1"/>
  <c r="T664" i="2"/>
  <c r="V664" i="2"/>
  <c r="U664" i="2" s="1"/>
  <c r="X664" i="2"/>
  <c r="W664" i="2" s="1"/>
  <c r="AC664" i="2"/>
  <c r="AE664" i="2"/>
  <c r="AD664" i="2" s="1"/>
  <c r="AG664" i="2"/>
  <c r="AF664" i="2" s="1"/>
  <c r="T665" i="2"/>
  <c r="V665" i="2"/>
  <c r="U665" i="2" s="1"/>
  <c r="X665" i="2"/>
  <c r="W665" i="2" s="1"/>
  <c r="AC665" i="2"/>
  <c r="AE665" i="2"/>
  <c r="AD665" i="2" s="1"/>
  <c r="AG665" i="2"/>
  <c r="AF665" i="2" s="1"/>
  <c r="T666" i="2"/>
  <c r="V666" i="2"/>
  <c r="U666" i="2" s="1"/>
  <c r="X666" i="2"/>
  <c r="W666" i="2" s="1"/>
  <c r="AC666" i="2"/>
  <c r="AE666" i="2"/>
  <c r="AD666" i="2" s="1"/>
  <c r="AG666" i="2"/>
  <c r="AF666" i="2" s="1"/>
  <c r="T667" i="2"/>
  <c r="V667" i="2"/>
  <c r="U667" i="2" s="1"/>
  <c r="X667" i="2"/>
  <c r="W667" i="2" s="1"/>
  <c r="AC667" i="2"/>
  <c r="AE667" i="2"/>
  <c r="AD667" i="2" s="1"/>
  <c r="AG667" i="2"/>
  <c r="AF667" i="2" s="1"/>
  <c r="T668" i="2"/>
  <c r="V668" i="2"/>
  <c r="U668" i="2" s="1"/>
  <c r="X668" i="2"/>
  <c r="W668" i="2" s="1"/>
  <c r="AC668" i="2"/>
  <c r="AE668" i="2"/>
  <c r="AD668" i="2" s="1"/>
  <c r="AG668" i="2"/>
  <c r="AF668" i="2" s="1"/>
  <c r="T669" i="2"/>
  <c r="V669" i="2"/>
  <c r="U669" i="2" s="1"/>
  <c r="X669" i="2"/>
  <c r="W669" i="2" s="1"/>
  <c r="AC669" i="2"/>
  <c r="AE669" i="2"/>
  <c r="AD669" i="2" s="1"/>
  <c r="AG669" i="2"/>
  <c r="AF669" i="2" s="1"/>
  <c r="T670" i="2"/>
  <c r="V670" i="2"/>
  <c r="U670" i="2" s="1"/>
  <c r="X670" i="2"/>
  <c r="W670" i="2" s="1"/>
  <c r="AC670" i="2"/>
  <c r="AE670" i="2"/>
  <c r="AD670" i="2" s="1"/>
  <c r="AG670" i="2"/>
  <c r="AF670" i="2" s="1"/>
  <c r="T671" i="2"/>
  <c r="V671" i="2"/>
  <c r="U671" i="2" s="1"/>
  <c r="X671" i="2"/>
  <c r="W671" i="2" s="1"/>
  <c r="AC671" i="2"/>
  <c r="AE671" i="2"/>
  <c r="AD671" i="2" s="1"/>
  <c r="AG671" i="2"/>
  <c r="AF671" i="2" s="1"/>
  <c r="T672" i="2"/>
  <c r="V672" i="2"/>
  <c r="U672" i="2" s="1"/>
  <c r="X672" i="2"/>
  <c r="W672" i="2" s="1"/>
  <c r="AC672" i="2"/>
  <c r="AE672" i="2"/>
  <c r="AD672" i="2" s="1"/>
  <c r="AG672" i="2"/>
  <c r="AF672" i="2" s="1"/>
  <c r="T673" i="2"/>
  <c r="V673" i="2"/>
  <c r="U673" i="2" s="1"/>
  <c r="X673" i="2"/>
  <c r="W673" i="2" s="1"/>
  <c r="AC673" i="2"/>
  <c r="AE673" i="2"/>
  <c r="AD673" i="2" s="1"/>
  <c r="AG673" i="2"/>
  <c r="AF673" i="2" s="1"/>
  <c r="T674" i="2"/>
  <c r="V674" i="2"/>
  <c r="U674" i="2" s="1"/>
  <c r="X674" i="2"/>
  <c r="W674" i="2" s="1"/>
  <c r="AC674" i="2"/>
  <c r="AE674" i="2"/>
  <c r="AD674" i="2" s="1"/>
  <c r="AG674" i="2"/>
  <c r="AF674" i="2" s="1"/>
  <c r="T675" i="2"/>
  <c r="V675" i="2"/>
  <c r="U675" i="2" s="1"/>
  <c r="X675" i="2"/>
  <c r="W675" i="2" s="1"/>
  <c r="AC675" i="2"/>
  <c r="AE675" i="2"/>
  <c r="AD675" i="2" s="1"/>
  <c r="AG675" i="2"/>
  <c r="AF675" i="2" s="1"/>
  <c r="T676" i="2"/>
  <c r="V676" i="2"/>
  <c r="U676" i="2" s="1"/>
  <c r="X676" i="2"/>
  <c r="W676" i="2" s="1"/>
  <c r="AC676" i="2"/>
  <c r="AE676" i="2"/>
  <c r="AD676" i="2" s="1"/>
  <c r="AG676" i="2"/>
  <c r="AF676" i="2" s="1"/>
  <c r="T677" i="2"/>
  <c r="V677" i="2"/>
  <c r="U677" i="2" s="1"/>
  <c r="X677" i="2"/>
  <c r="W677" i="2" s="1"/>
  <c r="AC677" i="2"/>
  <c r="AE677" i="2"/>
  <c r="AD677" i="2" s="1"/>
  <c r="AG677" i="2"/>
  <c r="AF677" i="2" s="1"/>
  <c r="T678" i="2"/>
  <c r="V678" i="2"/>
  <c r="U678" i="2" s="1"/>
  <c r="X678" i="2"/>
  <c r="W678" i="2" s="1"/>
  <c r="AC678" i="2"/>
  <c r="AE678" i="2"/>
  <c r="AD678" i="2" s="1"/>
  <c r="AG678" i="2"/>
  <c r="AF678" i="2" s="1"/>
  <c r="T679" i="2"/>
  <c r="V679" i="2"/>
  <c r="U679" i="2" s="1"/>
  <c r="X679" i="2"/>
  <c r="W679" i="2" s="1"/>
  <c r="AC679" i="2"/>
  <c r="AE679" i="2"/>
  <c r="AD679" i="2" s="1"/>
  <c r="AG679" i="2"/>
  <c r="AF679" i="2" s="1"/>
  <c r="T680" i="2"/>
  <c r="V680" i="2"/>
  <c r="U680" i="2" s="1"/>
  <c r="X680" i="2"/>
  <c r="W680" i="2" s="1"/>
  <c r="AC680" i="2"/>
  <c r="AE680" i="2"/>
  <c r="AD680" i="2" s="1"/>
  <c r="AG680" i="2"/>
  <c r="AF680" i="2" s="1"/>
  <c r="T681" i="2"/>
  <c r="V681" i="2"/>
  <c r="U681" i="2" s="1"/>
  <c r="X681" i="2"/>
  <c r="W681" i="2" s="1"/>
  <c r="AC681" i="2"/>
  <c r="AE681" i="2"/>
  <c r="AD681" i="2" s="1"/>
  <c r="AG681" i="2"/>
  <c r="AF681" i="2" s="1"/>
  <c r="T682" i="2"/>
  <c r="V682" i="2"/>
  <c r="U682" i="2" s="1"/>
  <c r="X682" i="2"/>
  <c r="W682" i="2" s="1"/>
  <c r="AC682" i="2"/>
  <c r="AE682" i="2"/>
  <c r="AD682" i="2" s="1"/>
  <c r="AG682" i="2"/>
  <c r="AF682" i="2" s="1"/>
  <c r="T683" i="2"/>
  <c r="V683" i="2"/>
  <c r="U683" i="2" s="1"/>
  <c r="X683" i="2"/>
  <c r="W683" i="2" s="1"/>
  <c r="AC683" i="2"/>
  <c r="AE683" i="2"/>
  <c r="AD683" i="2" s="1"/>
  <c r="AG683" i="2"/>
  <c r="AF683" i="2" s="1"/>
  <c r="T684" i="2"/>
  <c r="V684" i="2"/>
  <c r="U684" i="2" s="1"/>
  <c r="X684" i="2"/>
  <c r="W684" i="2" s="1"/>
  <c r="AC684" i="2"/>
  <c r="AE684" i="2"/>
  <c r="AD684" i="2" s="1"/>
  <c r="AG684" i="2"/>
  <c r="AF684" i="2" s="1"/>
  <c r="T685" i="2"/>
  <c r="V685" i="2"/>
  <c r="U685" i="2" s="1"/>
  <c r="X685" i="2"/>
  <c r="W685" i="2" s="1"/>
  <c r="AC685" i="2"/>
  <c r="AE685" i="2"/>
  <c r="AD685" i="2" s="1"/>
  <c r="AG685" i="2"/>
  <c r="AF685" i="2" s="1"/>
  <c r="AE658" i="2"/>
  <c r="V658" i="2"/>
  <c r="AC658" i="2"/>
  <c r="T658" i="2"/>
  <c r="T628" i="2"/>
  <c r="V628" i="2"/>
  <c r="U628" i="2" s="1"/>
  <c r="X628" i="2"/>
  <c r="W628" i="2" s="1"/>
  <c r="Y628" i="2" s="1"/>
  <c r="AC628" i="2"/>
  <c r="AE628" i="2"/>
  <c r="AD628" i="2" s="1"/>
  <c r="AG628" i="2"/>
  <c r="AF628" i="2" s="1"/>
  <c r="AH628" i="2" s="1"/>
  <c r="T629" i="2"/>
  <c r="V629" i="2"/>
  <c r="U629" i="2" s="1"/>
  <c r="X629" i="2"/>
  <c r="W629" i="2" s="1"/>
  <c r="Y629" i="2" s="1"/>
  <c r="AC629" i="2"/>
  <c r="AE629" i="2"/>
  <c r="AD629" i="2" s="1"/>
  <c r="AG629" i="2"/>
  <c r="AF629" i="2" s="1"/>
  <c r="AH629" i="2" s="1"/>
  <c r="T630" i="2"/>
  <c r="V630" i="2"/>
  <c r="U630" i="2" s="1"/>
  <c r="X630" i="2"/>
  <c r="W630" i="2" s="1"/>
  <c r="Y630" i="2"/>
  <c r="AC630" i="2"/>
  <c r="AE630" i="2"/>
  <c r="AD630" i="2" s="1"/>
  <c r="AG630" i="2"/>
  <c r="AF630" i="2" s="1"/>
  <c r="AH630" i="2" s="1"/>
  <c r="T631" i="2"/>
  <c r="V631" i="2"/>
  <c r="U631" i="2" s="1"/>
  <c r="X631" i="2"/>
  <c r="W631" i="2" s="1"/>
  <c r="Y631" i="2" s="1"/>
  <c r="AC631" i="2"/>
  <c r="AE631" i="2"/>
  <c r="AD631" i="2" s="1"/>
  <c r="AG631" i="2"/>
  <c r="AF631" i="2" s="1"/>
  <c r="AH631" i="2" s="1"/>
  <c r="T632" i="2"/>
  <c r="V632" i="2"/>
  <c r="U632" i="2" s="1"/>
  <c r="X632" i="2"/>
  <c r="W632" i="2" s="1"/>
  <c r="Y632" i="2" s="1"/>
  <c r="AC632" i="2"/>
  <c r="AE632" i="2"/>
  <c r="AD632" i="2" s="1"/>
  <c r="AG632" i="2"/>
  <c r="AF632" i="2" s="1"/>
  <c r="AH632" i="2" s="1"/>
  <c r="T633" i="2"/>
  <c r="V633" i="2"/>
  <c r="U633" i="2" s="1"/>
  <c r="X633" i="2"/>
  <c r="W633" i="2" s="1"/>
  <c r="Y633" i="2" s="1"/>
  <c r="AC633" i="2"/>
  <c r="AE633" i="2"/>
  <c r="AD633" i="2" s="1"/>
  <c r="AG633" i="2"/>
  <c r="AF633" i="2" s="1"/>
  <c r="AH633" i="2" s="1"/>
  <c r="T634" i="2"/>
  <c r="V634" i="2"/>
  <c r="U634" i="2" s="1"/>
  <c r="X634" i="2"/>
  <c r="W634" i="2" s="1"/>
  <c r="Y634" i="2"/>
  <c r="AC634" i="2"/>
  <c r="AE634" i="2"/>
  <c r="AD634" i="2" s="1"/>
  <c r="AG634" i="2"/>
  <c r="AF634" i="2" s="1"/>
  <c r="AH634" i="2" s="1"/>
  <c r="T635" i="2"/>
  <c r="V635" i="2"/>
  <c r="U635" i="2" s="1"/>
  <c r="X635" i="2"/>
  <c r="W635" i="2" s="1"/>
  <c r="Y635" i="2" s="1"/>
  <c r="AC635" i="2"/>
  <c r="AE635" i="2"/>
  <c r="AD635" i="2" s="1"/>
  <c r="AG635" i="2"/>
  <c r="AF635" i="2" s="1"/>
  <c r="AH635" i="2" s="1"/>
  <c r="T636" i="2"/>
  <c r="V636" i="2"/>
  <c r="U636" i="2" s="1"/>
  <c r="X636" i="2"/>
  <c r="W636" i="2" s="1"/>
  <c r="Y636" i="2" s="1"/>
  <c r="AC636" i="2"/>
  <c r="AE636" i="2"/>
  <c r="AD636" i="2" s="1"/>
  <c r="AG636" i="2"/>
  <c r="AF636" i="2" s="1"/>
  <c r="AH636" i="2" s="1"/>
  <c r="T637" i="2"/>
  <c r="V637" i="2"/>
  <c r="U637" i="2" s="1"/>
  <c r="X637" i="2"/>
  <c r="W637" i="2" s="1"/>
  <c r="Y637" i="2"/>
  <c r="AC637" i="2"/>
  <c r="AE637" i="2"/>
  <c r="AD637" i="2" s="1"/>
  <c r="AG637" i="2"/>
  <c r="AF637" i="2" s="1"/>
  <c r="AH637" i="2" s="1"/>
  <c r="T638" i="2"/>
  <c r="V638" i="2"/>
  <c r="U638" i="2" s="1"/>
  <c r="X638" i="2"/>
  <c r="W638" i="2" s="1"/>
  <c r="Y638" i="2"/>
  <c r="AC638" i="2"/>
  <c r="AE638" i="2"/>
  <c r="AD638" i="2" s="1"/>
  <c r="AG638" i="2"/>
  <c r="AF638" i="2" s="1"/>
  <c r="AH638" i="2" s="1"/>
  <c r="T639" i="2"/>
  <c r="V639" i="2"/>
  <c r="U639" i="2" s="1"/>
  <c r="X639" i="2"/>
  <c r="W639" i="2" s="1"/>
  <c r="Y639" i="2" s="1"/>
  <c r="AC639" i="2"/>
  <c r="AE639" i="2"/>
  <c r="AD639" i="2" s="1"/>
  <c r="AG639" i="2"/>
  <c r="AF639" i="2" s="1"/>
  <c r="AH639" i="2" s="1"/>
  <c r="T640" i="2"/>
  <c r="V640" i="2"/>
  <c r="U640" i="2" s="1"/>
  <c r="X640" i="2"/>
  <c r="W640" i="2" s="1"/>
  <c r="Y640" i="2" s="1"/>
  <c r="AC640" i="2"/>
  <c r="AE640" i="2"/>
  <c r="AD640" i="2" s="1"/>
  <c r="AG640" i="2"/>
  <c r="AF640" i="2" s="1"/>
  <c r="AH640" i="2" s="1"/>
  <c r="T641" i="2"/>
  <c r="V641" i="2"/>
  <c r="U641" i="2" s="1"/>
  <c r="X641" i="2"/>
  <c r="W641" i="2" s="1"/>
  <c r="Y641" i="2"/>
  <c r="AC641" i="2"/>
  <c r="AE641" i="2"/>
  <c r="AD641" i="2" s="1"/>
  <c r="AG641" i="2"/>
  <c r="AF641" i="2" s="1"/>
  <c r="AH641" i="2" s="1"/>
  <c r="T642" i="2"/>
  <c r="V642" i="2"/>
  <c r="U642" i="2" s="1"/>
  <c r="X642" i="2"/>
  <c r="W642" i="2" s="1"/>
  <c r="Y642" i="2" s="1"/>
  <c r="AC642" i="2"/>
  <c r="AE642" i="2"/>
  <c r="AD642" i="2" s="1"/>
  <c r="AG642" i="2"/>
  <c r="AF642" i="2" s="1"/>
  <c r="AH642" i="2" s="1"/>
  <c r="T643" i="2"/>
  <c r="V643" i="2"/>
  <c r="U643" i="2" s="1"/>
  <c r="X643" i="2"/>
  <c r="W643" i="2" s="1"/>
  <c r="Y643" i="2" s="1"/>
  <c r="AC643" i="2"/>
  <c r="AE643" i="2"/>
  <c r="AD643" i="2" s="1"/>
  <c r="AG643" i="2"/>
  <c r="AF643" i="2" s="1"/>
  <c r="AH643" i="2" s="1"/>
  <c r="T644" i="2"/>
  <c r="V644" i="2"/>
  <c r="U644" i="2" s="1"/>
  <c r="X644" i="2"/>
  <c r="W644" i="2" s="1"/>
  <c r="Y644" i="2" s="1"/>
  <c r="AC644" i="2"/>
  <c r="AE644" i="2"/>
  <c r="AD644" i="2" s="1"/>
  <c r="AG644" i="2"/>
  <c r="AF644" i="2" s="1"/>
  <c r="T645" i="2"/>
  <c r="V645" i="2"/>
  <c r="U645" i="2" s="1"/>
  <c r="X645" i="2"/>
  <c r="W645" i="2" s="1"/>
  <c r="Y645" i="2" s="1"/>
  <c r="AC645" i="2"/>
  <c r="AE645" i="2"/>
  <c r="AD645" i="2" s="1"/>
  <c r="AG645" i="2"/>
  <c r="AF645" i="2" s="1"/>
  <c r="T646" i="2"/>
  <c r="V646" i="2"/>
  <c r="U646" i="2" s="1"/>
  <c r="X646" i="2"/>
  <c r="W646" i="2" s="1"/>
  <c r="AC646" i="2"/>
  <c r="AE646" i="2"/>
  <c r="AD646" i="2" s="1"/>
  <c r="AG646" i="2"/>
  <c r="AF646" i="2" s="1"/>
  <c r="AH646" i="2" s="1"/>
  <c r="T647" i="2"/>
  <c r="V647" i="2"/>
  <c r="U647" i="2" s="1"/>
  <c r="X647" i="2"/>
  <c r="W647" i="2" s="1"/>
  <c r="Y647" i="2" s="1"/>
  <c r="AC647" i="2"/>
  <c r="AE647" i="2"/>
  <c r="AD647" i="2" s="1"/>
  <c r="AG647" i="2"/>
  <c r="AF647" i="2" s="1"/>
  <c r="T648" i="2"/>
  <c r="V648" i="2"/>
  <c r="U648" i="2" s="1"/>
  <c r="X648" i="2"/>
  <c r="AC648" i="2"/>
  <c r="AE648" i="2"/>
  <c r="AD648" i="2" s="1"/>
  <c r="AG648" i="2"/>
  <c r="T649" i="2"/>
  <c r="V649" i="2"/>
  <c r="U649" i="2" s="1"/>
  <c r="X649" i="2"/>
  <c r="AC649" i="2"/>
  <c r="AE649" i="2"/>
  <c r="AD649" i="2" s="1"/>
  <c r="AG649" i="2"/>
  <c r="T650" i="2"/>
  <c r="V650" i="2"/>
  <c r="U650" i="2" s="1"/>
  <c r="X650" i="2"/>
  <c r="AC650" i="2"/>
  <c r="AE650" i="2"/>
  <c r="AD650" i="2" s="1"/>
  <c r="AG650" i="2"/>
  <c r="T651" i="2"/>
  <c r="V651" i="2"/>
  <c r="U651" i="2" s="1"/>
  <c r="X651" i="2"/>
  <c r="AC651" i="2"/>
  <c r="AE651" i="2"/>
  <c r="AD651" i="2" s="1"/>
  <c r="AG651" i="2"/>
  <c r="T652" i="2"/>
  <c r="V652" i="2"/>
  <c r="U652" i="2" s="1"/>
  <c r="X652" i="2"/>
  <c r="AC652" i="2"/>
  <c r="AE652" i="2"/>
  <c r="AD652" i="2" s="1"/>
  <c r="AG652" i="2"/>
  <c r="T653" i="2"/>
  <c r="V653" i="2"/>
  <c r="U653" i="2" s="1"/>
  <c r="X653" i="2"/>
  <c r="AC653" i="2"/>
  <c r="AD653" i="2"/>
  <c r="AE653" i="2"/>
  <c r="AG653" i="2"/>
  <c r="T654" i="2"/>
  <c r="V654" i="2"/>
  <c r="U654" i="2" s="1"/>
  <c r="X654" i="2"/>
  <c r="AC654" i="2"/>
  <c r="AD654" i="2"/>
  <c r="AE654" i="2"/>
  <c r="AG654" i="2"/>
  <c r="AE627" i="2"/>
  <c r="V627" i="2"/>
  <c r="AC627" i="2"/>
  <c r="T627" i="2"/>
  <c r="T597" i="2"/>
  <c r="V597" i="2"/>
  <c r="X597" i="2"/>
  <c r="W597" i="2" s="1"/>
  <c r="AC597" i="2"/>
  <c r="AE597" i="2"/>
  <c r="AD597" i="2" s="1"/>
  <c r="AG597" i="2"/>
  <c r="AF597" i="2" s="1"/>
  <c r="T598" i="2"/>
  <c r="V598" i="2"/>
  <c r="U598" i="2" s="1"/>
  <c r="X598" i="2"/>
  <c r="W598" i="2" s="1"/>
  <c r="AC598" i="2"/>
  <c r="AE598" i="2"/>
  <c r="AD598" i="2" s="1"/>
  <c r="AG598" i="2"/>
  <c r="AF598" i="2" s="1"/>
  <c r="T599" i="2"/>
  <c r="V599" i="2"/>
  <c r="U599" i="2" s="1"/>
  <c r="X599" i="2"/>
  <c r="W599" i="2" s="1"/>
  <c r="Z599" i="2"/>
  <c r="AA599" i="2" s="1"/>
  <c r="AC599" i="2"/>
  <c r="AE599" i="2"/>
  <c r="AD599" i="2" s="1"/>
  <c r="AG599" i="2"/>
  <c r="AF599" i="2" s="1"/>
  <c r="AI599" i="2"/>
  <c r="AJ599" i="2" s="1"/>
  <c r="T600" i="2"/>
  <c r="V600" i="2"/>
  <c r="U600" i="2" s="1"/>
  <c r="X600" i="2"/>
  <c r="W600" i="2" s="1"/>
  <c r="Z600" i="2"/>
  <c r="AA600" i="2" s="1"/>
  <c r="AC600" i="2"/>
  <c r="AE600" i="2"/>
  <c r="AD600" i="2" s="1"/>
  <c r="AG600" i="2"/>
  <c r="AF600" i="2" s="1"/>
  <c r="T601" i="2"/>
  <c r="V601" i="2"/>
  <c r="X601" i="2"/>
  <c r="W601" i="2" s="1"/>
  <c r="AC601" i="2"/>
  <c r="AE601" i="2"/>
  <c r="AD601" i="2" s="1"/>
  <c r="AG601" i="2"/>
  <c r="AF601" i="2" s="1"/>
  <c r="AI601" i="2"/>
  <c r="AJ601" i="2" s="1"/>
  <c r="T602" i="2"/>
  <c r="V602" i="2"/>
  <c r="U602" i="2" s="1"/>
  <c r="X602" i="2"/>
  <c r="W602" i="2" s="1"/>
  <c r="AC602" i="2"/>
  <c r="AE602" i="2"/>
  <c r="AD602" i="2" s="1"/>
  <c r="AG602" i="2"/>
  <c r="AF602" i="2" s="1"/>
  <c r="T603" i="2"/>
  <c r="V603" i="2"/>
  <c r="U603" i="2" s="1"/>
  <c r="X603" i="2"/>
  <c r="W603" i="2" s="1"/>
  <c r="AC603" i="2"/>
  <c r="AE603" i="2"/>
  <c r="AD603" i="2" s="1"/>
  <c r="AG603" i="2"/>
  <c r="AF603" i="2" s="1"/>
  <c r="T604" i="2"/>
  <c r="V604" i="2"/>
  <c r="U604" i="2" s="1"/>
  <c r="Y604" i="2" s="1"/>
  <c r="X604" i="2"/>
  <c r="W604" i="2" s="1"/>
  <c r="Z604" i="2"/>
  <c r="AA604" i="2" s="1"/>
  <c r="AC604" i="2"/>
  <c r="AE604" i="2"/>
  <c r="AD604" i="2" s="1"/>
  <c r="AG604" i="2"/>
  <c r="AF604" i="2" s="1"/>
  <c r="T605" i="2"/>
  <c r="V605" i="2"/>
  <c r="X605" i="2"/>
  <c r="W605" i="2" s="1"/>
  <c r="AC605" i="2"/>
  <c r="AE605" i="2"/>
  <c r="AD605" i="2" s="1"/>
  <c r="AG605" i="2"/>
  <c r="AF605" i="2" s="1"/>
  <c r="T606" i="2"/>
  <c r="V606" i="2"/>
  <c r="U606" i="2" s="1"/>
  <c r="X606" i="2"/>
  <c r="W606" i="2" s="1"/>
  <c r="AC606" i="2"/>
  <c r="AE606" i="2"/>
  <c r="AD606" i="2" s="1"/>
  <c r="AG606" i="2"/>
  <c r="AF606" i="2" s="1"/>
  <c r="T607" i="2"/>
  <c r="V607" i="2"/>
  <c r="U607" i="2" s="1"/>
  <c r="X607" i="2"/>
  <c r="W607" i="2" s="1"/>
  <c r="AC607" i="2"/>
  <c r="AE607" i="2"/>
  <c r="AD607" i="2" s="1"/>
  <c r="AG607" i="2"/>
  <c r="AF607" i="2" s="1"/>
  <c r="T608" i="2"/>
  <c r="V608" i="2"/>
  <c r="U608" i="2" s="1"/>
  <c r="X608" i="2"/>
  <c r="W608" i="2" s="1"/>
  <c r="Z608" i="2"/>
  <c r="AA608" i="2" s="1"/>
  <c r="AC608" i="2"/>
  <c r="AE608" i="2"/>
  <c r="AD608" i="2" s="1"/>
  <c r="AG608" i="2"/>
  <c r="AF608" i="2" s="1"/>
  <c r="T609" i="2"/>
  <c r="V609" i="2"/>
  <c r="X609" i="2"/>
  <c r="W609" i="2" s="1"/>
  <c r="AC609" i="2"/>
  <c r="AE609" i="2"/>
  <c r="AD609" i="2" s="1"/>
  <c r="AG609" i="2"/>
  <c r="AF609" i="2" s="1"/>
  <c r="T610" i="2"/>
  <c r="V610" i="2"/>
  <c r="U610" i="2" s="1"/>
  <c r="X610" i="2"/>
  <c r="W610" i="2" s="1"/>
  <c r="AC610" i="2"/>
  <c r="AE610" i="2"/>
  <c r="AD610" i="2" s="1"/>
  <c r="AG610" i="2"/>
  <c r="AF610" i="2" s="1"/>
  <c r="T611" i="2"/>
  <c r="V611" i="2"/>
  <c r="U611" i="2" s="1"/>
  <c r="X611" i="2"/>
  <c r="W611" i="2" s="1"/>
  <c r="AC611" i="2"/>
  <c r="AE611" i="2"/>
  <c r="AD611" i="2" s="1"/>
  <c r="AG611" i="2"/>
  <c r="AF611" i="2" s="1"/>
  <c r="AI611" i="2"/>
  <c r="AJ611" i="2" s="1"/>
  <c r="T612" i="2"/>
  <c r="V612" i="2"/>
  <c r="U612" i="2" s="1"/>
  <c r="X612" i="2"/>
  <c r="W612" i="2" s="1"/>
  <c r="AC612" i="2"/>
  <c r="AE612" i="2"/>
  <c r="AD612" i="2" s="1"/>
  <c r="AG612" i="2"/>
  <c r="AF612" i="2" s="1"/>
  <c r="T613" i="2"/>
  <c r="V613" i="2"/>
  <c r="X613" i="2"/>
  <c r="W613" i="2" s="1"/>
  <c r="AC613" i="2"/>
  <c r="AE613" i="2"/>
  <c r="AD613" i="2" s="1"/>
  <c r="AG613" i="2"/>
  <c r="AF613" i="2" s="1"/>
  <c r="T614" i="2"/>
  <c r="V614" i="2"/>
  <c r="U614" i="2" s="1"/>
  <c r="X614" i="2"/>
  <c r="W614" i="2" s="1"/>
  <c r="AC614" i="2"/>
  <c r="AE614" i="2"/>
  <c r="AD614" i="2" s="1"/>
  <c r="AG614" i="2"/>
  <c r="AF614" i="2" s="1"/>
  <c r="T615" i="2"/>
  <c r="V615" i="2"/>
  <c r="U615" i="2" s="1"/>
  <c r="X615" i="2"/>
  <c r="W615" i="2" s="1"/>
  <c r="AC615" i="2"/>
  <c r="AE615" i="2"/>
  <c r="AD615" i="2" s="1"/>
  <c r="AG615" i="2"/>
  <c r="AF615" i="2" s="1"/>
  <c r="T616" i="2"/>
  <c r="V616" i="2"/>
  <c r="U616" i="2" s="1"/>
  <c r="X616" i="2"/>
  <c r="W616" i="2" s="1"/>
  <c r="AC616" i="2"/>
  <c r="AE616" i="2"/>
  <c r="AD616" i="2" s="1"/>
  <c r="AH616" i="2" s="1"/>
  <c r="AG616" i="2"/>
  <c r="AF616" i="2" s="1"/>
  <c r="T617" i="2"/>
  <c r="V617" i="2"/>
  <c r="X617" i="2"/>
  <c r="W617" i="2" s="1"/>
  <c r="AC617" i="2"/>
  <c r="AE617" i="2"/>
  <c r="AD617" i="2" s="1"/>
  <c r="AG617" i="2"/>
  <c r="AF617" i="2" s="1"/>
  <c r="AI617" i="2"/>
  <c r="AJ617" i="2" s="1"/>
  <c r="T618" i="2"/>
  <c r="V618" i="2"/>
  <c r="U618" i="2" s="1"/>
  <c r="X618" i="2"/>
  <c r="W618" i="2" s="1"/>
  <c r="AC618" i="2"/>
  <c r="AE618" i="2"/>
  <c r="AD618" i="2" s="1"/>
  <c r="AG618" i="2"/>
  <c r="AF618" i="2" s="1"/>
  <c r="T619" i="2"/>
  <c r="V619" i="2"/>
  <c r="U619" i="2" s="1"/>
  <c r="X619" i="2"/>
  <c r="W619" i="2" s="1"/>
  <c r="AC619" i="2"/>
  <c r="AE619" i="2"/>
  <c r="AD619" i="2" s="1"/>
  <c r="AG619" i="2"/>
  <c r="AF619" i="2" s="1"/>
  <c r="T620" i="2"/>
  <c r="V620" i="2"/>
  <c r="U620" i="2" s="1"/>
  <c r="X620" i="2"/>
  <c r="W620" i="2" s="1"/>
  <c r="AC620" i="2"/>
  <c r="AE620" i="2"/>
  <c r="AD620" i="2" s="1"/>
  <c r="AG620" i="2"/>
  <c r="AF620" i="2" s="1"/>
  <c r="T621" i="2"/>
  <c r="V621" i="2"/>
  <c r="X621" i="2"/>
  <c r="W621" i="2" s="1"/>
  <c r="AC621" i="2"/>
  <c r="AE621" i="2"/>
  <c r="AD621" i="2" s="1"/>
  <c r="AG621" i="2"/>
  <c r="AF621" i="2" s="1"/>
  <c r="T622" i="2"/>
  <c r="V622" i="2"/>
  <c r="U622" i="2" s="1"/>
  <c r="X622" i="2"/>
  <c r="W622" i="2" s="1"/>
  <c r="AC622" i="2"/>
  <c r="AE622" i="2"/>
  <c r="AD622" i="2" s="1"/>
  <c r="AG622" i="2"/>
  <c r="AF622" i="2" s="1"/>
  <c r="T623" i="2"/>
  <c r="V623" i="2"/>
  <c r="U623" i="2" s="1"/>
  <c r="X623" i="2"/>
  <c r="W623" i="2" s="1"/>
  <c r="AC623" i="2"/>
  <c r="AE623" i="2"/>
  <c r="AD623" i="2" s="1"/>
  <c r="AG623" i="2"/>
  <c r="AF623" i="2" s="1"/>
  <c r="AE596" i="2"/>
  <c r="V596" i="2"/>
  <c r="U596" i="2" s="1"/>
  <c r="AC596" i="2"/>
  <c r="T596" i="2"/>
  <c r="T566" i="2"/>
  <c r="V566" i="2"/>
  <c r="U566" i="2" s="1"/>
  <c r="X566" i="2"/>
  <c r="W566" i="2" s="1"/>
  <c r="AC566" i="2"/>
  <c r="AE566" i="2"/>
  <c r="AD566" i="2" s="1"/>
  <c r="AG566" i="2"/>
  <c r="AF566" i="2" s="1"/>
  <c r="T567" i="2"/>
  <c r="V567" i="2"/>
  <c r="U567" i="2" s="1"/>
  <c r="X567" i="2"/>
  <c r="W567" i="2" s="1"/>
  <c r="AC567" i="2"/>
  <c r="AE567" i="2"/>
  <c r="AD567" i="2" s="1"/>
  <c r="AG567" i="2"/>
  <c r="AF567" i="2" s="1"/>
  <c r="T568" i="2"/>
  <c r="V568" i="2"/>
  <c r="U568" i="2" s="1"/>
  <c r="X568" i="2"/>
  <c r="W568" i="2" s="1"/>
  <c r="AC568" i="2"/>
  <c r="AE568" i="2"/>
  <c r="AD568" i="2" s="1"/>
  <c r="AG568" i="2"/>
  <c r="AF568" i="2" s="1"/>
  <c r="T569" i="2"/>
  <c r="V569" i="2"/>
  <c r="U569" i="2" s="1"/>
  <c r="X569" i="2"/>
  <c r="W569" i="2" s="1"/>
  <c r="AC569" i="2"/>
  <c r="AE569" i="2"/>
  <c r="AD569" i="2" s="1"/>
  <c r="AG569" i="2"/>
  <c r="AF569" i="2" s="1"/>
  <c r="T570" i="2"/>
  <c r="V570" i="2"/>
  <c r="U570" i="2" s="1"/>
  <c r="X570" i="2"/>
  <c r="W570" i="2" s="1"/>
  <c r="AC570" i="2"/>
  <c r="AE570" i="2"/>
  <c r="AD570" i="2" s="1"/>
  <c r="AG570" i="2"/>
  <c r="AF570" i="2" s="1"/>
  <c r="T571" i="2"/>
  <c r="V571" i="2"/>
  <c r="U571" i="2" s="1"/>
  <c r="X571" i="2"/>
  <c r="W571" i="2" s="1"/>
  <c r="AC571" i="2"/>
  <c r="AE571" i="2"/>
  <c r="AD571" i="2" s="1"/>
  <c r="AG571" i="2"/>
  <c r="AF571" i="2" s="1"/>
  <c r="T572" i="2"/>
  <c r="V572" i="2"/>
  <c r="U572" i="2" s="1"/>
  <c r="X572" i="2"/>
  <c r="W572" i="2" s="1"/>
  <c r="AC572" i="2"/>
  <c r="AE572" i="2"/>
  <c r="AD572" i="2" s="1"/>
  <c r="AG572" i="2"/>
  <c r="AF572" i="2" s="1"/>
  <c r="T573" i="2"/>
  <c r="V573" i="2"/>
  <c r="U573" i="2" s="1"/>
  <c r="X573" i="2"/>
  <c r="W573" i="2" s="1"/>
  <c r="AC573" i="2"/>
  <c r="AE573" i="2"/>
  <c r="AD573" i="2" s="1"/>
  <c r="AG573" i="2"/>
  <c r="AF573" i="2" s="1"/>
  <c r="T574" i="2"/>
  <c r="V574" i="2"/>
  <c r="U574" i="2" s="1"/>
  <c r="X574" i="2"/>
  <c r="W574" i="2" s="1"/>
  <c r="AC574" i="2"/>
  <c r="AE574" i="2"/>
  <c r="AD574" i="2" s="1"/>
  <c r="AG574" i="2"/>
  <c r="AF574" i="2" s="1"/>
  <c r="T575" i="2"/>
  <c r="V575" i="2"/>
  <c r="U575" i="2" s="1"/>
  <c r="X575" i="2"/>
  <c r="W575" i="2" s="1"/>
  <c r="AC575" i="2"/>
  <c r="AE575" i="2"/>
  <c r="AD575" i="2" s="1"/>
  <c r="AG575" i="2"/>
  <c r="AF575" i="2" s="1"/>
  <c r="T576" i="2"/>
  <c r="V576" i="2"/>
  <c r="U576" i="2" s="1"/>
  <c r="X576" i="2"/>
  <c r="W576" i="2" s="1"/>
  <c r="AC576" i="2"/>
  <c r="AE576" i="2"/>
  <c r="AD576" i="2" s="1"/>
  <c r="AG576" i="2"/>
  <c r="AF576" i="2" s="1"/>
  <c r="T577" i="2"/>
  <c r="V577" i="2"/>
  <c r="U577" i="2" s="1"/>
  <c r="X577" i="2"/>
  <c r="W577" i="2" s="1"/>
  <c r="AC577" i="2"/>
  <c r="AE577" i="2"/>
  <c r="AD577" i="2" s="1"/>
  <c r="AG577" i="2"/>
  <c r="AF577" i="2" s="1"/>
  <c r="T578" i="2"/>
  <c r="V578" i="2"/>
  <c r="U578" i="2" s="1"/>
  <c r="X578" i="2"/>
  <c r="W578" i="2" s="1"/>
  <c r="AC578" i="2"/>
  <c r="AE578" i="2"/>
  <c r="AD578" i="2" s="1"/>
  <c r="AG578" i="2"/>
  <c r="AF578" i="2" s="1"/>
  <c r="T579" i="2"/>
  <c r="V579" i="2"/>
  <c r="U579" i="2" s="1"/>
  <c r="X579" i="2"/>
  <c r="W579" i="2" s="1"/>
  <c r="AC579" i="2"/>
  <c r="AE579" i="2"/>
  <c r="AD579" i="2" s="1"/>
  <c r="AG579" i="2"/>
  <c r="AF579" i="2" s="1"/>
  <c r="T580" i="2"/>
  <c r="V580" i="2"/>
  <c r="U580" i="2" s="1"/>
  <c r="X580" i="2"/>
  <c r="W580" i="2" s="1"/>
  <c r="AC580" i="2"/>
  <c r="AE580" i="2"/>
  <c r="AD580" i="2" s="1"/>
  <c r="AG580" i="2"/>
  <c r="AF580" i="2" s="1"/>
  <c r="T581" i="2"/>
  <c r="V581" i="2"/>
  <c r="U581" i="2" s="1"/>
  <c r="X581" i="2"/>
  <c r="W581" i="2" s="1"/>
  <c r="AC581" i="2"/>
  <c r="AE581" i="2"/>
  <c r="AD581" i="2" s="1"/>
  <c r="AG581" i="2"/>
  <c r="AF581" i="2" s="1"/>
  <c r="T582" i="2"/>
  <c r="V582" i="2"/>
  <c r="U582" i="2" s="1"/>
  <c r="X582" i="2"/>
  <c r="W582" i="2" s="1"/>
  <c r="AC582" i="2"/>
  <c r="AE582" i="2"/>
  <c r="AD582" i="2" s="1"/>
  <c r="AG582" i="2"/>
  <c r="AF582" i="2" s="1"/>
  <c r="T583" i="2"/>
  <c r="V583" i="2"/>
  <c r="U583" i="2" s="1"/>
  <c r="X583" i="2"/>
  <c r="W583" i="2" s="1"/>
  <c r="AC583" i="2"/>
  <c r="AE583" i="2"/>
  <c r="AD583" i="2" s="1"/>
  <c r="AG583" i="2"/>
  <c r="AF583" i="2" s="1"/>
  <c r="T584" i="2"/>
  <c r="V584" i="2"/>
  <c r="U584" i="2" s="1"/>
  <c r="X584" i="2"/>
  <c r="W584" i="2" s="1"/>
  <c r="AC584" i="2"/>
  <c r="AE584" i="2"/>
  <c r="AD584" i="2" s="1"/>
  <c r="AG584" i="2"/>
  <c r="AF584" i="2" s="1"/>
  <c r="T585" i="2"/>
  <c r="V585" i="2"/>
  <c r="U585" i="2" s="1"/>
  <c r="X585" i="2"/>
  <c r="W585" i="2" s="1"/>
  <c r="AC585" i="2"/>
  <c r="AE585" i="2"/>
  <c r="AD585" i="2" s="1"/>
  <c r="AG585" i="2"/>
  <c r="AF585" i="2" s="1"/>
  <c r="T586" i="2"/>
  <c r="V586" i="2"/>
  <c r="U586" i="2" s="1"/>
  <c r="X586" i="2"/>
  <c r="W586" i="2" s="1"/>
  <c r="AC586" i="2"/>
  <c r="AE586" i="2"/>
  <c r="AD586" i="2" s="1"/>
  <c r="AG586" i="2"/>
  <c r="AF586" i="2" s="1"/>
  <c r="T587" i="2"/>
  <c r="V587" i="2"/>
  <c r="U587" i="2" s="1"/>
  <c r="X587" i="2"/>
  <c r="W587" i="2" s="1"/>
  <c r="AC587" i="2"/>
  <c r="AE587" i="2"/>
  <c r="AD587" i="2" s="1"/>
  <c r="AG587" i="2"/>
  <c r="AF587" i="2" s="1"/>
  <c r="T588" i="2"/>
  <c r="V588" i="2"/>
  <c r="U588" i="2" s="1"/>
  <c r="X588" i="2"/>
  <c r="W588" i="2" s="1"/>
  <c r="AC588" i="2"/>
  <c r="AE588" i="2"/>
  <c r="AD588" i="2" s="1"/>
  <c r="AG588" i="2"/>
  <c r="AF588" i="2" s="1"/>
  <c r="T589" i="2"/>
  <c r="V589" i="2"/>
  <c r="U589" i="2" s="1"/>
  <c r="X589" i="2"/>
  <c r="W589" i="2" s="1"/>
  <c r="AC589" i="2"/>
  <c r="AE589" i="2"/>
  <c r="AD589" i="2" s="1"/>
  <c r="AG589" i="2"/>
  <c r="AF589" i="2" s="1"/>
  <c r="T590" i="2"/>
  <c r="V590" i="2"/>
  <c r="U590" i="2" s="1"/>
  <c r="X590" i="2"/>
  <c r="W590" i="2" s="1"/>
  <c r="AC590" i="2"/>
  <c r="AE590" i="2"/>
  <c r="AD590" i="2" s="1"/>
  <c r="AG590" i="2"/>
  <c r="AF590" i="2" s="1"/>
  <c r="T591" i="2"/>
  <c r="V591" i="2"/>
  <c r="U591" i="2" s="1"/>
  <c r="X591" i="2"/>
  <c r="W591" i="2" s="1"/>
  <c r="AC591" i="2"/>
  <c r="AE591" i="2"/>
  <c r="AD591" i="2" s="1"/>
  <c r="AG591" i="2"/>
  <c r="AF591" i="2" s="1"/>
  <c r="T592" i="2"/>
  <c r="V592" i="2"/>
  <c r="U592" i="2" s="1"/>
  <c r="X592" i="2"/>
  <c r="W592" i="2" s="1"/>
  <c r="AC592" i="2"/>
  <c r="AE592" i="2"/>
  <c r="AD592" i="2" s="1"/>
  <c r="AG592" i="2"/>
  <c r="AF592" i="2" s="1"/>
  <c r="AE565" i="2"/>
  <c r="V565" i="2"/>
  <c r="AC565" i="2"/>
  <c r="T565" i="2"/>
  <c r="T535" i="2"/>
  <c r="V535" i="2"/>
  <c r="U535" i="2" s="1"/>
  <c r="X535" i="2"/>
  <c r="W535" i="2" s="1"/>
  <c r="Y535" i="2" s="1"/>
  <c r="AC535" i="2"/>
  <c r="AE535" i="2"/>
  <c r="AD535" i="2" s="1"/>
  <c r="AG535" i="2"/>
  <c r="AF535" i="2" s="1"/>
  <c r="AH535" i="2" s="1"/>
  <c r="T536" i="2"/>
  <c r="V536" i="2"/>
  <c r="U536" i="2" s="1"/>
  <c r="X536" i="2"/>
  <c r="W536" i="2" s="1"/>
  <c r="Y536" i="2"/>
  <c r="AC536" i="2"/>
  <c r="AE536" i="2"/>
  <c r="AD536" i="2" s="1"/>
  <c r="AG536" i="2"/>
  <c r="AF536" i="2" s="1"/>
  <c r="AH536" i="2" s="1"/>
  <c r="T537" i="2"/>
  <c r="V537" i="2"/>
  <c r="U537" i="2" s="1"/>
  <c r="X537" i="2"/>
  <c r="W537" i="2" s="1"/>
  <c r="AC537" i="2"/>
  <c r="AE537" i="2"/>
  <c r="AD537" i="2" s="1"/>
  <c r="AG537" i="2"/>
  <c r="AF537" i="2" s="1"/>
  <c r="AH537" i="2"/>
  <c r="T538" i="2"/>
  <c r="V538" i="2"/>
  <c r="U538" i="2" s="1"/>
  <c r="X538" i="2"/>
  <c r="W538" i="2" s="1"/>
  <c r="AC538" i="2"/>
  <c r="AE538" i="2"/>
  <c r="AD538" i="2" s="1"/>
  <c r="AG538" i="2"/>
  <c r="AF538" i="2" s="1"/>
  <c r="T539" i="2"/>
  <c r="V539" i="2"/>
  <c r="U539" i="2" s="1"/>
  <c r="X539" i="2"/>
  <c r="W539" i="2" s="1"/>
  <c r="AC539" i="2"/>
  <c r="AE539" i="2"/>
  <c r="AD539" i="2" s="1"/>
  <c r="AG539" i="2"/>
  <c r="AF539" i="2" s="1"/>
  <c r="T540" i="2"/>
  <c r="V540" i="2"/>
  <c r="U540" i="2" s="1"/>
  <c r="X540" i="2"/>
  <c r="W540" i="2" s="1"/>
  <c r="AC540" i="2"/>
  <c r="AE540" i="2"/>
  <c r="AD540" i="2" s="1"/>
  <c r="AG540" i="2"/>
  <c r="AF540" i="2" s="1"/>
  <c r="T541" i="2"/>
  <c r="V541" i="2"/>
  <c r="U541" i="2" s="1"/>
  <c r="X541" i="2"/>
  <c r="W541" i="2" s="1"/>
  <c r="AC541" i="2"/>
  <c r="AE541" i="2"/>
  <c r="AD541" i="2" s="1"/>
  <c r="AG541" i="2"/>
  <c r="AF541" i="2" s="1"/>
  <c r="T542" i="2"/>
  <c r="V542" i="2"/>
  <c r="U542" i="2" s="1"/>
  <c r="X542" i="2"/>
  <c r="W542" i="2" s="1"/>
  <c r="AC542" i="2"/>
  <c r="AE542" i="2"/>
  <c r="AD542" i="2" s="1"/>
  <c r="AG542" i="2"/>
  <c r="AF542" i="2" s="1"/>
  <c r="AH542" i="2" s="1"/>
  <c r="T543" i="2"/>
  <c r="V543" i="2"/>
  <c r="U543" i="2" s="1"/>
  <c r="X543" i="2"/>
  <c r="W543" i="2" s="1"/>
  <c r="AC543" i="2"/>
  <c r="AE543" i="2"/>
  <c r="AD543" i="2" s="1"/>
  <c r="AG543" i="2"/>
  <c r="AF543" i="2" s="1"/>
  <c r="AH543" i="2" s="1"/>
  <c r="T544" i="2"/>
  <c r="V544" i="2"/>
  <c r="U544" i="2" s="1"/>
  <c r="X544" i="2"/>
  <c r="W544" i="2" s="1"/>
  <c r="AC544" i="2"/>
  <c r="AE544" i="2"/>
  <c r="AD544" i="2" s="1"/>
  <c r="AG544" i="2"/>
  <c r="AF544" i="2" s="1"/>
  <c r="T545" i="2"/>
  <c r="V545" i="2"/>
  <c r="U545" i="2" s="1"/>
  <c r="X545" i="2"/>
  <c r="W545" i="2" s="1"/>
  <c r="AC545" i="2"/>
  <c r="AE545" i="2"/>
  <c r="AD545" i="2" s="1"/>
  <c r="AG545" i="2"/>
  <c r="AF545" i="2" s="1"/>
  <c r="AH545" i="2" s="1"/>
  <c r="T546" i="2"/>
  <c r="V546" i="2"/>
  <c r="U546" i="2" s="1"/>
  <c r="X546" i="2"/>
  <c r="W546" i="2" s="1"/>
  <c r="AC546" i="2"/>
  <c r="AE546" i="2"/>
  <c r="AD546" i="2" s="1"/>
  <c r="AH546" i="2" s="1"/>
  <c r="AG546" i="2"/>
  <c r="AF546" i="2" s="1"/>
  <c r="T547" i="2"/>
  <c r="V547" i="2"/>
  <c r="U547" i="2" s="1"/>
  <c r="X547" i="2"/>
  <c r="W547" i="2" s="1"/>
  <c r="AC547" i="2"/>
  <c r="AE547" i="2"/>
  <c r="AD547" i="2" s="1"/>
  <c r="AG547" i="2"/>
  <c r="AF547" i="2" s="1"/>
  <c r="AH547" i="2" s="1"/>
  <c r="T548" i="2"/>
  <c r="V548" i="2"/>
  <c r="U548" i="2" s="1"/>
  <c r="X548" i="2"/>
  <c r="W548" i="2" s="1"/>
  <c r="AC548" i="2"/>
  <c r="AE548" i="2"/>
  <c r="AD548" i="2" s="1"/>
  <c r="AG548" i="2"/>
  <c r="AF548" i="2" s="1"/>
  <c r="AH548" i="2" s="1"/>
  <c r="T549" i="2"/>
  <c r="V549" i="2"/>
  <c r="U549" i="2" s="1"/>
  <c r="X549" i="2"/>
  <c r="W549" i="2" s="1"/>
  <c r="AC549" i="2"/>
  <c r="AE549" i="2"/>
  <c r="AD549" i="2" s="1"/>
  <c r="AG549" i="2"/>
  <c r="AF549" i="2" s="1"/>
  <c r="T550" i="2"/>
  <c r="V550" i="2"/>
  <c r="U550" i="2" s="1"/>
  <c r="X550" i="2"/>
  <c r="W550" i="2" s="1"/>
  <c r="AC550" i="2"/>
  <c r="AE550" i="2"/>
  <c r="AD550" i="2" s="1"/>
  <c r="AG550" i="2"/>
  <c r="AF550" i="2" s="1"/>
  <c r="AH550" i="2" s="1"/>
  <c r="T551" i="2"/>
  <c r="V551" i="2"/>
  <c r="U551" i="2" s="1"/>
  <c r="X551" i="2"/>
  <c r="W551" i="2" s="1"/>
  <c r="AC551" i="2"/>
  <c r="AE551" i="2"/>
  <c r="AD551" i="2" s="1"/>
  <c r="AG551" i="2"/>
  <c r="AF551" i="2" s="1"/>
  <c r="T552" i="2"/>
  <c r="V552" i="2"/>
  <c r="U552" i="2" s="1"/>
  <c r="X552" i="2"/>
  <c r="W552" i="2" s="1"/>
  <c r="AC552" i="2"/>
  <c r="AE552" i="2"/>
  <c r="AD552" i="2" s="1"/>
  <c r="AG552" i="2"/>
  <c r="AF552" i="2" s="1"/>
  <c r="AH552" i="2" s="1"/>
  <c r="T553" i="2"/>
  <c r="V553" i="2"/>
  <c r="U553" i="2" s="1"/>
  <c r="X553" i="2"/>
  <c r="W553" i="2" s="1"/>
  <c r="AC553" i="2"/>
  <c r="AE553" i="2"/>
  <c r="AD553" i="2" s="1"/>
  <c r="AG553" i="2"/>
  <c r="AF553" i="2" s="1"/>
  <c r="T554" i="2"/>
  <c r="V554" i="2"/>
  <c r="U554" i="2" s="1"/>
  <c r="X554" i="2"/>
  <c r="AC554" i="2"/>
  <c r="AE554" i="2"/>
  <c r="AD554" i="2" s="1"/>
  <c r="AG554" i="2"/>
  <c r="T555" i="2"/>
  <c r="V555" i="2"/>
  <c r="U555" i="2" s="1"/>
  <c r="X555" i="2"/>
  <c r="AC555" i="2"/>
  <c r="AE555" i="2"/>
  <c r="AD555" i="2" s="1"/>
  <c r="AG555" i="2"/>
  <c r="T556" i="2"/>
  <c r="V556" i="2"/>
  <c r="U556" i="2" s="1"/>
  <c r="X556" i="2"/>
  <c r="AC556" i="2"/>
  <c r="AE556" i="2"/>
  <c r="AD556" i="2" s="1"/>
  <c r="AG556" i="2"/>
  <c r="T557" i="2"/>
  <c r="V557" i="2"/>
  <c r="U557" i="2" s="1"/>
  <c r="X557" i="2"/>
  <c r="AC557" i="2"/>
  <c r="AE557" i="2"/>
  <c r="AD557" i="2" s="1"/>
  <c r="AG557" i="2"/>
  <c r="T558" i="2"/>
  <c r="V558" i="2"/>
  <c r="U558" i="2" s="1"/>
  <c r="X558" i="2"/>
  <c r="AC558" i="2"/>
  <c r="AE558" i="2"/>
  <c r="AD558" i="2" s="1"/>
  <c r="AG558" i="2"/>
  <c r="T559" i="2"/>
  <c r="V559" i="2"/>
  <c r="U559" i="2" s="1"/>
  <c r="X559" i="2"/>
  <c r="AC559" i="2"/>
  <c r="AE559" i="2"/>
  <c r="AD559" i="2" s="1"/>
  <c r="AG559" i="2"/>
  <c r="T560" i="2"/>
  <c r="V560" i="2"/>
  <c r="U560" i="2" s="1"/>
  <c r="X560" i="2"/>
  <c r="AC560" i="2"/>
  <c r="AE560" i="2"/>
  <c r="AD560" i="2" s="1"/>
  <c r="AG560" i="2"/>
  <c r="T561" i="2"/>
  <c r="V561" i="2"/>
  <c r="U561" i="2" s="1"/>
  <c r="X561" i="2"/>
  <c r="AC561" i="2"/>
  <c r="AE561" i="2"/>
  <c r="AD561" i="2" s="1"/>
  <c r="AG561" i="2"/>
  <c r="AE534" i="2"/>
  <c r="V534" i="2"/>
  <c r="AC534" i="2"/>
  <c r="T534" i="2"/>
  <c r="T504" i="2"/>
  <c r="V504" i="2"/>
  <c r="U504" i="2" s="1"/>
  <c r="X504" i="2"/>
  <c r="W504" i="2" s="1"/>
  <c r="AC504" i="2"/>
  <c r="AE504" i="2"/>
  <c r="AD504" i="2" s="1"/>
  <c r="AG504" i="2"/>
  <c r="AF504" i="2" s="1"/>
  <c r="T505" i="2"/>
  <c r="V505" i="2"/>
  <c r="U505" i="2" s="1"/>
  <c r="X505" i="2"/>
  <c r="W505" i="2" s="1"/>
  <c r="AC505" i="2"/>
  <c r="AE505" i="2"/>
  <c r="AD505" i="2" s="1"/>
  <c r="AG505" i="2"/>
  <c r="AF505" i="2" s="1"/>
  <c r="T506" i="2"/>
  <c r="V506" i="2"/>
  <c r="U506" i="2" s="1"/>
  <c r="X506" i="2"/>
  <c r="W506" i="2" s="1"/>
  <c r="AC506" i="2"/>
  <c r="AE506" i="2"/>
  <c r="AD506" i="2" s="1"/>
  <c r="AG506" i="2"/>
  <c r="AF506" i="2" s="1"/>
  <c r="T507" i="2"/>
  <c r="V507" i="2"/>
  <c r="U507" i="2" s="1"/>
  <c r="X507" i="2"/>
  <c r="W507" i="2" s="1"/>
  <c r="AC507" i="2"/>
  <c r="AE507" i="2"/>
  <c r="AD507" i="2" s="1"/>
  <c r="AG507" i="2"/>
  <c r="AF507" i="2" s="1"/>
  <c r="T508" i="2"/>
  <c r="V508" i="2"/>
  <c r="U508" i="2" s="1"/>
  <c r="X508" i="2"/>
  <c r="W508" i="2" s="1"/>
  <c r="AC508" i="2"/>
  <c r="AE508" i="2"/>
  <c r="AD508" i="2" s="1"/>
  <c r="AG508" i="2"/>
  <c r="AF508" i="2" s="1"/>
  <c r="T509" i="2"/>
  <c r="V509" i="2"/>
  <c r="U509" i="2" s="1"/>
  <c r="X509" i="2"/>
  <c r="W509" i="2" s="1"/>
  <c r="AC509" i="2"/>
  <c r="AE509" i="2"/>
  <c r="AD509" i="2" s="1"/>
  <c r="AG509" i="2"/>
  <c r="AF509" i="2" s="1"/>
  <c r="T510" i="2"/>
  <c r="V510" i="2"/>
  <c r="U510" i="2" s="1"/>
  <c r="X510" i="2"/>
  <c r="W510" i="2" s="1"/>
  <c r="AC510" i="2"/>
  <c r="AE510" i="2"/>
  <c r="AD510" i="2" s="1"/>
  <c r="AG510" i="2"/>
  <c r="AF510" i="2" s="1"/>
  <c r="T511" i="2"/>
  <c r="V511" i="2"/>
  <c r="U511" i="2" s="1"/>
  <c r="X511" i="2"/>
  <c r="W511" i="2" s="1"/>
  <c r="AC511" i="2"/>
  <c r="AE511" i="2"/>
  <c r="AD511" i="2" s="1"/>
  <c r="AG511" i="2"/>
  <c r="AF511" i="2" s="1"/>
  <c r="T512" i="2"/>
  <c r="V512" i="2"/>
  <c r="U512" i="2" s="1"/>
  <c r="X512" i="2"/>
  <c r="W512" i="2" s="1"/>
  <c r="AC512" i="2"/>
  <c r="AE512" i="2"/>
  <c r="AD512" i="2" s="1"/>
  <c r="AG512" i="2"/>
  <c r="AF512" i="2" s="1"/>
  <c r="T513" i="2"/>
  <c r="V513" i="2"/>
  <c r="U513" i="2" s="1"/>
  <c r="X513" i="2"/>
  <c r="W513" i="2" s="1"/>
  <c r="AC513" i="2"/>
  <c r="AE513" i="2"/>
  <c r="AD513" i="2" s="1"/>
  <c r="AG513" i="2"/>
  <c r="AF513" i="2" s="1"/>
  <c r="T514" i="2"/>
  <c r="V514" i="2"/>
  <c r="U514" i="2" s="1"/>
  <c r="X514" i="2"/>
  <c r="W514" i="2" s="1"/>
  <c r="AC514" i="2"/>
  <c r="AE514" i="2"/>
  <c r="AD514" i="2" s="1"/>
  <c r="AG514" i="2"/>
  <c r="AF514" i="2" s="1"/>
  <c r="T515" i="2"/>
  <c r="V515" i="2"/>
  <c r="U515" i="2" s="1"/>
  <c r="X515" i="2"/>
  <c r="W515" i="2" s="1"/>
  <c r="AC515" i="2"/>
  <c r="AE515" i="2"/>
  <c r="AD515" i="2" s="1"/>
  <c r="AG515" i="2"/>
  <c r="AF515" i="2" s="1"/>
  <c r="T516" i="2"/>
  <c r="V516" i="2"/>
  <c r="U516" i="2" s="1"/>
  <c r="X516" i="2"/>
  <c r="W516" i="2" s="1"/>
  <c r="AC516" i="2"/>
  <c r="AE516" i="2"/>
  <c r="AD516" i="2" s="1"/>
  <c r="AG516" i="2"/>
  <c r="AF516" i="2" s="1"/>
  <c r="T517" i="2"/>
  <c r="V517" i="2"/>
  <c r="U517" i="2" s="1"/>
  <c r="X517" i="2"/>
  <c r="W517" i="2" s="1"/>
  <c r="AC517" i="2"/>
  <c r="AE517" i="2"/>
  <c r="AD517" i="2" s="1"/>
  <c r="AG517" i="2"/>
  <c r="AF517" i="2" s="1"/>
  <c r="T518" i="2"/>
  <c r="V518" i="2"/>
  <c r="U518" i="2" s="1"/>
  <c r="X518" i="2"/>
  <c r="W518" i="2" s="1"/>
  <c r="AC518" i="2"/>
  <c r="AE518" i="2"/>
  <c r="AD518" i="2" s="1"/>
  <c r="AG518" i="2"/>
  <c r="AF518" i="2" s="1"/>
  <c r="T519" i="2"/>
  <c r="V519" i="2"/>
  <c r="U519" i="2" s="1"/>
  <c r="X519" i="2"/>
  <c r="W519" i="2" s="1"/>
  <c r="AC519" i="2"/>
  <c r="AE519" i="2"/>
  <c r="AD519" i="2" s="1"/>
  <c r="AG519" i="2"/>
  <c r="AF519" i="2" s="1"/>
  <c r="T520" i="2"/>
  <c r="V520" i="2"/>
  <c r="U520" i="2" s="1"/>
  <c r="X520" i="2"/>
  <c r="W520" i="2" s="1"/>
  <c r="AC520" i="2"/>
  <c r="AE520" i="2"/>
  <c r="AD520" i="2" s="1"/>
  <c r="AG520" i="2"/>
  <c r="AF520" i="2" s="1"/>
  <c r="T521" i="2"/>
  <c r="V521" i="2"/>
  <c r="U521" i="2" s="1"/>
  <c r="X521" i="2"/>
  <c r="W521" i="2" s="1"/>
  <c r="AC521" i="2"/>
  <c r="AE521" i="2"/>
  <c r="AD521" i="2" s="1"/>
  <c r="AG521" i="2"/>
  <c r="AF521" i="2" s="1"/>
  <c r="T522" i="2"/>
  <c r="V522" i="2"/>
  <c r="U522" i="2" s="1"/>
  <c r="X522" i="2"/>
  <c r="W522" i="2" s="1"/>
  <c r="AC522" i="2"/>
  <c r="AE522" i="2"/>
  <c r="AD522" i="2" s="1"/>
  <c r="AG522" i="2"/>
  <c r="AF522" i="2" s="1"/>
  <c r="T523" i="2"/>
  <c r="V523" i="2"/>
  <c r="U523" i="2" s="1"/>
  <c r="X523" i="2"/>
  <c r="W523" i="2" s="1"/>
  <c r="AC523" i="2"/>
  <c r="AE523" i="2"/>
  <c r="AD523" i="2" s="1"/>
  <c r="AG523" i="2"/>
  <c r="AF523" i="2" s="1"/>
  <c r="T524" i="2"/>
  <c r="V524" i="2"/>
  <c r="U524" i="2" s="1"/>
  <c r="X524" i="2"/>
  <c r="W524" i="2" s="1"/>
  <c r="AC524" i="2"/>
  <c r="AE524" i="2"/>
  <c r="AD524" i="2" s="1"/>
  <c r="AG524" i="2"/>
  <c r="AF524" i="2" s="1"/>
  <c r="T525" i="2"/>
  <c r="V525" i="2"/>
  <c r="U525" i="2" s="1"/>
  <c r="X525" i="2"/>
  <c r="W525" i="2" s="1"/>
  <c r="AC525" i="2"/>
  <c r="AE525" i="2"/>
  <c r="AD525" i="2" s="1"/>
  <c r="AG525" i="2"/>
  <c r="AF525" i="2" s="1"/>
  <c r="T526" i="2"/>
  <c r="V526" i="2"/>
  <c r="U526" i="2" s="1"/>
  <c r="X526" i="2"/>
  <c r="W526" i="2" s="1"/>
  <c r="AC526" i="2"/>
  <c r="AE526" i="2"/>
  <c r="AD526" i="2" s="1"/>
  <c r="AG526" i="2"/>
  <c r="AF526" i="2" s="1"/>
  <c r="T527" i="2"/>
  <c r="V527" i="2"/>
  <c r="U527" i="2" s="1"/>
  <c r="X527" i="2"/>
  <c r="W527" i="2" s="1"/>
  <c r="AC527" i="2"/>
  <c r="AE527" i="2"/>
  <c r="AD527" i="2" s="1"/>
  <c r="AG527" i="2"/>
  <c r="AF527" i="2" s="1"/>
  <c r="T528" i="2"/>
  <c r="V528" i="2"/>
  <c r="U528" i="2" s="1"/>
  <c r="X528" i="2"/>
  <c r="W528" i="2" s="1"/>
  <c r="AC528" i="2"/>
  <c r="AE528" i="2"/>
  <c r="AD528" i="2" s="1"/>
  <c r="AG528" i="2"/>
  <c r="AF528" i="2" s="1"/>
  <c r="T529" i="2"/>
  <c r="V529" i="2"/>
  <c r="U529" i="2" s="1"/>
  <c r="X529" i="2"/>
  <c r="W529" i="2" s="1"/>
  <c r="AC529" i="2"/>
  <c r="AE529" i="2"/>
  <c r="AD529" i="2" s="1"/>
  <c r="AG529" i="2"/>
  <c r="AF529" i="2" s="1"/>
  <c r="T530" i="2"/>
  <c r="V530" i="2"/>
  <c r="U530" i="2" s="1"/>
  <c r="X530" i="2"/>
  <c r="W530" i="2" s="1"/>
  <c r="AC530" i="2"/>
  <c r="AE530" i="2"/>
  <c r="AD530" i="2" s="1"/>
  <c r="AG530" i="2"/>
  <c r="AF530" i="2" s="1"/>
  <c r="AE503" i="2"/>
  <c r="V503" i="2"/>
  <c r="AC503" i="2"/>
  <c r="T503" i="2"/>
  <c r="T473" i="2"/>
  <c r="V473" i="2"/>
  <c r="U473" i="2" s="1"/>
  <c r="X473" i="2"/>
  <c r="W473" i="2" s="1"/>
  <c r="AC473" i="2"/>
  <c r="AE473" i="2"/>
  <c r="AD473" i="2" s="1"/>
  <c r="AG473" i="2"/>
  <c r="AF473" i="2" s="1"/>
  <c r="T474" i="2"/>
  <c r="V474" i="2"/>
  <c r="X474" i="2"/>
  <c r="W474" i="2" s="1"/>
  <c r="AC474" i="2"/>
  <c r="AE474" i="2"/>
  <c r="AD474" i="2" s="1"/>
  <c r="AG474" i="2"/>
  <c r="AF474" i="2" s="1"/>
  <c r="T475" i="2"/>
  <c r="V475" i="2"/>
  <c r="X475" i="2"/>
  <c r="W475" i="2" s="1"/>
  <c r="AC475" i="2"/>
  <c r="AE475" i="2"/>
  <c r="AD475" i="2" s="1"/>
  <c r="AG475" i="2"/>
  <c r="AF475" i="2" s="1"/>
  <c r="T476" i="2"/>
  <c r="V476" i="2"/>
  <c r="U476" i="2" s="1"/>
  <c r="X476" i="2"/>
  <c r="W476" i="2" s="1"/>
  <c r="AC476" i="2"/>
  <c r="AE476" i="2"/>
  <c r="AG476" i="2"/>
  <c r="AF476" i="2" s="1"/>
  <c r="T477" i="2"/>
  <c r="V477" i="2"/>
  <c r="U477" i="2" s="1"/>
  <c r="X477" i="2"/>
  <c r="W477" i="2" s="1"/>
  <c r="AC477" i="2"/>
  <c r="AE477" i="2"/>
  <c r="AD477" i="2" s="1"/>
  <c r="AG477" i="2"/>
  <c r="AF477" i="2" s="1"/>
  <c r="T478" i="2"/>
  <c r="V478" i="2"/>
  <c r="U478" i="2" s="1"/>
  <c r="X478" i="2"/>
  <c r="W478" i="2" s="1"/>
  <c r="AC478" i="2"/>
  <c r="AE478" i="2"/>
  <c r="AD478" i="2" s="1"/>
  <c r="AG478" i="2"/>
  <c r="AF478" i="2" s="1"/>
  <c r="T479" i="2"/>
  <c r="V479" i="2"/>
  <c r="X479" i="2"/>
  <c r="W479" i="2" s="1"/>
  <c r="AC479" i="2"/>
  <c r="AE479" i="2"/>
  <c r="AG479" i="2"/>
  <c r="AF479" i="2" s="1"/>
  <c r="T480" i="2"/>
  <c r="V480" i="2"/>
  <c r="U480" i="2" s="1"/>
  <c r="Y480" i="2" s="1"/>
  <c r="X480" i="2"/>
  <c r="W480" i="2" s="1"/>
  <c r="Z480" i="2"/>
  <c r="AA480" i="2" s="1"/>
  <c r="AC480" i="2"/>
  <c r="AE480" i="2"/>
  <c r="AG480" i="2"/>
  <c r="AF480" i="2" s="1"/>
  <c r="T481" i="2"/>
  <c r="V481" i="2"/>
  <c r="U481" i="2" s="1"/>
  <c r="X481" i="2"/>
  <c r="W481" i="2" s="1"/>
  <c r="AC481" i="2"/>
  <c r="AE481" i="2"/>
  <c r="AD481" i="2" s="1"/>
  <c r="AG481" i="2"/>
  <c r="AF481" i="2" s="1"/>
  <c r="T482" i="2"/>
  <c r="V482" i="2"/>
  <c r="U482" i="2" s="1"/>
  <c r="X482" i="2"/>
  <c r="W482" i="2" s="1"/>
  <c r="AC482" i="2"/>
  <c r="AE482" i="2"/>
  <c r="AD482" i="2" s="1"/>
  <c r="AG482" i="2"/>
  <c r="AF482" i="2" s="1"/>
  <c r="T483" i="2"/>
  <c r="V483" i="2"/>
  <c r="X483" i="2"/>
  <c r="W483" i="2" s="1"/>
  <c r="AC483" i="2"/>
  <c r="AE483" i="2"/>
  <c r="AD483" i="2" s="1"/>
  <c r="AG483" i="2"/>
  <c r="T484" i="2"/>
  <c r="V484" i="2"/>
  <c r="X484" i="2"/>
  <c r="W484" i="2" s="1"/>
  <c r="AC484" i="2"/>
  <c r="AE484" i="2"/>
  <c r="AG484" i="2"/>
  <c r="AF484" i="2" s="1"/>
  <c r="T485" i="2"/>
  <c r="V485" i="2"/>
  <c r="U485" i="2" s="1"/>
  <c r="X485" i="2"/>
  <c r="W485" i="2" s="1"/>
  <c r="AC485" i="2"/>
  <c r="AE485" i="2"/>
  <c r="AD485" i="2" s="1"/>
  <c r="AG485" i="2"/>
  <c r="AF485" i="2" s="1"/>
  <c r="T486" i="2"/>
  <c r="V486" i="2"/>
  <c r="U486" i="2" s="1"/>
  <c r="X486" i="2"/>
  <c r="W486" i="2" s="1"/>
  <c r="AC486" i="2"/>
  <c r="AE486" i="2"/>
  <c r="AD486" i="2" s="1"/>
  <c r="AG486" i="2"/>
  <c r="AF486" i="2" s="1"/>
  <c r="T487" i="2"/>
  <c r="V487" i="2"/>
  <c r="X487" i="2"/>
  <c r="W487" i="2" s="1"/>
  <c r="AC487" i="2"/>
  <c r="AE487" i="2"/>
  <c r="AD487" i="2" s="1"/>
  <c r="AG487" i="2"/>
  <c r="T488" i="2"/>
  <c r="V488" i="2"/>
  <c r="U488" i="2" s="1"/>
  <c r="X488" i="2"/>
  <c r="W488" i="2" s="1"/>
  <c r="AC488" i="2"/>
  <c r="AE488" i="2"/>
  <c r="AG488" i="2"/>
  <c r="AF488" i="2" s="1"/>
  <c r="T489" i="2"/>
  <c r="V489" i="2"/>
  <c r="U489" i="2" s="1"/>
  <c r="X489" i="2"/>
  <c r="W489" i="2" s="1"/>
  <c r="AC489" i="2"/>
  <c r="AE489" i="2"/>
  <c r="AD489" i="2" s="1"/>
  <c r="AG489" i="2"/>
  <c r="AF489" i="2" s="1"/>
  <c r="T490" i="2"/>
  <c r="V490" i="2"/>
  <c r="U490" i="2" s="1"/>
  <c r="X490" i="2"/>
  <c r="W490" i="2" s="1"/>
  <c r="AC490" i="2"/>
  <c r="AE490" i="2"/>
  <c r="AD490" i="2" s="1"/>
  <c r="AG490" i="2"/>
  <c r="AF490" i="2" s="1"/>
  <c r="T491" i="2"/>
  <c r="V491" i="2"/>
  <c r="X491" i="2"/>
  <c r="W491" i="2" s="1"/>
  <c r="AC491" i="2"/>
  <c r="AE491" i="2"/>
  <c r="AD491" i="2" s="1"/>
  <c r="AG491" i="2"/>
  <c r="AF491" i="2" s="1"/>
  <c r="T492" i="2"/>
  <c r="V492" i="2"/>
  <c r="U492" i="2" s="1"/>
  <c r="X492" i="2"/>
  <c r="W492" i="2" s="1"/>
  <c r="AC492" i="2"/>
  <c r="AE492" i="2"/>
  <c r="AG492" i="2"/>
  <c r="AF492" i="2" s="1"/>
  <c r="T493" i="2"/>
  <c r="V493" i="2"/>
  <c r="X493" i="2"/>
  <c r="W493" i="2" s="1"/>
  <c r="AC493" i="2"/>
  <c r="AE493" i="2"/>
  <c r="AD493" i="2" s="1"/>
  <c r="AG493" i="2"/>
  <c r="AF493" i="2" s="1"/>
  <c r="T494" i="2"/>
  <c r="V494" i="2"/>
  <c r="U494" i="2" s="1"/>
  <c r="X494" i="2"/>
  <c r="W494" i="2" s="1"/>
  <c r="AC494" i="2"/>
  <c r="AE494" i="2"/>
  <c r="AD494" i="2" s="1"/>
  <c r="AG494" i="2"/>
  <c r="AF494" i="2" s="1"/>
  <c r="T495" i="2"/>
  <c r="V495" i="2"/>
  <c r="X495" i="2"/>
  <c r="W495" i="2" s="1"/>
  <c r="AC495" i="2"/>
  <c r="AE495" i="2"/>
  <c r="AD495" i="2" s="1"/>
  <c r="AG495" i="2"/>
  <c r="T496" i="2"/>
  <c r="V496" i="2"/>
  <c r="U496" i="2" s="1"/>
  <c r="X496" i="2"/>
  <c r="W496" i="2" s="1"/>
  <c r="AC496" i="2"/>
  <c r="AE496" i="2"/>
  <c r="AG496" i="2"/>
  <c r="AF496" i="2" s="1"/>
  <c r="T497" i="2"/>
  <c r="V497" i="2"/>
  <c r="U497" i="2" s="1"/>
  <c r="X497" i="2"/>
  <c r="W497" i="2" s="1"/>
  <c r="Z497" i="2"/>
  <c r="AA497" i="2" s="1"/>
  <c r="AC497" i="2"/>
  <c r="AE497" i="2"/>
  <c r="AD497" i="2" s="1"/>
  <c r="AG497" i="2"/>
  <c r="AF497" i="2" s="1"/>
  <c r="T498" i="2"/>
  <c r="V498" i="2"/>
  <c r="U498" i="2" s="1"/>
  <c r="X498" i="2"/>
  <c r="W498" i="2" s="1"/>
  <c r="AC498" i="2"/>
  <c r="AE498" i="2"/>
  <c r="AG498" i="2"/>
  <c r="AF498" i="2" s="1"/>
  <c r="T499" i="2"/>
  <c r="V499" i="2"/>
  <c r="X499" i="2"/>
  <c r="W499" i="2" s="1"/>
  <c r="AC499" i="2"/>
  <c r="AE499" i="2"/>
  <c r="AG499" i="2"/>
  <c r="AF499" i="2" s="1"/>
  <c r="AE472" i="2"/>
  <c r="V472" i="2"/>
  <c r="AC472" i="2"/>
  <c r="T472" i="2"/>
  <c r="T442" i="2"/>
  <c r="V442" i="2"/>
  <c r="X442" i="2"/>
  <c r="W442" i="2" s="1"/>
  <c r="AC442" i="2"/>
  <c r="AE442" i="2"/>
  <c r="AD442" i="2" s="1"/>
  <c r="AG442" i="2"/>
  <c r="AF442" i="2" s="1"/>
  <c r="T443" i="2"/>
  <c r="V443" i="2"/>
  <c r="U443" i="2" s="1"/>
  <c r="X443" i="2"/>
  <c r="W443" i="2" s="1"/>
  <c r="AC443" i="2"/>
  <c r="AE443" i="2"/>
  <c r="AG443" i="2"/>
  <c r="AF443" i="2" s="1"/>
  <c r="T444" i="2"/>
  <c r="V444" i="2"/>
  <c r="U444" i="2" s="1"/>
  <c r="X444" i="2"/>
  <c r="W444" i="2" s="1"/>
  <c r="AC444" i="2"/>
  <c r="AE444" i="2"/>
  <c r="AD444" i="2" s="1"/>
  <c r="AG444" i="2"/>
  <c r="AF444" i="2" s="1"/>
  <c r="T445" i="2"/>
  <c r="V445" i="2"/>
  <c r="U445" i="2" s="1"/>
  <c r="X445" i="2"/>
  <c r="W445" i="2" s="1"/>
  <c r="Z445" i="2"/>
  <c r="AA445" i="2" s="1"/>
  <c r="AC445" i="2"/>
  <c r="AE445" i="2"/>
  <c r="AD445" i="2" s="1"/>
  <c r="AG445" i="2"/>
  <c r="AF445" i="2" s="1"/>
  <c r="T446" i="2"/>
  <c r="V446" i="2"/>
  <c r="X446" i="2"/>
  <c r="W446" i="2" s="1"/>
  <c r="AC446" i="2"/>
  <c r="AE446" i="2"/>
  <c r="AD446" i="2" s="1"/>
  <c r="AG446" i="2"/>
  <c r="AF446" i="2" s="1"/>
  <c r="T447" i="2"/>
  <c r="V447" i="2"/>
  <c r="U447" i="2" s="1"/>
  <c r="X447" i="2"/>
  <c r="W447" i="2" s="1"/>
  <c r="AC447" i="2"/>
  <c r="AE447" i="2"/>
  <c r="AG447" i="2"/>
  <c r="AF447" i="2" s="1"/>
  <c r="T448" i="2"/>
  <c r="V448" i="2"/>
  <c r="X448" i="2"/>
  <c r="W448" i="2" s="1"/>
  <c r="AC448" i="2"/>
  <c r="AE448" i="2"/>
  <c r="AD448" i="2" s="1"/>
  <c r="AG448" i="2"/>
  <c r="AF448" i="2" s="1"/>
  <c r="T449" i="2"/>
  <c r="V449" i="2"/>
  <c r="U449" i="2" s="1"/>
  <c r="X449" i="2"/>
  <c r="AC449" i="2"/>
  <c r="AE449" i="2"/>
  <c r="AD449" i="2" s="1"/>
  <c r="AG449" i="2"/>
  <c r="AF449" i="2" s="1"/>
  <c r="T450" i="2"/>
  <c r="V450" i="2"/>
  <c r="X450" i="2"/>
  <c r="W450" i="2" s="1"/>
  <c r="AC450" i="2"/>
  <c r="AE450" i="2"/>
  <c r="AD450" i="2" s="1"/>
  <c r="AG450" i="2"/>
  <c r="AF450" i="2" s="1"/>
  <c r="T451" i="2"/>
  <c r="V451" i="2"/>
  <c r="U451" i="2" s="1"/>
  <c r="X451" i="2"/>
  <c r="W451" i="2" s="1"/>
  <c r="Z451" i="2"/>
  <c r="AA451" i="2" s="1"/>
  <c r="AC451" i="2"/>
  <c r="AE451" i="2"/>
  <c r="AG451" i="2"/>
  <c r="AF451" i="2" s="1"/>
  <c r="T452" i="2"/>
  <c r="V452" i="2"/>
  <c r="U452" i="2" s="1"/>
  <c r="X452" i="2"/>
  <c r="W452" i="2" s="1"/>
  <c r="AC452" i="2"/>
  <c r="AE452" i="2"/>
  <c r="AD452" i="2" s="1"/>
  <c r="AG452" i="2"/>
  <c r="AF452" i="2" s="1"/>
  <c r="T453" i="2"/>
  <c r="V453" i="2"/>
  <c r="U453" i="2" s="1"/>
  <c r="X453" i="2"/>
  <c r="W453" i="2" s="1"/>
  <c r="AC453" i="2"/>
  <c r="AE453" i="2"/>
  <c r="AD453" i="2" s="1"/>
  <c r="AG453" i="2"/>
  <c r="AF453" i="2" s="1"/>
  <c r="T454" i="2"/>
  <c r="V454" i="2"/>
  <c r="X454" i="2"/>
  <c r="W454" i="2" s="1"/>
  <c r="AC454" i="2"/>
  <c r="AE454" i="2"/>
  <c r="AD454" i="2" s="1"/>
  <c r="AG454" i="2"/>
  <c r="T455" i="2"/>
  <c r="V455" i="2"/>
  <c r="U455" i="2" s="1"/>
  <c r="X455" i="2"/>
  <c r="W455" i="2" s="1"/>
  <c r="AC455" i="2"/>
  <c r="AE455" i="2"/>
  <c r="AG455" i="2"/>
  <c r="AF455" i="2" s="1"/>
  <c r="T456" i="2"/>
  <c r="V456" i="2"/>
  <c r="U456" i="2" s="1"/>
  <c r="X456" i="2"/>
  <c r="W456" i="2" s="1"/>
  <c r="AC456" i="2"/>
  <c r="AE456" i="2"/>
  <c r="AD456" i="2" s="1"/>
  <c r="AG456" i="2"/>
  <c r="AF456" i="2" s="1"/>
  <c r="T457" i="2"/>
  <c r="V457" i="2"/>
  <c r="U457" i="2" s="1"/>
  <c r="X457" i="2"/>
  <c r="W457" i="2" s="1"/>
  <c r="AC457" i="2"/>
  <c r="AE457" i="2"/>
  <c r="AD457" i="2" s="1"/>
  <c r="AG457" i="2"/>
  <c r="AF457" i="2" s="1"/>
  <c r="T458" i="2"/>
  <c r="V458" i="2"/>
  <c r="X458" i="2"/>
  <c r="W458" i="2" s="1"/>
  <c r="AC458" i="2"/>
  <c r="AE458" i="2"/>
  <c r="AD458" i="2" s="1"/>
  <c r="AG458" i="2"/>
  <c r="AF458" i="2" s="1"/>
  <c r="T459" i="2"/>
  <c r="V459" i="2"/>
  <c r="U459" i="2" s="1"/>
  <c r="X459" i="2"/>
  <c r="W459" i="2" s="1"/>
  <c r="AC459" i="2"/>
  <c r="AE459" i="2"/>
  <c r="AG459" i="2"/>
  <c r="AF459" i="2" s="1"/>
  <c r="T460" i="2"/>
  <c r="V460" i="2"/>
  <c r="X460" i="2"/>
  <c r="W460" i="2" s="1"/>
  <c r="AC460" i="2"/>
  <c r="AE460" i="2"/>
  <c r="AD460" i="2" s="1"/>
  <c r="AG460" i="2"/>
  <c r="AF460" i="2" s="1"/>
  <c r="AI460" i="2"/>
  <c r="AJ460" i="2" s="1"/>
  <c r="T461" i="2"/>
  <c r="V461" i="2"/>
  <c r="U461" i="2" s="1"/>
  <c r="X461" i="2"/>
  <c r="W461" i="2" s="1"/>
  <c r="AC461" i="2"/>
  <c r="AE461" i="2"/>
  <c r="AD461" i="2" s="1"/>
  <c r="AG461" i="2"/>
  <c r="AF461" i="2" s="1"/>
  <c r="T462" i="2"/>
  <c r="V462" i="2"/>
  <c r="X462" i="2"/>
  <c r="W462" i="2" s="1"/>
  <c r="AC462" i="2"/>
  <c r="AE462" i="2"/>
  <c r="AD462" i="2" s="1"/>
  <c r="AG462" i="2"/>
  <c r="AF462" i="2" s="1"/>
  <c r="T463" i="2"/>
  <c r="V463" i="2"/>
  <c r="U463" i="2" s="1"/>
  <c r="X463" i="2"/>
  <c r="W463" i="2" s="1"/>
  <c r="AC463" i="2"/>
  <c r="AE463" i="2"/>
  <c r="AG463" i="2"/>
  <c r="AF463" i="2" s="1"/>
  <c r="T464" i="2"/>
  <c r="V464" i="2"/>
  <c r="U464" i="2" s="1"/>
  <c r="X464" i="2"/>
  <c r="W464" i="2" s="1"/>
  <c r="AC464" i="2"/>
  <c r="AE464" i="2"/>
  <c r="AG464" i="2"/>
  <c r="AF464" i="2" s="1"/>
  <c r="T465" i="2"/>
  <c r="V465" i="2"/>
  <c r="U465" i="2" s="1"/>
  <c r="X465" i="2"/>
  <c r="W465" i="2" s="1"/>
  <c r="AC465" i="2"/>
  <c r="AE465" i="2"/>
  <c r="AD465" i="2" s="1"/>
  <c r="AG465" i="2"/>
  <c r="AF465" i="2" s="1"/>
  <c r="T466" i="2"/>
  <c r="V466" i="2"/>
  <c r="X466" i="2"/>
  <c r="W466" i="2" s="1"/>
  <c r="AC466" i="2"/>
  <c r="AE466" i="2"/>
  <c r="AD466" i="2" s="1"/>
  <c r="AG466" i="2"/>
  <c r="T467" i="2"/>
  <c r="V467" i="2"/>
  <c r="X467" i="2"/>
  <c r="W467" i="2" s="1"/>
  <c r="AC467" i="2"/>
  <c r="AE467" i="2"/>
  <c r="AG467" i="2"/>
  <c r="AF467" i="2" s="1"/>
  <c r="T468" i="2"/>
  <c r="V468" i="2"/>
  <c r="X468" i="2"/>
  <c r="W468" i="2" s="1"/>
  <c r="AC468" i="2"/>
  <c r="AE468" i="2"/>
  <c r="AD468" i="2" s="1"/>
  <c r="AG468" i="2"/>
  <c r="AF468" i="2" s="1"/>
  <c r="AE441" i="2"/>
  <c r="V441" i="2"/>
  <c r="U441" i="2" s="1"/>
  <c r="AC441" i="2"/>
  <c r="T441" i="2"/>
  <c r="T411" i="2"/>
  <c r="V411" i="2"/>
  <c r="U411" i="2" s="1"/>
  <c r="X411" i="2"/>
  <c r="W411" i="2" s="1"/>
  <c r="AC411" i="2"/>
  <c r="AE411" i="2"/>
  <c r="AD411" i="2" s="1"/>
  <c r="AG411" i="2"/>
  <c r="AF411" i="2" s="1"/>
  <c r="T412" i="2"/>
  <c r="V412" i="2"/>
  <c r="U412" i="2" s="1"/>
  <c r="X412" i="2"/>
  <c r="AC412" i="2"/>
  <c r="AE412" i="2"/>
  <c r="AD412" i="2" s="1"/>
  <c r="AG412" i="2"/>
  <c r="AF412" i="2" s="1"/>
  <c r="T413" i="2"/>
  <c r="V413" i="2"/>
  <c r="X413" i="2"/>
  <c r="W413" i="2" s="1"/>
  <c r="AC413" i="2"/>
  <c r="AE413" i="2"/>
  <c r="AD413" i="2" s="1"/>
  <c r="AG413" i="2"/>
  <c r="AF413" i="2" s="1"/>
  <c r="T414" i="2"/>
  <c r="V414" i="2"/>
  <c r="U414" i="2" s="1"/>
  <c r="X414" i="2"/>
  <c r="W414" i="2" s="1"/>
  <c r="AC414" i="2"/>
  <c r="AE414" i="2"/>
  <c r="AG414" i="2"/>
  <c r="AF414" i="2" s="1"/>
  <c r="T415" i="2"/>
  <c r="V415" i="2"/>
  <c r="U415" i="2" s="1"/>
  <c r="X415" i="2"/>
  <c r="W415" i="2" s="1"/>
  <c r="AC415" i="2"/>
  <c r="AE415" i="2"/>
  <c r="AD415" i="2" s="1"/>
  <c r="AG415" i="2"/>
  <c r="AF415" i="2" s="1"/>
  <c r="T416" i="2"/>
  <c r="V416" i="2"/>
  <c r="U416" i="2" s="1"/>
  <c r="X416" i="2"/>
  <c r="AC416" i="2"/>
  <c r="AE416" i="2"/>
  <c r="AD416" i="2" s="1"/>
  <c r="AG416" i="2"/>
  <c r="AF416" i="2" s="1"/>
  <c r="T417" i="2"/>
  <c r="V417" i="2"/>
  <c r="X417" i="2"/>
  <c r="W417" i="2" s="1"/>
  <c r="AC417" i="2"/>
  <c r="AE417" i="2"/>
  <c r="AD417" i="2" s="1"/>
  <c r="AG417" i="2"/>
  <c r="AF417" i="2" s="1"/>
  <c r="T418" i="2"/>
  <c r="V418" i="2"/>
  <c r="X418" i="2"/>
  <c r="W418" i="2" s="1"/>
  <c r="AC418" i="2"/>
  <c r="AE418" i="2"/>
  <c r="AG418" i="2"/>
  <c r="AF418" i="2" s="1"/>
  <c r="T419" i="2"/>
  <c r="V419" i="2"/>
  <c r="X419" i="2"/>
  <c r="W419" i="2" s="1"/>
  <c r="AC419" i="2"/>
  <c r="AE419" i="2"/>
  <c r="AD419" i="2" s="1"/>
  <c r="AG419" i="2"/>
  <c r="AF419" i="2" s="1"/>
  <c r="T420" i="2"/>
  <c r="V420" i="2"/>
  <c r="U420" i="2" s="1"/>
  <c r="X420" i="2"/>
  <c r="AC420" i="2"/>
  <c r="AE420" i="2"/>
  <c r="AD420" i="2" s="1"/>
  <c r="AG420" i="2"/>
  <c r="AF420" i="2" s="1"/>
  <c r="T421" i="2"/>
  <c r="V421" i="2"/>
  <c r="X421" i="2"/>
  <c r="W421" i="2" s="1"/>
  <c r="AC421" i="2"/>
  <c r="AE421" i="2"/>
  <c r="AG421" i="2"/>
  <c r="AF421" i="2" s="1"/>
  <c r="T422" i="2"/>
  <c r="V422" i="2"/>
  <c r="U422" i="2" s="1"/>
  <c r="X422" i="2"/>
  <c r="W422" i="2" s="1"/>
  <c r="AC422" i="2"/>
  <c r="AE422" i="2"/>
  <c r="AG422" i="2"/>
  <c r="AF422" i="2" s="1"/>
  <c r="T423" i="2"/>
  <c r="V423" i="2"/>
  <c r="U423" i="2" s="1"/>
  <c r="X423" i="2"/>
  <c r="W423" i="2" s="1"/>
  <c r="AC423" i="2"/>
  <c r="AE423" i="2"/>
  <c r="AD423" i="2" s="1"/>
  <c r="AG423" i="2"/>
  <c r="AF423" i="2" s="1"/>
  <c r="T424" i="2"/>
  <c r="V424" i="2"/>
  <c r="U424" i="2" s="1"/>
  <c r="X424" i="2"/>
  <c r="W424" i="2" s="1"/>
  <c r="AC424" i="2"/>
  <c r="AE424" i="2"/>
  <c r="AD424" i="2" s="1"/>
  <c r="AG424" i="2"/>
  <c r="AF424" i="2" s="1"/>
  <c r="T425" i="2"/>
  <c r="V425" i="2"/>
  <c r="X425" i="2"/>
  <c r="W425" i="2" s="1"/>
  <c r="AC425" i="2"/>
  <c r="AE425" i="2"/>
  <c r="AD425" i="2" s="1"/>
  <c r="AG425" i="2"/>
  <c r="T426" i="2"/>
  <c r="V426" i="2"/>
  <c r="U426" i="2" s="1"/>
  <c r="X426" i="2"/>
  <c r="W426" i="2" s="1"/>
  <c r="AC426" i="2"/>
  <c r="AE426" i="2"/>
  <c r="AG426" i="2"/>
  <c r="AF426" i="2" s="1"/>
  <c r="T427" i="2"/>
  <c r="V427" i="2"/>
  <c r="X427" i="2"/>
  <c r="W427" i="2" s="1"/>
  <c r="AC427" i="2"/>
  <c r="AE427" i="2"/>
  <c r="AD427" i="2" s="1"/>
  <c r="AG427" i="2"/>
  <c r="AF427" i="2" s="1"/>
  <c r="T428" i="2"/>
  <c r="V428" i="2"/>
  <c r="U428" i="2" s="1"/>
  <c r="X428" i="2"/>
  <c r="W428" i="2" s="1"/>
  <c r="AC428" i="2"/>
  <c r="AE428" i="2"/>
  <c r="AD428" i="2" s="1"/>
  <c r="AG428" i="2"/>
  <c r="AF428" i="2" s="1"/>
  <c r="T429" i="2"/>
  <c r="V429" i="2"/>
  <c r="X429" i="2"/>
  <c r="W429" i="2" s="1"/>
  <c r="AC429" i="2"/>
  <c r="AE429" i="2"/>
  <c r="AG429" i="2"/>
  <c r="AF429" i="2" s="1"/>
  <c r="T430" i="2"/>
  <c r="V430" i="2"/>
  <c r="U430" i="2" s="1"/>
  <c r="X430" i="2"/>
  <c r="W430" i="2" s="1"/>
  <c r="AC430" i="2"/>
  <c r="AE430" i="2"/>
  <c r="AG430" i="2"/>
  <c r="AF430" i="2" s="1"/>
  <c r="T431" i="2"/>
  <c r="V431" i="2"/>
  <c r="U431" i="2" s="1"/>
  <c r="X431" i="2"/>
  <c r="W431" i="2" s="1"/>
  <c r="AC431" i="2"/>
  <c r="AE431" i="2"/>
  <c r="AG431" i="2"/>
  <c r="AF431" i="2" s="1"/>
  <c r="T432" i="2"/>
  <c r="V432" i="2"/>
  <c r="U432" i="2" s="1"/>
  <c r="X432" i="2"/>
  <c r="W432" i="2" s="1"/>
  <c r="AC432" i="2"/>
  <c r="AE432" i="2"/>
  <c r="AD432" i="2" s="1"/>
  <c r="AG432" i="2"/>
  <c r="AF432" i="2" s="1"/>
  <c r="T433" i="2"/>
  <c r="V433" i="2"/>
  <c r="X433" i="2"/>
  <c r="W433" i="2" s="1"/>
  <c r="AC433" i="2"/>
  <c r="AE433" i="2"/>
  <c r="AD433" i="2" s="1"/>
  <c r="AG433" i="2"/>
  <c r="T434" i="2"/>
  <c r="V434" i="2"/>
  <c r="X434" i="2"/>
  <c r="W434" i="2" s="1"/>
  <c r="AC434" i="2"/>
  <c r="AE434" i="2"/>
  <c r="AG434" i="2"/>
  <c r="AF434" i="2" s="1"/>
  <c r="T435" i="2"/>
  <c r="V435" i="2"/>
  <c r="X435" i="2"/>
  <c r="W435" i="2" s="1"/>
  <c r="AC435" i="2"/>
  <c r="AE435" i="2"/>
  <c r="AD435" i="2" s="1"/>
  <c r="AG435" i="2"/>
  <c r="AF435" i="2" s="1"/>
  <c r="T436" i="2"/>
  <c r="V436" i="2"/>
  <c r="X436" i="2"/>
  <c r="W436" i="2" s="1"/>
  <c r="AC436" i="2"/>
  <c r="AE436" i="2"/>
  <c r="AD436" i="2" s="1"/>
  <c r="AG436" i="2"/>
  <c r="AF436" i="2" s="1"/>
  <c r="T437" i="2"/>
  <c r="V437" i="2"/>
  <c r="X437" i="2"/>
  <c r="W437" i="2" s="1"/>
  <c r="AC437" i="2"/>
  <c r="AE437" i="2"/>
  <c r="AD437" i="2" s="1"/>
  <c r="AG437" i="2"/>
  <c r="AF437" i="2" s="1"/>
  <c r="AE410" i="2"/>
  <c r="V410" i="2"/>
  <c r="AC410" i="2"/>
  <c r="T410" i="2"/>
  <c r="T380" i="2"/>
  <c r="V380" i="2"/>
  <c r="X380" i="2"/>
  <c r="W380" i="2" s="1"/>
  <c r="AC380" i="2"/>
  <c r="AE380" i="2"/>
  <c r="AG380" i="2"/>
  <c r="AF380" i="2" s="1"/>
  <c r="T381" i="2"/>
  <c r="V381" i="2"/>
  <c r="X381" i="2"/>
  <c r="W381" i="2" s="1"/>
  <c r="AC381" i="2"/>
  <c r="AE381" i="2"/>
  <c r="AD381" i="2" s="1"/>
  <c r="AG381" i="2"/>
  <c r="AF381" i="2" s="1"/>
  <c r="T382" i="2"/>
  <c r="V382" i="2"/>
  <c r="X382" i="2"/>
  <c r="W382" i="2" s="1"/>
  <c r="AC382" i="2"/>
  <c r="AE382" i="2"/>
  <c r="AG382" i="2"/>
  <c r="AF382" i="2" s="1"/>
  <c r="T383" i="2"/>
  <c r="V383" i="2"/>
  <c r="U383" i="2" s="1"/>
  <c r="X383" i="2"/>
  <c r="W383" i="2" s="1"/>
  <c r="AC383" i="2"/>
  <c r="AE383" i="2"/>
  <c r="AD383" i="2" s="1"/>
  <c r="AG383" i="2"/>
  <c r="AF383" i="2" s="1"/>
  <c r="T384" i="2"/>
  <c r="V384" i="2"/>
  <c r="X384" i="2"/>
  <c r="W384" i="2" s="1"/>
  <c r="AC384" i="2"/>
  <c r="AE384" i="2"/>
  <c r="AG384" i="2"/>
  <c r="AF384" i="2" s="1"/>
  <c r="T385" i="2"/>
  <c r="V385" i="2"/>
  <c r="U385" i="2" s="1"/>
  <c r="X385" i="2"/>
  <c r="W385" i="2" s="1"/>
  <c r="AC385" i="2"/>
  <c r="AE385" i="2"/>
  <c r="AD385" i="2" s="1"/>
  <c r="AG385" i="2"/>
  <c r="AF385" i="2" s="1"/>
  <c r="T386" i="2"/>
  <c r="V386" i="2"/>
  <c r="X386" i="2"/>
  <c r="W386" i="2" s="1"/>
  <c r="AC386" i="2"/>
  <c r="AE386" i="2"/>
  <c r="AG386" i="2"/>
  <c r="AF386" i="2" s="1"/>
  <c r="T387" i="2"/>
  <c r="V387" i="2"/>
  <c r="X387" i="2"/>
  <c r="W387" i="2" s="1"/>
  <c r="AC387" i="2"/>
  <c r="AE387" i="2"/>
  <c r="AD387" i="2" s="1"/>
  <c r="AG387" i="2"/>
  <c r="AF387" i="2" s="1"/>
  <c r="T388" i="2"/>
  <c r="V388" i="2"/>
  <c r="X388" i="2"/>
  <c r="W388" i="2" s="1"/>
  <c r="AC388" i="2"/>
  <c r="AE388" i="2"/>
  <c r="AG388" i="2"/>
  <c r="AF388" i="2" s="1"/>
  <c r="T389" i="2"/>
  <c r="V389" i="2"/>
  <c r="U389" i="2" s="1"/>
  <c r="X389" i="2"/>
  <c r="W389" i="2" s="1"/>
  <c r="AC389" i="2"/>
  <c r="AE389" i="2"/>
  <c r="AD389" i="2" s="1"/>
  <c r="AG389" i="2"/>
  <c r="AF389" i="2" s="1"/>
  <c r="T390" i="2"/>
  <c r="V390" i="2"/>
  <c r="X390" i="2"/>
  <c r="W390" i="2" s="1"/>
  <c r="AC390" i="2"/>
  <c r="AE390" i="2"/>
  <c r="AG390" i="2"/>
  <c r="AF390" i="2" s="1"/>
  <c r="T391" i="2"/>
  <c r="V391" i="2"/>
  <c r="U391" i="2" s="1"/>
  <c r="X391" i="2"/>
  <c r="W391" i="2" s="1"/>
  <c r="AC391" i="2"/>
  <c r="AE391" i="2"/>
  <c r="AD391" i="2" s="1"/>
  <c r="AG391" i="2"/>
  <c r="AF391" i="2" s="1"/>
  <c r="T392" i="2"/>
  <c r="V392" i="2"/>
  <c r="X392" i="2"/>
  <c r="W392" i="2" s="1"/>
  <c r="AC392" i="2"/>
  <c r="AE392" i="2"/>
  <c r="AG392" i="2"/>
  <c r="AF392" i="2" s="1"/>
  <c r="T393" i="2"/>
  <c r="V393" i="2"/>
  <c r="U393" i="2" s="1"/>
  <c r="X393" i="2"/>
  <c r="AC393" i="2"/>
  <c r="AE393" i="2"/>
  <c r="AD393" i="2" s="1"/>
  <c r="AG393" i="2"/>
  <c r="AF393" i="2" s="1"/>
  <c r="T394" i="2"/>
  <c r="V394" i="2"/>
  <c r="X394" i="2"/>
  <c r="W394" i="2" s="1"/>
  <c r="AC394" i="2"/>
  <c r="AE394" i="2"/>
  <c r="AG394" i="2"/>
  <c r="AF394" i="2" s="1"/>
  <c r="T395" i="2"/>
  <c r="V395" i="2"/>
  <c r="U395" i="2" s="1"/>
  <c r="X395" i="2"/>
  <c r="W395" i="2" s="1"/>
  <c r="AC395" i="2"/>
  <c r="AE395" i="2"/>
  <c r="AD395" i="2" s="1"/>
  <c r="AG395" i="2"/>
  <c r="AF395" i="2" s="1"/>
  <c r="T396" i="2"/>
  <c r="V396" i="2"/>
  <c r="X396" i="2"/>
  <c r="W396" i="2" s="1"/>
  <c r="AC396" i="2"/>
  <c r="AE396" i="2"/>
  <c r="AG396" i="2"/>
  <c r="AF396" i="2" s="1"/>
  <c r="T397" i="2"/>
  <c r="V397" i="2"/>
  <c r="U397" i="2" s="1"/>
  <c r="X397" i="2"/>
  <c r="W397" i="2" s="1"/>
  <c r="AC397" i="2"/>
  <c r="AE397" i="2"/>
  <c r="AD397" i="2" s="1"/>
  <c r="AG397" i="2"/>
  <c r="AF397" i="2" s="1"/>
  <c r="T398" i="2"/>
  <c r="V398" i="2"/>
  <c r="X398" i="2"/>
  <c r="W398" i="2" s="1"/>
  <c r="AC398" i="2"/>
  <c r="AE398" i="2"/>
  <c r="AG398" i="2"/>
  <c r="AF398" i="2" s="1"/>
  <c r="T399" i="2"/>
  <c r="V399" i="2"/>
  <c r="U399" i="2" s="1"/>
  <c r="X399" i="2"/>
  <c r="W399" i="2" s="1"/>
  <c r="AC399" i="2"/>
  <c r="AE399" i="2"/>
  <c r="AD399" i="2" s="1"/>
  <c r="AG399" i="2"/>
  <c r="AF399" i="2" s="1"/>
  <c r="T400" i="2"/>
  <c r="V400" i="2"/>
  <c r="X400" i="2"/>
  <c r="W400" i="2" s="1"/>
  <c r="AC400" i="2"/>
  <c r="AE400" i="2"/>
  <c r="AG400" i="2"/>
  <c r="AF400" i="2" s="1"/>
  <c r="T401" i="2"/>
  <c r="V401" i="2"/>
  <c r="U401" i="2" s="1"/>
  <c r="X401" i="2"/>
  <c r="W401" i="2" s="1"/>
  <c r="AC401" i="2"/>
  <c r="AE401" i="2"/>
  <c r="AG401" i="2"/>
  <c r="AF401" i="2" s="1"/>
  <c r="T402" i="2"/>
  <c r="V402" i="2"/>
  <c r="X402" i="2"/>
  <c r="W402" i="2" s="1"/>
  <c r="AC402" i="2"/>
  <c r="AE402" i="2"/>
  <c r="AF402" i="2"/>
  <c r="AG402" i="2"/>
  <c r="T403" i="2"/>
  <c r="V403" i="2"/>
  <c r="U403" i="2" s="1"/>
  <c r="X403" i="2"/>
  <c r="W403" i="2" s="1"/>
  <c r="Z403" i="2"/>
  <c r="AA403" i="2" s="1"/>
  <c r="AC403" i="2"/>
  <c r="AE403" i="2"/>
  <c r="AD403" i="2" s="1"/>
  <c r="AG403" i="2"/>
  <c r="AF403" i="2" s="1"/>
  <c r="T404" i="2"/>
  <c r="V404" i="2"/>
  <c r="X404" i="2"/>
  <c r="W404" i="2" s="1"/>
  <c r="AC404" i="2"/>
  <c r="AE404" i="2"/>
  <c r="AG404" i="2"/>
  <c r="AF404" i="2" s="1"/>
  <c r="T405" i="2"/>
  <c r="V405" i="2"/>
  <c r="U405" i="2" s="1"/>
  <c r="X405" i="2"/>
  <c r="W405" i="2" s="1"/>
  <c r="AC405" i="2"/>
  <c r="AE405" i="2"/>
  <c r="AD405" i="2" s="1"/>
  <c r="AG405" i="2"/>
  <c r="AF405" i="2" s="1"/>
  <c r="T406" i="2"/>
  <c r="V406" i="2"/>
  <c r="X406" i="2"/>
  <c r="W406" i="2" s="1"/>
  <c r="AC406" i="2"/>
  <c r="AE406" i="2"/>
  <c r="AG406" i="2"/>
  <c r="AF406" i="2" s="1"/>
  <c r="AE379" i="2"/>
  <c r="V379" i="2"/>
  <c r="AC379" i="2"/>
  <c r="T379" i="2"/>
  <c r="T348" i="2"/>
  <c r="V348" i="2"/>
  <c r="U348" i="2" s="1"/>
  <c r="X348" i="2"/>
  <c r="W348" i="2" s="1"/>
  <c r="AC348" i="2"/>
  <c r="AE348" i="2"/>
  <c r="AD348" i="2" s="1"/>
  <c r="AG348" i="2"/>
  <c r="AF348" i="2" s="1"/>
  <c r="T349" i="2"/>
  <c r="V349" i="2"/>
  <c r="U349" i="2" s="1"/>
  <c r="X349" i="2"/>
  <c r="W349" i="2" s="1"/>
  <c r="AC349" i="2"/>
  <c r="AE349" i="2"/>
  <c r="AD349" i="2" s="1"/>
  <c r="AG349" i="2"/>
  <c r="AF349" i="2" s="1"/>
  <c r="T350" i="2"/>
  <c r="V350" i="2"/>
  <c r="U350" i="2" s="1"/>
  <c r="X350" i="2"/>
  <c r="W350" i="2" s="1"/>
  <c r="AC350" i="2"/>
  <c r="AE350" i="2"/>
  <c r="AD350" i="2" s="1"/>
  <c r="AG350" i="2"/>
  <c r="AF350" i="2" s="1"/>
  <c r="T351" i="2"/>
  <c r="V351" i="2"/>
  <c r="U351" i="2" s="1"/>
  <c r="X351" i="2"/>
  <c r="W351" i="2" s="1"/>
  <c r="AC351" i="2"/>
  <c r="AE351" i="2"/>
  <c r="AD351" i="2" s="1"/>
  <c r="AG351" i="2"/>
  <c r="AF351" i="2" s="1"/>
  <c r="T352" i="2"/>
  <c r="V352" i="2"/>
  <c r="U352" i="2" s="1"/>
  <c r="X352" i="2"/>
  <c r="W352" i="2" s="1"/>
  <c r="AC352" i="2"/>
  <c r="AE352" i="2"/>
  <c r="AD352" i="2" s="1"/>
  <c r="AG352" i="2"/>
  <c r="AF352" i="2" s="1"/>
  <c r="T353" i="2"/>
  <c r="V353" i="2"/>
  <c r="U353" i="2" s="1"/>
  <c r="X353" i="2"/>
  <c r="W353" i="2" s="1"/>
  <c r="AC353" i="2"/>
  <c r="AE353" i="2"/>
  <c r="AD353" i="2" s="1"/>
  <c r="AG353" i="2"/>
  <c r="AF353" i="2" s="1"/>
  <c r="T354" i="2"/>
  <c r="U354" i="2"/>
  <c r="V354" i="2"/>
  <c r="X354" i="2"/>
  <c r="W354" i="2" s="1"/>
  <c r="Y354" i="2" s="1"/>
  <c r="AC354" i="2"/>
  <c r="AE354" i="2"/>
  <c r="AD354" i="2" s="1"/>
  <c r="AG354" i="2"/>
  <c r="AF354" i="2" s="1"/>
  <c r="T355" i="2"/>
  <c r="U355" i="2"/>
  <c r="V355" i="2"/>
  <c r="X355" i="2"/>
  <c r="W355" i="2" s="1"/>
  <c r="AC355" i="2"/>
  <c r="AE355" i="2"/>
  <c r="AD355" i="2" s="1"/>
  <c r="AG355" i="2"/>
  <c r="AF355" i="2" s="1"/>
  <c r="T356" i="2"/>
  <c r="V356" i="2"/>
  <c r="U356" i="2" s="1"/>
  <c r="X356" i="2"/>
  <c r="W356" i="2" s="1"/>
  <c r="AC356" i="2"/>
  <c r="AE356" i="2"/>
  <c r="AD356" i="2" s="1"/>
  <c r="AG356" i="2"/>
  <c r="AF356" i="2" s="1"/>
  <c r="AH356" i="2" s="1"/>
  <c r="T357" i="2"/>
  <c r="U357" i="2"/>
  <c r="V357" i="2"/>
  <c r="X357" i="2"/>
  <c r="W357" i="2" s="1"/>
  <c r="AC357" i="2"/>
  <c r="AE357" i="2"/>
  <c r="AD357" i="2" s="1"/>
  <c r="AG357" i="2"/>
  <c r="AF357" i="2" s="1"/>
  <c r="T358" i="2"/>
  <c r="V358" i="2"/>
  <c r="U358" i="2" s="1"/>
  <c r="X358" i="2"/>
  <c r="W358" i="2" s="1"/>
  <c r="AC358" i="2"/>
  <c r="AE358" i="2"/>
  <c r="AD358" i="2" s="1"/>
  <c r="AG358" i="2"/>
  <c r="AF358" i="2" s="1"/>
  <c r="T359" i="2"/>
  <c r="V359" i="2"/>
  <c r="U359" i="2" s="1"/>
  <c r="X359" i="2"/>
  <c r="W359" i="2" s="1"/>
  <c r="AC359" i="2"/>
  <c r="AE359" i="2"/>
  <c r="AD359" i="2" s="1"/>
  <c r="AG359" i="2"/>
  <c r="AF359" i="2" s="1"/>
  <c r="T360" i="2"/>
  <c r="V360" i="2"/>
  <c r="U360" i="2" s="1"/>
  <c r="X360" i="2"/>
  <c r="W360" i="2" s="1"/>
  <c r="AC360" i="2"/>
  <c r="AE360" i="2"/>
  <c r="AD360" i="2" s="1"/>
  <c r="AG360" i="2"/>
  <c r="AF360" i="2" s="1"/>
  <c r="T361" i="2"/>
  <c r="V361" i="2"/>
  <c r="U361" i="2" s="1"/>
  <c r="X361" i="2"/>
  <c r="W361" i="2" s="1"/>
  <c r="Y361" i="2" s="1"/>
  <c r="AC361" i="2"/>
  <c r="AD361" i="2"/>
  <c r="AE361" i="2"/>
  <c r="AG361" i="2"/>
  <c r="AF361" i="2" s="1"/>
  <c r="T362" i="2"/>
  <c r="V362" i="2"/>
  <c r="U362" i="2" s="1"/>
  <c r="X362" i="2"/>
  <c r="W362" i="2" s="1"/>
  <c r="AC362" i="2"/>
  <c r="AD362" i="2"/>
  <c r="AE362" i="2"/>
  <c r="AG362" i="2"/>
  <c r="AF362" i="2" s="1"/>
  <c r="T363" i="2"/>
  <c r="V363" i="2"/>
  <c r="U363" i="2" s="1"/>
  <c r="X363" i="2"/>
  <c r="W363" i="2" s="1"/>
  <c r="AC363" i="2"/>
  <c r="AE363" i="2"/>
  <c r="AD363" i="2" s="1"/>
  <c r="AG363" i="2"/>
  <c r="AF363" i="2" s="1"/>
  <c r="T364" i="2"/>
  <c r="V364" i="2"/>
  <c r="U364" i="2" s="1"/>
  <c r="X364" i="2"/>
  <c r="W364" i="2" s="1"/>
  <c r="AC364" i="2"/>
  <c r="AE364" i="2"/>
  <c r="AD364" i="2" s="1"/>
  <c r="AG364" i="2"/>
  <c r="AF364" i="2" s="1"/>
  <c r="T365" i="2"/>
  <c r="V365" i="2"/>
  <c r="U365" i="2" s="1"/>
  <c r="X365" i="2"/>
  <c r="W365" i="2" s="1"/>
  <c r="AC365" i="2"/>
  <c r="AD365" i="2"/>
  <c r="AE365" i="2"/>
  <c r="AG365" i="2"/>
  <c r="AF365" i="2" s="1"/>
  <c r="T366" i="2"/>
  <c r="V366" i="2"/>
  <c r="U366" i="2" s="1"/>
  <c r="X366" i="2"/>
  <c r="W366" i="2" s="1"/>
  <c r="AC366" i="2"/>
  <c r="AD366" i="2"/>
  <c r="AE366" i="2"/>
  <c r="AG366" i="2"/>
  <c r="AF366" i="2" s="1"/>
  <c r="T367" i="2"/>
  <c r="V367" i="2"/>
  <c r="U367" i="2" s="1"/>
  <c r="X367" i="2"/>
  <c r="W367" i="2" s="1"/>
  <c r="AC367" i="2"/>
  <c r="AE367" i="2"/>
  <c r="AD367" i="2" s="1"/>
  <c r="AG367" i="2"/>
  <c r="T368" i="2"/>
  <c r="V368" i="2"/>
  <c r="U368" i="2" s="1"/>
  <c r="X368" i="2"/>
  <c r="W368" i="2" s="1"/>
  <c r="AC368" i="2"/>
  <c r="AE368" i="2"/>
  <c r="AD368" i="2" s="1"/>
  <c r="AG368" i="2"/>
  <c r="AF368" i="2" s="1"/>
  <c r="T369" i="2"/>
  <c r="V369" i="2"/>
  <c r="U369" i="2" s="1"/>
  <c r="X369" i="2"/>
  <c r="AC369" i="2"/>
  <c r="AE369" i="2"/>
  <c r="AD369" i="2" s="1"/>
  <c r="AG369" i="2"/>
  <c r="T370" i="2"/>
  <c r="V370" i="2"/>
  <c r="U370" i="2" s="1"/>
  <c r="X370" i="2"/>
  <c r="AC370" i="2"/>
  <c r="AE370" i="2"/>
  <c r="AD370" i="2" s="1"/>
  <c r="AG370" i="2"/>
  <c r="AF370" i="2" s="1"/>
  <c r="AH370" i="2" s="1"/>
  <c r="T371" i="2"/>
  <c r="V371" i="2"/>
  <c r="U371" i="2" s="1"/>
  <c r="X371" i="2"/>
  <c r="AC371" i="2"/>
  <c r="AE371" i="2"/>
  <c r="AD371" i="2" s="1"/>
  <c r="AG371" i="2"/>
  <c r="T372" i="2"/>
  <c r="V372" i="2"/>
  <c r="U372" i="2" s="1"/>
  <c r="X372" i="2"/>
  <c r="W372" i="2" s="1"/>
  <c r="AC372" i="2"/>
  <c r="AE372" i="2"/>
  <c r="AD372" i="2" s="1"/>
  <c r="AG372" i="2"/>
  <c r="AI372" i="2" s="1"/>
  <c r="AJ372" i="2" s="1"/>
  <c r="T373" i="2"/>
  <c r="V373" i="2"/>
  <c r="U373" i="2" s="1"/>
  <c r="X373" i="2"/>
  <c r="W373" i="2" s="1"/>
  <c r="AC373" i="2"/>
  <c r="AE373" i="2"/>
  <c r="AD373" i="2" s="1"/>
  <c r="AG373" i="2"/>
  <c r="AF373" i="2" s="1"/>
  <c r="T374" i="2"/>
  <c r="V374" i="2"/>
  <c r="U374" i="2" s="1"/>
  <c r="X374" i="2"/>
  <c r="AC374" i="2"/>
  <c r="AE374" i="2"/>
  <c r="AD374" i="2" s="1"/>
  <c r="AG374" i="2"/>
  <c r="AI374" i="2" s="1"/>
  <c r="AJ374" i="2" s="1"/>
  <c r="AE347" i="2"/>
  <c r="V347" i="2"/>
  <c r="AC347" i="2"/>
  <c r="T347" i="2"/>
  <c r="T317" i="2"/>
  <c r="V317" i="2"/>
  <c r="U317" i="2" s="1"/>
  <c r="X317" i="2"/>
  <c r="W317" i="2" s="1"/>
  <c r="AC317" i="2"/>
  <c r="AE317" i="2"/>
  <c r="AD317" i="2" s="1"/>
  <c r="AG317" i="2"/>
  <c r="AF317" i="2" s="1"/>
  <c r="T318" i="2"/>
  <c r="V318" i="2"/>
  <c r="U318" i="2" s="1"/>
  <c r="X318" i="2"/>
  <c r="W318" i="2" s="1"/>
  <c r="AC318" i="2"/>
  <c r="AE318" i="2"/>
  <c r="AD318" i="2" s="1"/>
  <c r="AG318" i="2"/>
  <c r="AF318" i="2" s="1"/>
  <c r="T319" i="2"/>
  <c r="V319" i="2"/>
  <c r="U319" i="2" s="1"/>
  <c r="X319" i="2"/>
  <c r="W319" i="2" s="1"/>
  <c r="AC319" i="2"/>
  <c r="AE319" i="2"/>
  <c r="AD319" i="2" s="1"/>
  <c r="AG319" i="2"/>
  <c r="AF319" i="2" s="1"/>
  <c r="T320" i="2"/>
  <c r="V320" i="2"/>
  <c r="U320" i="2" s="1"/>
  <c r="X320" i="2"/>
  <c r="W320" i="2" s="1"/>
  <c r="AC320" i="2"/>
  <c r="AE320" i="2"/>
  <c r="AD320" i="2" s="1"/>
  <c r="AG320" i="2"/>
  <c r="AF320" i="2" s="1"/>
  <c r="T321" i="2"/>
  <c r="V321" i="2"/>
  <c r="U321" i="2" s="1"/>
  <c r="X321" i="2"/>
  <c r="W321" i="2" s="1"/>
  <c r="AC321" i="2"/>
  <c r="AE321" i="2"/>
  <c r="AD321" i="2" s="1"/>
  <c r="AG321" i="2"/>
  <c r="AF321" i="2" s="1"/>
  <c r="T322" i="2"/>
  <c r="V322" i="2"/>
  <c r="U322" i="2" s="1"/>
  <c r="X322" i="2"/>
  <c r="W322" i="2" s="1"/>
  <c r="AC322" i="2"/>
  <c r="AE322" i="2"/>
  <c r="AD322" i="2" s="1"/>
  <c r="AG322" i="2"/>
  <c r="AF322" i="2" s="1"/>
  <c r="T323" i="2"/>
  <c r="V323" i="2"/>
  <c r="U323" i="2" s="1"/>
  <c r="X323" i="2"/>
  <c r="W323" i="2" s="1"/>
  <c r="AC323" i="2"/>
  <c r="AE323" i="2"/>
  <c r="AD323" i="2" s="1"/>
  <c r="AG323" i="2"/>
  <c r="AF323" i="2" s="1"/>
  <c r="T324" i="2"/>
  <c r="V324" i="2"/>
  <c r="U324" i="2" s="1"/>
  <c r="X324" i="2"/>
  <c r="W324" i="2" s="1"/>
  <c r="AC324" i="2"/>
  <c r="AE324" i="2"/>
  <c r="AD324" i="2" s="1"/>
  <c r="AG324" i="2"/>
  <c r="AF324" i="2" s="1"/>
  <c r="T325" i="2"/>
  <c r="V325" i="2"/>
  <c r="U325" i="2" s="1"/>
  <c r="X325" i="2"/>
  <c r="W325" i="2" s="1"/>
  <c r="AC325" i="2"/>
  <c r="AE325" i="2"/>
  <c r="AD325" i="2" s="1"/>
  <c r="AG325" i="2"/>
  <c r="AF325" i="2" s="1"/>
  <c r="T326" i="2"/>
  <c r="V326" i="2"/>
  <c r="U326" i="2" s="1"/>
  <c r="X326" i="2"/>
  <c r="W326" i="2" s="1"/>
  <c r="AC326" i="2"/>
  <c r="AE326" i="2"/>
  <c r="AD326" i="2" s="1"/>
  <c r="AG326" i="2"/>
  <c r="AF326" i="2" s="1"/>
  <c r="T327" i="2"/>
  <c r="V327" i="2"/>
  <c r="U327" i="2" s="1"/>
  <c r="X327" i="2"/>
  <c r="W327" i="2" s="1"/>
  <c r="AC327" i="2"/>
  <c r="AE327" i="2"/>
  <c r="AD327" i="2" s="1"/>
  <c r="AG327" i="2"/>
  <c r="AF327" i="2" s="1"/>
  <c r="T328" i="2"/>
  <c r="V328" i="2"/>
  <c r="U328" i="2" s="1"/>
  <c r="X328" i="2"/>
  <c r="W328" i="2" s="1"/>
  <c r="AC328" i="2"/>
  <c r="AE328" i="2"/>
  <c r="AD328" i="2" s="1"/>
  <c r="AG328" i="2"/>
  <c r="AF328" i="2" s="1"/>
  <c r="T329" i="2"/>
  <c r="V329" i="2"/>
  <c r="U329" i="2" s="1"/>
  <c r="X329" i="2"/>
  <c r="W329" i="2" s="1"/>
  <c r="AC329" i="2"/>
  <c r="AE329" i="2"/>
  <c r="AD329" i="2" s="1"/>
  <c r="AG329" i="2"/>
  <c r="AF329" i="2" s="1"/>
  <c r="T330" i="2"/>
  <c r="V330" i="2"/>
  <c r="U330" i="2" s="1"/>
  <c r="X330" i="2"/>
  <c r="W330" i="2" s="1"/>
  <c r="AC330" i="2"/>
  <c r="AE330" i="2"/>
  <c r="AD330" i="2" s="1"/>
  <c r="AG330" i="2"/>
  <c r="AF330" i="2" s="1"/>
  <c r="T331" i="2"/>
  <c r="V331" i="2"/>
  <c r="U331" i="2" s="1"/>
  <c r="X331" i="2"/>
  <c r="W331" i="2" s="1"/>
  <c r="AC331" i="2"/>
  <c r="AE331" i="2"/>
  <c r="AD331" i="2" s="1"/>
  <c r="AG331" i="2"/>
  <c r="AF331" i="2" s="1"/>
  <c r="T332" i="2"/>
  <c r="V332" i="2"/>
  <c r="U332" i="2" s="1"/>
  <c r="X332" i="2"/>
  <c r="W332" i="2" s="1"/>
  <c r="AC332" i="2"/>
  <c r="AE332" i="2"/>
  <c r="AD332" i="2" s="1"/>
  <c r="AG332" i="2"/>
  <c r="AF332" i="2" s="1"/>
  <c r="T333" i="2"/>
  <c r="V333" i="2"/>
  <c r="U333" i="2" s="1"/>
  <c r="X333" i="2"/>
  <c r="W333" i="2" s="1"/>
  <c r="AC333" i="2"/>
  <c r="AE333" i="2"/>
  <c r="AD333" i="2" s="1"/>
  <c r="AG333" i="2"/>
  <c r="AF333" i="2" s="1"/>
  <c r="T334" i="2"/>
  <c r="V334" i="2"/>
  <c r="U334" i="2" s="1"/>
  <c r="X334" i="2"/>
  <c r="W334" i="2" s="1"/>
  <c r="AC334" i="2"/>
  <c r="AE334" i="2"/>
  <c r="AD334" i="2" s="1"/>
  <c r="AG334" i="2"/>
  <c r="AF334" i="2" s="1"/>
  <c r="T335" i="2"/>
  <c r="V335" i="2"/>
  <c r="U335" i="2" s="1"/>
  <c r="X335" i="2"/>
  <c r="W335" i="2" s="1"/>
  <c r="AC335" i="2"/>
  <c r="AE335" i="2"/>
  <c r="AD335" i="2" s="1"/>
  <c r="AG335" i="2"/>
  <c r="AF335" i="2" s="1"/>
  <c r="T336" i="2"/>
  <c r="V336" i="2"/>
  <c r="U336" i="2" s="1"/>
  <c r="X336" i="2"/>
  <c r="W336" i="2" s="1"/>
  <c r="AC336" i="2"/>
  <c r="AE336" i="2"/>
  <c r="AD336" i="2" s="1"/>
  <c r="AG336" i="2"/>
  <c r="AF336" i="2" s="1"/>
  <c r="T337" i="2"/>
  <c r="V337" i="2"/>
  <c r="U337" i="2" s="1"/>
  <c r="X337" i="2"/>
  <c r="W337" i="2" s="1"/>
  <c r="AC337" i="2"/>
  <c r="AE337" i="2"/>
  <c r="AD337" i="2" s="1"/>
  <c r="AG337" i="2"/>
  <c r="AF337" i="2" s="1"/>
  <c r="T338" i="2"/>
  <c r="V338" i="2"/>
  <c r="U338" i="2" s="1"/>
  <c r="X338" i="2"/>
  <c r="W338" i="2" s="1"/>
  <c r="AC338" i="2"/>
  <c r="AE338" i="2"/>
  <c r="AD338" i="2" s="1"/>
  <c r="AG338" i="2"/>
  <c r="AF338" i="2" s="1"/>
  <c r="T339" i="2"/>
  <c r="V339" i="2"/>
  <c r="U339" i="2" s="1"/>
  <c r="X339" i="2"/>
  <c r="W339" i="2" s="1"/>
  <c r="AC339" i="2"/>
  <c r="AE339" i="2"/>
  <c r="AD339" i="2" s="1"/>
  <c r="AG339" i="2"/>
  <c r="AF339" i="2" s="1"/>
  <c r="T340" i="2"/>
  <c r="V340" i="2"/>
  <c r="U340" i="2" s="1"/>
  <c r="X340" i="2"/>
  <c r="W340" i="2" s="1"/>
  <c r="AC340" i="2"/>
  <c r="AE340" i="2"/>
  <c r="AD340" i="2" s="1"/>
  <c r="AG340" i="2"/>
  <c r="AF340" i="2" s="1"/>
  <c r="T341" i="2"/>
  <c r="V341" i="2"/>
  <c r="U341" i="2" s="1"/>
  <c r="X341" i="2"/>
  <c r="W341" i="2" s="1"/>
  <c r="AC341" i="2"/>
  <c r="AE341" i="2"/>
  <c r="AD341" i="2" s="1"/>
  <c r="AG341" i="2"/>
  <c r="AF341" i="2" s="1"/>
  <c r="T342" i="2"/>
  <c r="V342" i="2"/>
  <c r="U342" i="2" s="1"/>
  <c r="X342" i="2"/>
  <c r="W342" i="2" s="1"/>
  <c r="AC342" i="2"/>
  <c r="AE342" i="2"/>
  <c r="AD342" i="2" s="1"/>
  <c r="AG342" i="2"/>
  <c r="AF342" i="2" s="1"/>
  <c r="T343" i="2"/>
  <c r="V343" i="2"/>
  <c r="U343" i="2" s="1"/>
  <c r="X343" i="2"/>
  <c r="W343" i="2" s="1"/>
  <c r="AC343" i="2"/>
  <c r="AE343" i="2"/>
  <c r="AD343" i="2" s="1"/>
  <c r="AG343" i="2"/>
  <c r="AF343" i="2" s="1"/>
  <c r="AE316" i="2"/>
  <c r="V316" i="2"/>
  <c r="AC316" i="2"/>
  <c r="T316" i="2"/>
  <c r="T286" i="2"/>
  <c r="V286" i="2"/>
  <c r="U286" i="2" s="1"/>
  <c r="X286" i="2"/>
  <c r="W286" i="2" s="1"/>
  <c r="AC286" i="2"/>
  <c r="AE286" i="2"/>
  <c r="AG286" i="2"/>
  <c r="AF286" i="2" s="1"/>
  <c r="T287" i="2"/>
  <c r="V287" i="2"/>
  <c r="U287" i="2" s="1"/>
  <c r="X287" i="2"/>
  <c r="AC287" i="2"/>
  <c r="AE287" i="2"/>
  <c r="AD287" i="2" s="1"/>
  <c r="AG287" i="2"/>
  <c r="AF287" i="2" s="1"/>
  <c r="T288" i="2"/>
  <c r="V288" i="2"/>
  <c r="U288" i="2" s="1"/>
  <c r="X288" i="2"/>
  <c r="W288" i="2" s="1"/>
  <c r="AC288" i="2"/>
  <c r="AE288" i="2"/>
  <c r="AD288" i="2" s="1"/>
  <c r="AG288" i="2"/>
  <c r="AF288" i="2" s="1"/>
  <c r="T289" i="2"/>
  <c r="V289" i="2"/>
  <c r="U289" i="2" s="1"/>
  <c r="X289" i="2"/>
  <c r="W289" i="2" s="1"/>
  <c r="AC289" i="2"/>
  <c r="AE289" i="2"/>
  <c r="AD289" i="2" s="1"/>
  <c r="AG289" i="2"/>
  <c r="AF289" i="2" s="1"/>
  <c r="T290" i="2"/>
  <c r="V290" i="2"/>
  <c r="U290" i="2" s="1"/>
  <c r="X290" i="2"/>
  <c r="W290" i="2" s="1"/>
  <c r="AC290" i="2"/>
  <c r="AE290" i="2"/>
  <c r="AG290" i="2"/>
  <c r="AF290" i="2" s="1"/>
  <c r="T291" i="2"/>
  <c r="V291" i="2"/>
  <c r="U291" i="2" s="1"/>
  <c r="X291" i="2"/>
  <c r="AC291" i="2"/>
  <c r="AE291" i="2"/>
  <c r="AD291" i="2" s="1"/>
  <c r="AG291" i="2"/>
  <c r="AF291" i="2" s="1"/>
  <c r="T292" i="2"/>
  <c r="V292" i="2"/>
  <c r="U292" i="2" s="1"/>
  <c r="X292" i="2"/>
  <c r="AC292" i="2"/>
  <c r="AE292" i="2"/>
  <c r="AD292" i="2" s="1"/>
  <c r="AG292" i="2"/>
  <c r="AF292" i="2" s="1"/>
  <c r="T293" i="2"/>
  <c r="V293" i="2"/>
  <c r="U293" i="2" s="1"/>
  <c r="X293" i="2"/>
  <c r="W293" i="2" s="1"/>
  <c r="AC293" i="2"/>
  <c r="AE293" i="2"/>
  <c r="AD293" i="2" s="1"/>
  <c r="AG293" i="2"/>
  <c r="AF293" i="2" s="1"/>
  <c r="T294" i="2"/>
  <c r="V294" i="2"/>
  <c r="U294" i="2" s="1"/>
  <c r="X294" i="2"/>
  <c r="W294" i="2" s="1"/>
  <c r="AC294" i="2"/>
  <c r="AE294" i="2"/>
  <c r="AG294" i="2"/>
  <c r="AF294" i="2" s="1"/>
  <c r="T295" i="2"/>
  <c r="V295" i="2"/>
  <c r="U295" i="2" s="1"/>
  <c r="X295" i="2"/>
  <c r="AC295" i="2"/>
  <c r="AE295" i="2"/>
  <c r="AD295" i="2" s="1"/>
  <c r="AG295" i="2"/>
  <c r="AF295" i="2" s="1"/>
  <c r="T296" i="2"/>
  <c r="V296" i="2"/>
  <c r="U296" i="2" s="1"/>
  <c r="X296" i="2"/>
  <c r="AC296" i="2"/>
  <c r="AE296" i="2"/>
  <c r="AD296" i="2" s="1"/>
  <c r="AG296" i="2"/>
  <c r="AF296" i="2" s="1"/>
  <c r="T297" i="2"/>
  <c r="V297" i="2"/>
  <c r="U297" i="2" s="1"/>
  <c r="X297" i="2"/>
  <c r="W297" i="2" s="1"/>
  <c r="AC297" i="2"/>
  <c r="AE297" i="2"/>
  <c r="AD297" i="2" s="1"/>
  <c r="AG297" i="2"/>
  <c r="AF297" i="2" s="1"/>
  <c r="T298" i="2"/>
  <c r="V298" i="2"/>
  <c r="U298" i="2" s="1"/>
  <c r="X298" i="2"/>
  <c r="W298" i="2" s="1"/>
  <c r="AC298" i="2"/>
  <c r="AE298" i="2"/>
  <c r="AG298" i="2"/>
  <c r="AF298" i="2" s="1"/>
  <c r="T299" i="2"/>
  <c r="V299" i="2"/>
  <c r="U299" i="2" s="1"/>
  <c r="X299" i="2"/>
  <c r="AC299" i="2"/>
  <c r="AE299" i="2"/>
  <c r="AD299" i="2" s="1"/>
  <c r="AG299" i="2"/>
  <c r="AF299" i="2" s="1"/>
  <c r="T300" i="2"/>
  <c r="V300" i="2"/>
  <c r="U300" i="2" s="1"/>
  <c r="X300" i="2"/>
  <c r="AC300" i="2"/>
  <c r="AE300" i="2"/>
  <c r="AG300" i="2"/>
  <c r="AF300" i="2" s="1"/>
  <c r="T301" i="2"/>
  <c r="V301" i="2"/>
  <c r="U301" i="2" s="1"/>
  <c r="Y301" i="2" s="1"/>
  <c r="X301" i="2"/>
  <c r="W301" i="2" s="1"/>
  <c r="AC301" i="2"/>
  <c r="AE301" i="2"/>
  <c r="AG301" i="2"/>
  <c r="AF301" i="2" s="1"/>
  <c r="T302" i="2"/>
  <c r="V302" i="2"/>
  <c r="U302" i="2" s="1"/>
  <c r="X302" i="2"/>
  <c r="W302" i="2" s="1"/>
  <c r="AC302" i="2"/>
  <c r="AE302" i="2"/>
  <c r="AG302" i="2"/>
  <c r="AF302" i="2" s="1"/>
  <c r="T303" i="2"/>
  <c r="V303" i="2"/>
  <c r="U303" i="2" s="1"/>
  <c r="X303" i="2"/>
  <c r="W303" i="2" s="1"/>
  <c r="AC303" i="2"/>
  <c r="AE303" i="2"/>
  <c r="AD303" i="2" s="1"/>
  <c r="AG303" i="2"/>
  <c r="AF303" i="2" s="1"/>
  <c r="T304" i="2"/>
  <c r="V304" i="2"/>
  <c r="U304" i="2" s="1"/>
  <c r="X304" i="2"/>
  <c r="W304" i="2" s="1"/>
  <c r="AC304" i="2"/>
  <c r="AE304" i="2"/>
  <c r="AD304" i="2" s="1"/>
  <c r="AG304" i="2"/>
  <c r="AF304" i="2" s="1"/>
  <c r="T305" i="2"/>
  <c r="V305" i="2"/>
  <c r="X305" i="2"/>
  <c r="W305" i="2" s="1"/>
  <c r="AC305" i="2"/>
  <c r="AE305" i="2"/>
  <c r="AD305" i="2" s="1"/>
  <c r="AG305" i="2"/>
  <c r="AF305" i="2" s="1"/>
  <c r="AI305" i="2"/>
  <c r="AJ305" i="2" s="1"/>
  <c r="T306" i="2"/>
  <c r="V306" i="2"/>
  <c r="X306" i="2"/>
  <c r="W306" i="2" s="1"/>
  <c r="AC306" i="2"/>
  <c r="AE306" i="2"/>
  <c r="AG306" i="2"/>
  <c r="AF306" i="2" s="1"/>
  <c r="T307" i="2"/>
  <c r="V307" i="2"/>
  <c r="U307" i="2" s="1"/>
  <c r="X307" i="2"/>
  <c r="W307" i="2" s="1"/>
  <c r="AC307" i="2"/>
  <c r="AE307" i="2"/>
  <c r="AD307" i="2" s="1"/>
  <c r="AG307" i="2"/>
  <c r="AF307" i="2" s="1"/>
  <c r="T308" i="2"/>
  <c r="V308" i="2"/>
  <c r="U308" i="2" s="1"/>
  <c r="X308" i="2"/>
  <c r="W308" i="2" s="1"/>
  <c r="AC308" i="2"/>
  <c r="AE308" i="2"/>
  <c r="AD308" i="2" s="1"/>
  <c r="AG308" i="2"/>
  <c r="AF308" i="2" s="1"/>
  <c r="T309" i="2"/>
  <c r="V309" i="2"/>
  <c r="U309" i="2" s="1"/>
  <c r="X309" i="2"/>
  <c r="W309" i="2" s="1"/>
  <c r="AC309" i="2"/>
  <c r="AE309" i="2"/>
  <c r="AD309" i="2" s="1"/>
  <c r="AG309" i="2"/>
  <c r="AF309" i="2" s="1"/>
  <c r="T310" i="2"/>
  <c r="V310" i="2"/>
  <c r="U310" i="2" s="1"/>
  <c r="X310" i="2"/>
  <c r="W310" i="2" s="1"/>
  <c r="AC310" i="2"/>
  <c r="AE310" i="2"/>
  <c r="AG310" i="2"/>
  <c r="AF310" i="2" s="1"/>
  <c r="T311" i="2"/>
  <c r="V311" i="2"/>
  <c r="U311" i="2" s="1"/>
  <c r="X311" i="2"/>
  <c r="W311" i="2" s="1"/>
  <c r="AC311" i="2"/>
  <c r="AE311" i="2"/>
  <c r="AG311" i="2"/>
  <c r="AF311" i="2" s="1"/>
  <c r="T312" i="2"/>
  <c r="V312" i="2"/>
  <c r="U312" i="2" s="1"/>
  <c r="X312" i="2"/>
  <c r="W312" i="2" s="1"/>
  <c r="AC312" i="2"/>
  <c r="AE312" i="2"/>
  <c r="AG312" i="2"/>
  <c r="AF312" i="2" s="1"/>
  <c r="AE285" i="2"/>
  <c r="V285" i="2"/>
  <c r="AC285" i="2"/>
  <c r="T285" i="2"/>
  <c r="T255" i="2"/>
  <c r="V255" i="2"/>
  <c r="U255" i="2" s="1"/>
  <c r="X255" i="2"/>
  <c r="W255" i="2" s="1"/>
  <c r="AC255" i="2"/>
  <c r="AE255" i="2"/>
  <c r="AD255" i="2" s="1"/>
  <c r="AG255" i="2"/>
  <c r="AF255" i="2" s="1"/>
  <c r="T256" i="2"/>
  <c r="V256" i="2"/>
  <c r="U256" i="2" s="1"/>
  <c r="X256" i="2"/>
  <c r="W256" i="2" s="1"/>
  <c r="AC256" i="2"/>
  <c r="AE256" i="2"/>
  <c r="AD256" i="2" s="1"/>
  <c r="AG256" i="2"/>
  <c r="AF256" i="2" s="1"/>
  <c r="T257" i="2"/>
  <c r="V257" i="2"/>
  <c r="U257" i="2" s="1"/>
  <c r="X257" i="2"/>
  <c r="W257" i="2" s="1"/>
  <c r="AC257" i="2"/>
  <c r="AE257" i="2"/>
  <c r="AD257" i="2" s="1"/>
  <c r="AG257" i="2"/>
  <c r="AF257" i="2" s="1"/>
  <c r="T258" i="2"/>
  <c r="V258" i="2"/>
  <c r="U258" i="2" s="1"/>
  <c r="X258" i="2"/>
  <c r="W258" i="2" s="1"/>
  <c r="AC258" i="2"/>
  <c r="AE258" i="2"/>
  <c r="AD258" i="2" s="1"/>
  <c r="AG258" i="2"/>
  <c r="AF258" i="2" s="1"/>
  <c r="T259" i="2"/>
  <c r="V259" i="2"/>
  <c r="U259" i="2" s="1"/>
  <c r="X259" i="2"/>
  <c r="W259" i="2" s="1"/>
  <c r="AC259" i="2"/>
  <c r="AE259" i="2"/>
  <c r="AD259" i="2" s="1"/>
  <c r="AG259" i="2"/>
  <c r="AF259" i="2" s="1"/>
  <c r="T260" i="2"/>
  <c r="V260" i="2"/>
  <c r="U260" i="2" s="1"/>
  <c r="X260" i="2"/>
  <c r="W260" i="2" s="1"/>
  <c r="AC260" i="2"/>
  <c r="AE260" i="2"/>
  <c r="AD260" i="2" s="1"/>
  <c r="AG260" i="2"/>
  <c r="AF260" i="2" s="1"/>
  <c r="T261" i="2"/>
  <c r="V261" i="2"/>
  <c r="U261" i="2" s="1"/>
  <c r="X261" i="2"/>
  <c r="W261" i="2" s="1"/>
  <c r="AC261" i="2"/>
  <c r="AE261" i="2"/>
  <c r="AD261" i="2" s="1"/>
  <c r="AG261" i="2"/>
  <c r="AF261" i="2" s="1"/>
  <c r="T262" i="2"/>
  <c r="V262" i="2"/>
  <c r="U262" i="2" s="1"/>
  <c r="X262" i="2"/>
  <c r="W262" i="2" s="1"/>
  <c r="AC262" i="2"/>
  <c r="AE262" i="2"/>
  <c r="AD262" i="2" s="1"/>
  <c r="AG262" i="2"/>
  <c r="AF262" i="2" s="1"/>
  <c r="T263" i="2"/>
  <c r="V263" i="2"/>
  <c r="U263" i="2" s="1"/>
  <c r="X263" i="2"/>
  <c r="W263" i="2" s="1"/>
  <c r="AC263" i="2"/>
  <c r="AE263" i="2"/>
  <c r="AD263" i="2" s="1"/>
  <c r="AG263" i="2"/>
  <c r="AF263" i="2" s="1"/>
  <c r="T264" i="2"/>
  <c r="V264" i="2"/>
  <c r="U264" i="2" s="1"/>
  <c r="X264" i="2"/>
  <c r="W264" i="2" s="1"/>
  <c r="AC264" i="2"/>
  <c r="AE264" i="2"/>
  <c r="AD264" i="2" s="1"/>
  <c r="AG264" i="2"/>
  <c r="AF264" i="2" s="1"/>
  <c r="T265" i="2"/>
  <c r="V265" i="2"/>
  <c r="U265" i="2" s="1"/>
  <c r="X265" i="2"/>
  <c r="W265" i="2" s="1"/>
  <c r="AC265" i="2"/>
  <c r="AE265" i="2"/>
  <c r="AD265" i="2" s="1"/>
  <c r="AG265" i="2"/>
  <c r="AF265" i="2" s="1"/>
  <c r="T266" i="2"/>
  <c r="V266" i="2"/>
  <c r="U266" i="2" s="1"/>
  <c r="X266" i="2"/>
  <c r="W266" i="2" s="1"/>
  <c r="AC266" i="2"/>
  <c r="AE266" i="2"/>
  <c r="AD266" i="2" s="1"/>
  <c r="AG266" i="2"/>
  <c r="AF266" i="2" s="1"/>
  <c r="T267" i="2"/>
  <c r="V267" i="2"/>
  <c r="U267" i="2" s="1"/>
  <c r="X267" i="2"/>
  <c r="W267" i="2" s="1"/>
  <c r="AC267" i="2"/>
  <c r="AE267" i="2"/>
  <c r="AD267" i="2" s="1"/>
  <c r="AG267" i="2"/>
  <c r="AF267" i="2" s="1"/>
  <c r="T268" i="2"/>
  <c r="V268" i="2"/>
  <c r="U268" i="2" s="1"/>
  <c r="X268" i="2"/>
  <c r="W268" i="2" s="1"/>
  <c r="AC268" i="2"/>
  <c r="AE268" i="2"/>
  <c r="AD268" i="2" s="1"/>
  <c r="AG268" i="2"/>
  <c r="AF268" i="2" s="1"/>
  <c r="T269" i="2"/>
  <c r="V269" i="2"/>
  <c r="U269" i="2" s="1"/>
  <c r="X269" i="2"/>
  <c r="W269" i="2" s="1"/>
  <c r="AC269" i="2"/>
  <c r="AE269" i="2"/>
  <c r="AD269" i="2" s="1"/>
  <c r="AG269" i="2"/>
  <c r="AF269" i="2" s="1"/>
  <c r="T270" i="2"/>
  <c r="V270" i="2"/>
  <c r="U270" i="2" s="1"/>
  <c r="X270" i="2"/>
  <c r="W270" i="2" s="1"/>
  <c r="AC270" i="2"/>
  <c r="AE270" i="2"/>
  <c r="AD270" i="2" s="1"/>
  <c r="AG270" i="2"/>
  <c r="AF270" i="2" s="1"/>
  <c r="T271" i="2"/>
  <c r="V271" i="2"/>
  <c r="U271" i="2" s="1"/>
  <c r="X271" i="2"/>
  <c r="W271" i="2" s="1"/>
  <c r="AC271" i="2"/>
  <c r="AE271" i="2"/>
  <c r="AD271" i="2" s="1"/>
  <c r="AG271" i="2"/>
  <c r="AF271" i="2" s="1"/>
  <c r="T272" i="2"/>
  <c r="V272" i="2"/>
  <c r="U272" i="2" s="1"/>
  <c r="X272" i="2"/>
  <c r="W272" i="2" s="1"/>
  <c r="AC272" i="2"/>
  <c r="AE272" i="2"/>
  <c r="AD272" i="2" s="1"/>
  <c r="AG272" i="2"/>
  <c r="AF272" i="2" s="1"/>
  <c r="T273" i="2"/>
  <c r="V273" i="2"/>
  <c r="U273" i="2" s="1"/>
  <c r="X273" i="2"/>
  <c r="W273" i="2" s="1"/>
  <c r="AC273" i="2"/>
  <c r="AE273" i="2"/>
  <c r="AD273" i="2" s="1"/>
  <c r="AG273" i="2"/>
  <c r="AF273" i="2" s="1"/>
  <c r="T274" i="2"/>
  <c r="V274" i="2"/>
  <c r="U274" i="2" s="1"/>
  <c r="X274" i="2"/>
  <c r="W274" i="2" s="1"/>
  <c r="AC274" i="2"/>
  <c r="AE274" i="2"/>
  <c r="AD274" i="2" s="1"/>
  <c r="AG274" i="2"/>
  <c r="AF274" i="2" s="1"/>
  <c r="T275" i="2"/>
  <c r="V275" i="2"/>
  <c r="U275" i="2" s="1"/>
  <c r="X275" i="2"/>
  <c r="W275" i="2" s="1"/>
  <c r="AC275" i="2"/>
  <c r="AE275" i="2"/>
  <c r="AD275" i="2" s="1"/>
  <c r="AG275" i="2"/>
  <c r="AF275" i="2" s="1"/>
  <c r="T276" i="2"/>
  <c r="V276" i="2"/>
  <c r="U276" i="2" s="1"/>
  <c r="X276" i="2"/>
  <c r="W276" i="2" s="1"/>
  <c r="AC276" i="2"/>
  <c r="AE276" i="2"/>
  <c r="AD276" i="2" s="1"/>
  <c r="AG276" i="2"/>
  <c r="AF276" i="2" s="1"/>
  <c r="T277" i="2"/>
  <c r="V277" i="2"/>
  <c r="U277" i="2" s="1"/>
  <c r="X277" i="2"/>
  <c r="W277" i="2" s="1"/>
  <c r="AC277" i="2"/>
  <c r="AE277" i="2"/>
  <c r="AD277" i="2" s="1"/>
  <c r="AG277" i="2"/>
  <c r="AF277" i="2" s="1"/>
  <c r="T278" i="2"/>
  <c r="V278" i="2"/>
  <c r="U278" i="2" s="1"/>
  <c r="X278" i="2"/>
  <c r="W278" i="2" s="1"/>
  <c r="AC278" i="2"/>
  <c r="AE278" i="2"/>
  <c r="AD278" i="2" s="1"/>
  <c r="AG278" i="2"/>
  <c r="AF278" i="2" s="1"/>
  <c r="T279" i="2"/>
  <c r="V279" i="2"/>
  <c r="U279" i="2" s="1"/>
  <c r="X279" i="2"/>
  <c r="W279" i="2" s="1"/>
  <c r="AC279" i="2"/>
  <c r="AE279" i="2"/>
  <c r="AD279" i="2" s="1"/>
  <c r="AG279" i="2"/>
  <c r="AF279" i="2" s="1"/>
  <c r="T280" i="2"/>
  <c r="V280" i="2"/>
  <c r="U280" i="2" s="1"/>
  <c r="X280" i="2"/>
  <c r="W280" i="2" s="1"/>
  <c r="AC280" i="2"/>
  <c r="AE280" i="2"/>
  <c r="AD280" i="2" s="1"/>
  <c r="AG280" i="2"/>
  <c r="AF280" i="2" s="1"/>
  <c r="T281" i="2"/>
  <c r="V281" i="2"/>
  <c r="U281" i="2" s="1"/>
  <c r="X281" i="2"/>
  <c r="W281" i="2" s="1"/>
  <c r="AC281" i="2"/>
  <c r="AE281" i="2"/>
  <c r="AD281" i="2" s="1"/>
  <c r="AG281" i="2"/>
  <c r="AF281" i="2" s="1"/>
  <c r="AE254" i="2"/>
  <c r="V254" i="2"/>
  <c r="AC254" i="2"/>
  <c r="T254" i="2"/>
  <c r="T224" i="2"/>
  <c r="V224" i="2"/>
  <c r="U224" i="2" s="1"/>
  <c r="X224" i="2"/>
  <c r="W224" i="2" s="1"/>
  <c r="AC224" i="2"/>
  <c r="AE224" i="2"/>
  <c r="AD224" i="2" s="1"/>
  <c r="AG224" i="2"/>
  <c r="AF224" i="2" s="1"/>
  <c r="T225" i="2"/>
  <c r="V225" i="2"/>
  <c r="U225" i="2" s="1"/>
  <c r="X225" i="2"/>
  <c r="W225" i="2" s="1"/>
  <c r="AC225" i="2"/>
  <c r="AE225" i="2"/>
  <c r="AD225" i="2" s="1"/>
  <c r="AG225" i="2"/>
  <c r="AF225" i="2" s="1"/>
  <c r="T226" i="2"/>
  <c r="V226" i="2"/>
  <c r="U226" i="2" s="1"/>
  <c r="X226" i="2"/>
  <c r="W226" i="2" s="1"/>
  <c r="AC226" i="2"/>
  <c r="AE226" i="2"/>
  <c r="AD226" i="2" s="1"/>
  <c r="AG226" i="2"/>
  <c r="AF226" i="2" s="1"/>
  <c r="T227" i="2"/>
  <c r="V227" i="2"/>
  <c r="U227" i="2" s="1"/>
  <c r="X227" i="2"/>
  <c r="W227" i="2" s="1"/>
  <c r="AC227" i="2"/>
  <c r="AE227" i="2"/>
  <c r="AD227" i="2" s="1"/>
  <c r="AG227" i="2"/>
  <c r="AF227" i="2" s="1"/>
  <c r="T228" i="2"/>
  <c r="V228" i="2"/>
  <c r="U228" i="2" s="1"/>
  <c r="X228" i="2"/>
  <c r="W228" i="2" s="1"/>
  <c r="AC228" i="2"/>
  <c r="AE228" i="2"/>
  <c r="AD228" i="2" s="1"/>
  <c r="AG228" i="2"/>
  <c r="AF228" i="2" s="1"/>
  <c r="T229" i="2"/>
  <c r="V229" i="2"/>
  <c r="U229" i="2" s="1"/>
  <c r="X229" i="2"/>
  <c r="W229" i="2" s="1"/>
  <c r="AC229" i="2"/>
  <c r="AE229" i="2"/>
  <c r="AD229" i="2" s="1"/>
  <c r="AG229" i="2"/>
  <c r="AF229" i="2" s="1"/>
  <c r="T230" i="2"/>
  <c r="V230" i="2"/>
  <c r="U230" i="2" s="1"/>
  <c r="X230" i="2"/>
  <c r="W230" i="2" s="1"/>
  <c r="AC230" i="2"/>
  <c r="AE230" i="2"/>
  <c r="AD230" i="2" s="1"/>
  <c r="AG230" i="2"/>
  <c r="AF230" i="2" s="1"/>
  <c r="T231" i="2"/>
  <c r="V231" i="2"/>
  <c r="U231" i="2" s="1"/>
  <c r="X231" i="2"/>
  <c r="W231" i="2" s="1"/>
  <c r="AC231" i="2"/>
  <c r="AE231" i="2"/>
  <c r="AD231" i="2" s="1"/>
  <c r="AG231" i="2"/>
  <c r="AF231" i="2" s="1"/>
  <c r="T232" i="2"/>
  <c r="V232" i="2"/>
  <c r="U232" i="2" s="1"/>
  <c r="X232" i="2"/>
  <c r="W232" i="2" s="1"/>
  <c r="AC232" i="2"/>
  <c r="AE232" i="2"/>
  <c r="AD232" i="2" s="1"/>
  <c r="AG232" i="2"/>
  <c r="AF232" i="2" s="1"/>
  <c r="T233" i="2"/>
  <c r="V233" i="2"/>
  <c r="U233" i="2" s="1"/>
  <c r="X233" i="2"/>
  <c r="W233" i="2" s="1"/>
  <c r="AC233" i="2"/>
  <c r="AE233" i="2"/>
  <c r="AD233" i="2" s="1"/>
  <c r="AG233" i="2"/>
  <c r="AF233" i="2" s="1"/>
  <c r="T234" i="2"/>
  <c r="V234" i="2"/>
  <c r="U234" i="2" s="1"/>
  <c r="X234" i="2"/>
  <c r="W234" i="2" s="1"/>
  <c r="AC234" i="2"/>
  <c r="AE234" i="2"/>
  <c r="AD234" i="2" s="1"/>
  <c r="AG234" i="2"/>
  <c r="AF234" i="2" s="1"/>
  <c r="T235" i="2"/>
  <c r="V235" i="2"/>
  <c r="U235" i="2" s="1"/>
  <c r="X235" i="2"/>
  <c r="W235" i="2" s="1"/>
  <c r="AC235" i="2"/>
  <c r="AE235" i="2"/>
  <c r="AD235" i="2" s="1"/>
  <c r="AG235" i="2"/>
  <c r="AF235" i="2" s="1"/>
  <c r="T236" i="2"/>
  <c r="V236" i="2"/>
  <c r="U236" i="2" s="1"/>
  <c r="X236" i="2"/>
  <c r="W236" i="2" s="1"/>
  <c r="AC236" i="2"/>
  <c r="AE236" i="2"/>
  <c r="AD236" i="2" s="1"/>
  <c r="AG236" i="2"/>
  <c r="AF236" i="2" s="1"/>
  <c r="T237" i="2"/>
  <c r="V237" i="2"/>
  <c r="U237" i="2" s="1"/>
  <c r="X237" i="2"/>
  <c r="W237" i="2" s="1"/>
  <c r="AC237" i="2"/>
  <c r="AE237" i="2"/>
  <c r="AD237" i="2" s="1"/>
  <c r="AG237" i="2"/>
  <c r="AF237" i="2" s="1"/>
  <c r="T238" i="2"/>
  <c r="V238" i="2"/>
  <c r="U238" i="2" s="1"/>
  <c r="X238" i="2"/>
  <c r="W238" i="2" s="1"/>
  <c r="AC238" i="2"/>
  <c r="AE238" i="2"/>
  <c r="AD238" i="2" s="1"/>
  <c r="AG238" i="2"/>
  <c r="AF238" i="2" s="1"/>
  <c r="T239" i="2"/>
  <c r="V239" i="2"/>
  <c r="U239" i="2" s="1"/>
  <c r="X239" i="2"/>
  <c r="W239" i="2" s="1"/>
  <c r="AC239" i="2"/>
  <c r="AE239" i="2"/>
  <c r="AD239" i="2" s="1"/>
  <c r="AG239" i="2"/>
  <c r="AF239" i="2" s="1"/>
  <c r="T240" i="2"/>
  <c r="V240" i="2"/>
  <c r="U240" i="2" s="1"/>
  <c r="X240" i="2"/>
  <c r="W240" i="2" s="1"/>
  <c r="AC240" i="2"/>
  <c r="AE240" i="2"/>
  <c r="AD240" i="2" s="1"/>
  <c r="AG240" i="2"/>
  <c r="AF240" i="2" s="1"/>
  <c r="T241" i="2"/>
  <c r="V241" i="2"/>
  <c r="U241" i="2" s="1"/>
  <c r="X241" i="2"/>
  <c r="W241" i="2" s="1"/>
  <c r="AC241" i="2"/>
  <c r="AE241" i="2"/>
  <c r="AD241" i="2" s="1"/>
  <c r="AG241" i="2"/>
  <c r="AF241" i="2" s="1"/>
  <c r="T242" i="2"/>
  <c r="V242" i="2"/>
  <c r="U242" i="2" s="1"/>
  <c r="X242" i="2"/>
  <c r="W242" i="2" s="1"/>
  <c r="AC242" i="2"/>
  <c r="AE242" i="2"/>
  <c r="AD242" i="2" s="1"/>
  <c r="AG242" i="2"/>
  <c r="AF242" i="2" s="1"/>
  <c r="T243" i="2"/>
  <c r="V243" i="2"/>
  <c r="U243" i="2" s="1"/>
  <c r="X243" i="2"/>
  <c r="W243" i="2" s="1"/>
  <c r="AC243" i="2"/>
  <c r="AE243" i="2"/>
  <c r="AD243" i="2" s="1"/>
  <c r="AG243" i="2"/>
  <c r="AF243" i="2" s="1"/>
  <c r="T244" i="2"/>
  <c r="V244" i="2"/>
  <c r="U244" i="2" s="1"/>
  <c r="X244" i="2"/>
  <c r="W244" i="2" s="1"/>
  <c r="AC244" i="2"/>
  <c r="AE244" i="2"/>
  <c r="AD244" i="2" s="1"/>
  <c r="AG244" i="2"/>
  <c r="AF244" i="2" s="1"/>
  <c r="T245" i="2"/>
  <c r="V245" i="2"/>
  <c r="U245" i="2" s="1"/>
  <c r="X245" i="2"/>
  <c r="W245" i="2" s="1"/>
  <c r="AC245" i="2"/>
  <c r="AE245" i="2"/>
  <c r="AD245" i="2" s="1"/>
  <c r="AG245" i="2"/>
  <c r="AF245" i="2" s="1"/>
  <c r="T246" i="2"/>
  <c r="V246" i="2"/>
  <c r="U246" i="2" s="1"/>
  <c r="X246" i="2"/>
  <c r="W246" i="2" s="1"/>
  <c r="AC246" i="2"/>
  <c r="AE246" i="2"/>
  <c r="AD246" i="2" s="1"/>
  <c r="AG246" i="2"/>
  <c r="AF246" i="2" s="1"/>
  <c r="T247" i="2"/>
  <c r="V247" i="2"/>
  <c r="U247" i="2" s="1"/>
  <c r="X247" i="2"/>
  <c r="W247" i="2" s="1"/>
  <c r="AC247" i="2"/>
  <c r="AE247" i="2"/>
  <c r="AD247" i="2" s="1"/>
  <c r="AG247" i="2"/>
  <c r="AF247" i="2" s="1"/>
  <c r="T248" i="2"/>
  <c r="V248" i="2"/>
  <c r="U248" i="2" s="1"/>
  <c r="X248" i="2"/>
  <c r="W248" i="2" s="1"/>
  <c r="AC248" i="2"/>
  <c r="AE248" i="2"/>
  <c r="AD248" i="2" s="1"/>
  <c r="AG248" i="2"/>
  <c r="AF248" i="2" s="1"/>
  <c r="T249" i="2"/>
  <c r="V249" i="2"/>
  <c r="U249" i="2" s="1"/>
  <c r="X249" i="2"/>
  <c r="W249" i="2" s="1"/>
  <c r="AC249" i="2"/>
  <c r="AE249" i="2"/>
  <c r="AD249" i="2" s="1"/>
  <c r="AG249" i="2"/>
  <c r="AF249" i="2" s="1"/>
  <c r="T250" i="2"/>
  <c r="V250" i="2"/>
  <c r="U250" i="2" s="1"/>
  <c r="X250" i="2"/>
  <c r="W250" i="2" s="1"/>
  <c r="AC250" i="2"/>
  <c r="AE250" i="2"/>
  <c r="AD250" i="2" s="1"/>
  <c r="AG250" i="2"/>
  <c r="AF250" i="2" s="1"/>
  <c r="AE223" i="2"/>
  <c r="V223" i="2"/>
  <c r="AC223" i="2"/>
  <c r="T223" i="2"/>
  <c r="T193" i="2"/>
  <c r="V193" i="2"/>
  <c r="U193" i="2" s="1"/>
  <c r="X193" i="2"/>
  <c r="W193" i="2" s="1"/>
  <c r="AC193" i="2"/>
  <c r="AE193" i="2"/>
  <c r="AD193" i="2" s="1"/>
  <c r="AG193" i="2"/>
  <c r="AF193" i="2" s="1"/>
  <c r="T194" i="2"/>
  <c r="V194" i="2"/>
  <c r="U194" i="2" s="1"/>
  <c r="X194" i="2"/>
  <c r="W194" i="2" s="1"/>
  <c r="AC194" i="2"/>
  <c r="AE194" i="2"/>
  <c r="AD194" i="2" s="1"/>
  <c r="AG194" i="2"/>
  <c r="AF194" i="2" s="1"/>
  <c r="T195" i="2"/>
  <c r="V195" i="2"/>
  <c r="U195" i="2" s="1"/>
  <c r="X195" i="2"/>
  <c r="W195" i="2" s="1"/>
  <c r="AC195" i="2"/>
  <c r="AE195" i="2"/>
  <c r="AG195" i="2"/>
  <c r="AF195" i="2" s="1"/>
  <c r="T196" i="2"/>
  <c r="V196" i="2"/>
  <c r="U196" i="2" s="1"/>
  <c r="X196" i="2"/>
  <c r="AC196" i="2"/>
  <c r="AE196" i="2"/>
  <c r="AD196" i="2" s="1"/>
  <c r="AG196" i="2"/>
  <c r="AF196" i="2" s="1"/>
  <c r="T197" i="2"/>
  <c r="V197" i="2"/>
  <c r="U197" i="2" s="1"/>
  <c r="X197" i="2"/>
  <c r="W197" i="2" s="1"/>
  <c r="AC197" i="2"/>
  <c r="AE197" i="2"/>
  <c r="AD197" i="2" s="1"/>
  <c r="AG197" i="2"/>
  <c r="AF197" i="2" s="1"/>
  <c r="T198" i="2"/>
  <c r="V198" i="2"/>
  <c r="U198" i="2" s="1"/>
  <c r="X198" i="2"/>
  <c r="W198" i="2" s="1"/>
  <c r="AC198" i="2"/>
  <c r="AE198" i="2"/>
  <c r="AG198" i="2"/>
  <c r="AF198" i="2" s="1"/>
  <c r="T199" i="2"/>
  <c r="V199" i="2"/>
  <c r="U199" i="2" s="1"/>
  <c r="X199" i="2"/>
  <c r="W199" i="2" s="1"/>
  <c r="AC199" i="2"/>
  <c r="AE199" i="2"/>
  <c r="AG199" i="2"/>
  <c r="AF199" i="2" s="1"/>
  <c r="T200" i="2"/>
  <c r="V200" i="2"/>
  <c r="U200" i="2" s="1"/>
  <c r="X200" i="2"/>
  <c r="AC200" i="2"/>
  <c r="AE200" i="2"/>
  <c r="AD200" i="2" s="1"/>
  <c r="AG200" i="2"/>
  <c r="AF200" i="2" s="1"/>
  <c r="T201" i="2"/>
  <c r="V201" i="2"/>
  <c r="U201" i="2" s="1"/>
  <c r="X201" i="2"/>
  <c r="AC201" i="2"/>
  <c r="AE201" i="2"/>
  <c r="AD201" i="2" s="1"/>
  <c r="AG201" i="2"/>
  <c r="AF201" i="2" s="1"/>
  <c r="AI201" i="2"/>
  <c r="AJ201" i="2" s="1"/>
  <c r="T202" i="2"/>
  <c r="V202" i="2"/>
  <c r="X202" i="2"/>
  <c r="W202" i="2" s="1"/>
  <c r="AC202" i="2"/>
  <c r="AE202" i="2"/>
  <c r="AG202" i="2"/>
  <c r="AF202" i="2" s="1"/>
  <c r="T203" i="2"/>
  <c r="V203" i="2"/>
  <c r="U203" i="2" s="1"/>
  <c r="X203" i="2"/>
  <c r="W203" i="2" s="1"/>
  <c r="AC203" i="2"/>
  <c r="AE203" i="2"/>
  <c r="AG203" i="2"/>
  <c r="AF203" i="2" s="1"/>
  <c r="T204" i="2"/>
  <c r="V204" i="2"/>
  <c r="U204" i="2" s="1"/>
  <c r="X204" i="2"/>
  <c r="AC204" i="2"/>
  <c r="AE204" i="2"/>
  <c r="AG204" i="2"/>
  <c r="AF204" i="2" s="1"/>
  <c r="T205" i="2"/>
  <c r="V205" i="2"/>
  <c r="U205" i="2" s="1"/>
  <c r="X205" i="2"/>
  <c r="AC205" i="2"/>
  <c r="AE205" i="2"/>
  <c r="AG205" i="2"/>
  <c r="AF205" i="2" s="1"/>
  <c r="T206" i="2"/>
  <c r="V206" i="2"/>
  <c r="U206" i="2" s="1"/>
  <c r="Y206" i="2" s="1"/>
  <c r="X206" i="2"/>
  <c r="W206" i="2" s="1"/>
  <c r="AC206" i="2"/>
  <c r="AE206" i="2"/>
  <c r="AG206" i="2"/>
  <c r="AF206" i="2" s="1"/>
  <c r="T207" i="2"/>
  <c r="V207" i="2"/>
  <c r="U207" i="2" s="1"/>
  <c r="X207" i="2"/>
  <c r="W207" i="2" s="1"/>
  <c r="AC207" i="2"/>
  <c r="AE207" i="2"/>
  <c r="AG207" i="2"/>
  <c r="AF207" i="2" s="1"/>
  <c r="T208" i="2"/>
  <c r="V208" i="2"/>
  <c r="U208" i="2" s="1"/>
  <c r="X208" i="2"/>
  <c r="AC208" i="2"/>
  <c r="AE208" i="2"/>
  <c r="AD208" i="2" s="1"/>
  <c r="AG208" i="2"/>
  <c r="AF208" i="2" s="1"/>
  <c r="T209" i="2"/>
  <c r="V209" i="2"/>
  <c r="U209" i="2" s="1"/>
  <c r="X209" i="2"/>
  <c r="AC209" i="2"/>
  <c r="AE209" i="2"/>
  <c r="AD209" i="2" s="1"/>
  <c r="AG209" i="2"/>
  <c r="AF209" i="2" s="1"/>
  <c r="AI209" i="2"/>
  <c r="AJ209" i="2" s="1"/>
  <c r="T210" i="2"/>
  <c r="V210" i="2"/>
  <c r="U210" i="2" s="1"/>
  <c r="X210" i="2"/>
  <c r="W210" i="2" s="1"/>
  <c r="Z210" i="2"/>
  <c r="AA210" i="2" s="1"/>
  <c r="AC210" i="2"/>
  <c r="AE210" i="2"/>
  <c r="AD210" i="2" s="1"/>
  <c r="AG210" i="2"/>
  <c r="AF210" i="2" s="1"/>
  <c r="T211" i="2"/>
  <c r="V211" i="2"/>
  <c r="X211" i="2"/>
  <c r="W211" i="2" s="1"/>
  <c r="AC211" i="2"/>
  <c r="AE211" i="2"/>
  <c r="AG211" i="2"/>
  <c r="AF211" i="2" s="1"/>
  <c r="T212" i="2"/>
  <c r="V212" i="2"/>
  <c r="U212" i="2" s="1"/>
  <c r="X212" i="2"/>
  <c r="W212" i="2" s="1"/>
  <c r="AC212" i="2"/>
  <c r="AE212" i="2"/>
  <c r="AD212" i="2" s="1"/>
  <c r="AG212" i="2"/>
  <c r="AF212" i="2" s="1"/>
  <c r="T213" i="2"/>
  <c r="V213" i="2"/>
  <c r="U213" i="2" s="1"/>
  <c r="X213" i="2"/>
  <c r="AC213" i="2"/>
  <c r="AE213" i="2"/>
  <c r="AD213" i="2" s="1"/>
  <c r="AG213" i="2"/>
  <c r="AF213" i="2" s="1"/>
  <c r="AI213" i="2"/>
  <c r="AJ213" i="2" s="1"/>
  <c r="T214" i="2"/>
  <c r="V214" i="2"/>
  <c r="U214" i="2" s="1"/>
  <c r="X214" i="2"/>
  <c r="W214" i="2" s="1"/>
  <c r="AC214" i="2"/>
  <c r="AE214" i="2"/>
  <c r="AG214" i="2"/>
  <c r="AF214" i="2" s="1"/>
  <c r="T215" i="2"/>
  <c r="V215" i="2"/>
  <c r="U215" i="2" s="1"/>
  <c r="X215" i="2"/>
  <c r="W215" i="2" s="1"/>
  <c r="AC215" i="2"/>
  <c r="AE215" i="2"/>
  <c r="AG215" i="2"/>
  <c r="AF215" i="2" s="1"/>
  <c r="T216" i="2"/>
  <c r="V216" i="2"/>
  <c r="U216" i="2" s="1"/>
  <c r="X216" i="2"/>
  <c r="AC216" i="2"/>
  <c r="AE216" i="2"/>
  <c r="AD216" i="2" s="1"/>
  <c r="AG216" i="2"/>
  <c r="AF216" i="2" s="1"/>
  <c r="T217" i="2"/>
  <c r="V217" i="2"/>
  <c r="U217" i="2" s="1"/>
  <c r="X217" i="2"/>
  <c r="AC217" i="2"/>
  <c r="AE217" i="2"/>
  <c r="AD217" i="2" s="1"/>
  <c r="AG217" i="2"/>
  <c r="AF217" i="2" s="1"/>
  <c r="T218" i="2"/>
  <c r="V218" i="2"/>
  <c r="X218" i="2"/>
  <c r="W218" i="2" s="1"/>
  <c r="AC218" i="2"/>
  <c r="AE218" i="2"/>
  <c r="AD218" i="2" s="1"/>
  <c r="AG218" i="2"/>
  <c r="AF218" i="2" s="1"/>
  <c r="T219" i="2"/>
  <c r="V219" i="2"/>
  <c r="U219" i="2" s="1"/>
  <c r="X219" i="2"/>
  <c r="W219" i="2" s="1"/>
  <c r="AC219" i="2"/>
  <c r="AE219" i="2"/>
  <c r="AG219" i="2"/>
  <c r="AF219" i="2" s="1"/>
  <c r="AE192" i="2"/>
  <c r="V192" i="2"/>
  <c r="AC192" i="2"/>
  <c r="T192" i="2"/>
  <c r="T162" i="2"/>
  <c r="V162" i="2"/>
  <c r="U162" i="2" s="1"/>
  <c r="X162" i="2"/>
  <c r="W162" i="2" s="1"/>
  <c r="AC162" i="2"/>
  <c r="AE162" i="2"/>
  <c r="AD162" i="2" s="1"/>
  <c r="AG162" i="2"/>
  <c r="AF162" i="2" s="1"/>
  <c r="T163" i="2"/>
  <c r="V163" i="2"/>
  <c r="U163" i="2" s="1"/>
  <c r="W163" i="2"/>
  <c r="X163" i="2"/>
  <c r="AC163" i="2"/>
  <c r="AE163" i="2"/>
  <c r="AG163" i="2"/>
  <c r="AF163" i="2" s="1"/>
  <c r="T164" i="2"/>
  <c r="V164" i="2"/>
  <c r="U164" i="2" s="1"/>
  <c r="X164" i="2"/>
  <c r="W164" i="2" s="1"/>
  <c r="AC164" i="2"/>
  <c r="AE164" i="2"/>
  <c r="AD164" i="2" s="1"/>
  <c r="AG164" i="2"/>
  <c r="AF164" i="2" s="1"/>
  <c r="T165" i="2"/>
  <c r="V165" i="2"/>
  <c r="U165" i="2" s="1"/>
  <c r="X165" i="2"/>
  <c r="Z165" i="2" s="1"/>
  <c r="AA165" i="2" s="1"/>
  <c r="AC165" i="2"/>
  <c r="AE165" i="2"/>
  <c r="AD165" i="2" s="1"/>
  <c r="AG165" i="2"/>
  <c r="T166" i="2"/>
  <c r="V166" i="2"/>
  <c r="U166" i="2" s="1"/>
  <c r="X166" i="2"/>
  <c r="W166" i="2" s="1"/>
  <c r="AC166" i="2"/>
  <c r="AE166" i="2"/>
  <c r="AD166" i="2" s="1"/>
  <c r="AG166" i="2"/>
  <c r="AF166" i="2" s="1"/>
  <c r="T167" i="2"/>
  <c r="V167" i="2"/>
  <c r="U167" i="2" s="1"/>
  <c r="X167" i="2"/>
  <c r="W167" i="2" s="1"/>
  <c r="AC167" i="2"/>
  <c r="AE167" i="2"/>
  <c r="AD167" i="2" s="1"/>
  <c r="AG167" i="2"/>
  <c r="AF167" i="2" s="1"/>
  <c r="AI167" i="2"/>
  <c r="AJ167" i="2" s="1"/>
  <c r="T168" i="2"/>
  <c r="V168" i="2"/>
  <c r="U168" i="2" s="1"/>
  <c r="X168" i="2"/>
  <c r="W168" i="2" s="1"/>
  <c r="AC168" i="2"/>
  <c r="AE168" i="2"/>
  <c r="AD168" i="2" s="1"/>
  <c r="AG168" i="2"/>
  <c r="AF168" i="2" s="1"/>
  <c r="AI168" i="2"/>
  <c r="AJ168" i="2" s="1"/>
  <c r="T169" i="2"/>
  <c r="V169" i="2"/>
  <c r="X169" i="2"/>
  <c r="W169" i="2" s="1"/>
  <c r="AC169" i="2"/>
  <c r="AE169" i="2"/>
  <c r="AD169" i="2" s="1"/>
  <c r="AG169" i="2"/>
  <c r="AF169" i="2" s="1"/>
  <c r="T170" i="2"/>
  <c r="V170" i="2"/>
  <c r="U170" i="2" s="1"/>
  <c r="X170" i="2"/>
  <c r="W170" i="2" s="1"/>
  <c r="AC170" i="2"/>
  <c r="AE170" i="2"/>
  <c r="AD170" i="2" s="1"/>
  <c r="AF170" i="2"/>
  <c r="AG170" i="2"/>
  <c r="AI170" i="2" s="1"/>
  <c r="AJ170" i="2" s="1"/>
  <c r="T171" i="2"/>
  <c r="V171" i="2"/>
  <c r="U171" i="2" s="1"/>
  <c r="X171" i="2"/>
  <c r="W171" i="2" s="1"/>
  <c r="AC171" i="2"/>
  <c r="AE171" i="2"/>
  <c r="AD171" i="2" s="1"/>
  <c r="AG171" i="2"/>
  <c r="AF171" i="2" s="1"/>
  <c r="T172" i="2"/>
  <c r="V172" i="2"/>
  <c r="U172" i="2" s="1"/>
  <c r="X172" i="2"/>
  <c r="W172" i="2" s="1"/>
  <c r="AC172" i="2"/>
  <c r="AE172" i="2"/>
  <c r="AD172" i="2" s="1"/>
  <c r="AF172" i="2"/>
  <c r="AG172" i="2"/>
  <c r="AI172" i="2" s="1"/>
  <c r="AJ172" i="2" s="1"/>
  <c r="T173" i="2"/>
  <c r="V173" i="2"/>
  <c r="U173" i="2" s="1"/>
  <c r="X173" i="2"/>
  <c r="W173" i="2" s="1"/>
  <c r="AC173" i="2"/>
  <c r="AE173" i="2"/>
  <c r="AD173" i="2" s="1"/>
  <c r="AG173" i="2"/>
  <c r="AF173" i="2" s="1"/>
  <c r="AI173" i="2"/>
  <c r="AJ173" i="2" s="1"/>
  <c r="T174" i="2"/>
  <c r="V174" i="2"/>
  <c r="U174" i="2" s="1"/>
  <c r="Y174" i="2" s="1"/>
  <c r="X174" i="2"/>
  <c r="W174" i="2" s="1"/>
  <c r="AC174" i="2"/>
  <c r="AE174" i="2"/>
  <c r="AD174" i="2" s="1"/>
  <c r="AG174" i="2"/>
  <c r="AI174" i="2" s="1"/>
  <c r="AJ174" i="2" s="1"/>
  <c r="T175" i="2"/>
  <c r="V175" i="2"/>
  <c r="X175" i="2"/>
  <c r="W175" i="2" s="1"/>
  <c r="AC175" i="2"/>
  <c r="AE175" i="2"/>
  <c r="AD175" i="2" s="1"/>
  <c r="AG175" i="2"/>
  <c r="AF175" i="2" s="1"/>
  <c r="T176" i="2"/>
  <c r="V176" i="2"/>
  <c r="X176" i="2"/>
  <c r="W176" i="2" s="1"/>
  <c r="AC176" i="2"/>
  <c r="AE176" i="2"/>
  <c r="AG176" i="2"/>
  <c r="AF176" i="2" s="1"/>
  <c r="T177" i="2"/>
  <c r="V177" i="2"/>
  <c r="U177" i="2" s="1"/>
  <c r="X177" i="2"/>
  <c r="AC177" i="2"/>
  <c r="AE177" i="2"/>
  <c r="AD177" i="2" s="1"/>
  <c r="AG177" i="2"/>
  <c r="AF177" i="2" s="1"/>
  <c r="T178" i="2"/>
  <c r="V178" i="2"/>
  <c r="X178" i="2"/>
  <c r="W178" i="2" s="1"/>
  <c r="AC178" i="2"/>
  <c r="AE178" i="2"/>
  <c r="AG178" i="2"/>
  <c r="AF178" i="2" s="1"/>
  <c r="T179" i="2"/>
  <c r="V179" i="2"/>
  <c r="U179" i="2" s="1"/>
  <c r="X179" i="2"/>
  <c r="W179" i="2" s="1"/>
  <c r="AC179" i="2"/>
  <c r="AE179" i="2"/>
  <c r="AD179" i="2" s="1"/>
  <c r="AF179" i="2"/>
  <c r="AG179" i="2"/>
  <c r="AI179" i="2"/>
  <c r="AJ179" i="2" s="1"/>
  <c r="T180" i="2"/>
  <c r="V180" i="2"/>
  <c r="X180" i="2"/>
  <c r="W180" i="2" s="1"/>
  <c r="AC180" i="2"/>
  <c r="AE180" i="2"/>
  <c r="AG180" i="2"/>
  <c r="AF180" i="2" s="1"/>
  <c r="T181" i="2"/>
  <c r="V181" i="2"/>
  <c r="U181" i="2" s="1"/>
  <c r="X181" i="2"/>
  <c r="AC181" i="2"/>
  <c r="AE181" i="2"/>
  <c r="AD181" i="2" s="1"/>
  <c r="AG181" i="2"/>
  <c r="AF181" i="2" s="1"/>
  <c r="T182" i="2"/>
  <c r="V182" i="2"/>
  <c r="X182" i="2"/>
  <c r="W182" i="2" s="1"/>
  <c r="AC182" i="2"/>
  <c r="AE182" i="2"/>
  <c r="AG182" i="2"/>
  <c r="AF182" i="2" s="1"/>
  <c r="T183" i="2"/>
  <c r="V183" i="2"/>
  <c r="U183" i="2" s="1"/>
  <c r="X183" i="2"/>
  <c r="Z183" i="2" s="1"/>
  <c r="AA183" i="2" s="1"/>
  <c r="AC183" i="2"/>
  <c r="AE183" i="2"/>
  <c r="AD183" i="2" s="1"/>
  <c r="AG183" i="2"/>
  <c r="AF183" i="2" s="1"/>
  <c r="T184" i="2"/>
  <c r="V184" i="2"/>
  <c r="X184" i="2"/>
  <c r="W184" i="2" s="1"/>
  <c r="AC184" i="2"/>
  <c r="AE184" i="2"/>
  <c r="AG184" i="2"/>
  <c r="AF184" i="2" s="1"/>
  <c r="T185" i="2"/>
  <c r="V185" i="2"/>
  <c r="U185" i="2" s="1"/>
  <c r="X185" i="2"/>
  <c r="W185" i="2" s="1"/>
  <c r="AC185" i="2"/>
  <c r="AE185" i="2"/>
  <c r="AG185" i="2"/>
  <c r="AF185" i="2" s="1"/>
  <c r="T186" i="2"/>
  <c r="V186" i="2"/>
  <c r="X186" i="2"/>
  <c r="W186" i="2" s="1"/>
  <c r="AC186" i="2"/>
  <c r="AE186" i="2"/>
  <c r="AG186" i="2"/>
  <c r="AF186" i="2" s="1"/>
  <c r="T187" i="2"/>
  <c r="V187" i="2"/>
  <c r="U187" i="2" s="1"/>
  <c r="X187" i="2"/>
  <c r="Z187" i="2" s="1"/>
  <c r="AA187" i="2" s="1"/>
  <c r="AC187" i="2"/>
  <c r="AE187" i="2"/>
  <c r="AD187" i="2" s="1"/>
  <c r="AG187" i="2"/>
  <c r="AF187" i="2" s="1"/>
  <c r="T188" i="2"/>
  <c r="V188" i="2"/>
  <c r="X188" i="2"/>
  <c r="W188" i="2" s="1"/>
  <c r="AC188" i="2"/>
  <c r="AE188" i="2"/>
  <c r="AG188" i="2"/>
  <c r="AF188" i="2" s="1"/>
  <c r="AE161" i="2"/>
  <c r="V161" i="2"/>
  <c r="U161" i="2" s="1"/>
  <c r="AC161" i="2"/>
  <c r="T161" i="2"/>
  <c r="T131" i="2"/>
  <c r="V131" i="2"/>
  <c r="U131" i="2" s="1"/>
  <c r="X131" i="2"/>
  <c r="W131" i="2" s="1"/>
  <c r="AC131" i="2"/>
  <c r="AE131" i="2"/>
  <c r="AD131" i="2" s="1"/>
  <c r="AG131" i="2"/>
  <c r="T132" i="2"/>
  <c r="V132" i="2"/>
  <c r="U132" i="2" s="1"/>
  <c r="X132" i="2"/>
  <c r="W132" i="2" s="1"/>
  <c r="AC132" i="2"/>
  <c r="AE132" i="2"/>
  <c r="AD132" i="2" s="1"/>
  <c r="AG132" i="2"/>
  <c r="AF132" i="2" s="1"/>
  <c r="T133" i="2"/>
  <c r="V133" i="2"/>
  <c r="U133" i="2" s="1"/>
  <c r="X133" i="2"/>
  <c r="W133" i="2" s="1"/>
  <c r="AC133" i="2"/>
  <c r="AE133" i="2"/>
  <c r="AD133" i="2" s="1"/>
  <c r="AG133" i="2"/>
  <c r="AF133" i="2" s="1"/>
  <c r="T134" i="2"/>
  <c r="V134" i="2"/>
  <c r="X134" i="2"/>
  <c r="W134" i="2" s="1"/>
  <c r="AC134" i="2"/>
  <c r="AE134" i="2"/>
  <c r="AG134" i="2"/>
  <c r="AF134" i="2" s="1"/>
  <c r="T135" i="2"/>
  <c r="V135" i="2"/>
  <c r="U135" i="2" s="1"/>
  <c r="X135" i="2"/>
  <c r="W135" i="2" s="1"/>
  <c r="AC135" i="2"/>
  <c r="AE135" i="2"/>
  <c r="AD135" i="2" s="1"/>
  <c r="AG135" i="2"/>
  <c r="T136" i="2"/>
  <c r="V136" i="2"/>
  <c r="U136" i="2" s="1"/>
  <c r="X136" i="2"/>
  <c r="W136" i="2" s="1"/>
  <c r="AC136" i="2"/>
  <c r="AE136" i="2"/>
  <c r="AD136" i="2" s="1"/>
  <c r="AG136" i="2"/>
  <c r="AF136" i="2" s="1"/>
  <c r="T137" i="2"/>
  <c r="V137" i="2"/>
  <c r="U137" i="2" s="1"/>
  <c r="Y137" i="2" s="1"/>
  <c r="X137" i="2"/>
  <c r="W137" i="2" s="1"/>
  <c r="Z137" i="2"/>
  <c r="AA137" i="2" s="1"/>
  <c r="AC137" i="2"/>
  <c r="AE137" i="2"/>
  <c r="AG137" i="2"/>
  <c r="AF137" i="2" s="1"/>
  <c r="T138" i="2"/>
  <c r="V138" i="2"/>
  <c r="X138" i="2"/>
  <c r="W138" i="2" s="1"/>
  <c r="AC138" i="2"/>
  <c r="AE138" i="2"/>
  <c r="AG138" i="2"/>
  <c r="AF138" i="2" s="1"/>
  <c r="T139" i="2"/>
  <c r="V139" i="2"/>
  <c r="U139" i="2" s="1"/>
  <c r="X139" i="2"/>
  <c r="W139" i="2" s="1"/>
  <c r="AC139" i="2"/>
  <c r="AE139" i="2"/>
  <c r="AD139" i="2" s="1"/>
  <c r="AG139" i="2"/>
  <c r="T140" i="2"/>
  <c r="V140" i="2"/>
  <c r="U140" i="2" s="1"/>
  <c r="X140" i="2"/>
  <c r="W140" i="2" s="1"/>
  <c r="AC140" i="2"/>
  <c r="AE140" i="2"/>
  <c r="AD140" i="2" s="1"/>
  <c r="AG140" i="2"/>
  <c r="AF140" i="2" s="1"/>
  <c r="T141" i="2"/>
  <c r="V141" i="2"/>
  <c r="U141" i="2" s="1"/>
  <c r="X141" i="2"/>
  <c r="W141" i="2" s="1"/>
  <c r="AC141" i="2"/>
  <c r="AE141" i="2"/>
  <c r="AD141" i="2" s="1"/>
  <c r="AG141" i="2"/>
  <c r="AF141" i="2" s="1"/>
  <c r="T142" i="2"/>
  <c r="V142" i="2"/>
  <c r="X142" i="2"/>
  <c r="W142" i="2" s="1"/>
  <c r="AC142" i="2"/>
  <c r="AE142" i="2"/>
  <c r="AG142" i="2"/>
  <c r="AF142" i="2" s="1"/>
  <c r="T143" i="2"/>
  <c r="V143" i="2"/>
  <c r="X143" i="2"/>
  <c r="W143" i="2" s="1"/>
  <c r="AC143" i="2"/>
  <c r="AE143" i="2"/>
  <c r="AD143" i="2" s="1"/>
  <c r="AG143" i="2"/>
  <c r="T144" i="2"/>
  <c r="V144" i="2"/>
  <c r="X144" i="2"/>
  <c r="W144" i="2" s="1"/>
  <c r="AC144" i="2"/>
  <c r="AE144" i="2"/>
  <c r="AD144" i="2" s="1"/>
  <c r="AG144" i="2"/>
  <c r="AF144" i="2" s="1"/>
  <c r="T145" i="2"/>
  <c r="V145" i="2"/>
  <c r="X145" i="2"/>
  <c r="W145" i="2" s="1"/>
  <c r="AC145" i="2"/>
  <c r="AE145" i="2"/>
  <c r="AD145" i="2" s="1"/>
  <c r="AG145" i="2"/>
  <c r="AF145" i="2" s="1"/>
  <c r="T146" i="2"/>
  <c r="V146" i="2"/>
  <c r="X146" i="2"/>
  <c r="W146" i="2" s="1"/>
  <c r="AC146" i="2"/>
  <c r="AE146" i="2"/>
  <c r="AG146" i="2"/>
  <c r="AF146" i="2" s="1"/>
  <c r="T147" i="2"/>
  <c r="V147" i="2"/>
  <c r="U147" i="2" s="1"/>
  <c r="X147" i="2"/>
  <c r="W147" i="2" s="1"/>
  <c r="AC147" i="2"/>
  <c r="AE147" i="2"/>
  <c r="AD147" i="2" s="1"/>
  <c r="AG147" i="2"/>
  <c r="T148" i="2"/>
  <c r="V148" i="2"/>
  <c r="U148" i="2" s="1"/>
  <c r="X148" i="2"/>
  <c r="W148" i="2" s="1"/>
  <c r="AC148" i="2"/>
  <c r="AE148" i="2"/>
  <c r="AG148" i="2"/>
  <c r="AF148" i="2" s="1"/>
  <c r="T149" i="2"/>
  <c r="V149" i="2"/>
  <c r="U149" i="2" s="1"/>
  <c r="X149" i="2"/>
  <c r="W149" i="2" s="1"/>
  <c r="AC149" i="2"/>
  <c r="AE149" i="2"/>
  <c r="AD149" i="2" s="1"/>
  <c r="AG149" i="2"/>
  <c r="AF149" i="2" s="1"/>
  <c r="T150" i="2"/>
  <c r="V150" i="2"/>
  <c r="X150" i="2"/>
  <c r="W150" i="2" s="1"/>
  <c r="AC150" i="2"/>
  <c r="AE150" i="2"/>
  <c r="AG150" i="2"/>
  <c r="AF150" i="2" s="1"/>
  <c r="T151" i="2"/>
  <c r="V151" i="2"/>
  <c r="U151" i="2" s="1"/>
  <c r="X151" i="2"/>
  <c r="W151" i="2" s="1"/>
  <c r="AC151" i="2"/>
  <c r="AE151" i="2"/>
  <c r="AD151" i="2" s="1"/>
  <c r="AG151" i="2"/>
  <c r="T152" i="2"/>
  <c r="V152" i="2"/>
  <c r="U152" i="2" s="1"/>
  <c r="X152" i="2"/>
  <c r="W152" i="2" s="1"/>
  <c r="AC152" i="2"/>
  <c r="AE152" i="2"/>
  <c r="AD152" i="2" s="1"/>
  <c r="AG152" i="2"/>
  <c r="AF152" i="2" s="1"/>
  <c r="T153" i="2"/>
  <c r="V153" i="2"/>
  <c r="U153" i="2" s="1"/>
  <c r="X153" i="2"/>
  <c r="W153" i="2" s="1"/>
  <c r="AC153" i="2"/>
  <c r="AE153" i="2"/>
  <c r="AD153" i="2" s="1"/>
  <c r="AG153" i="2"/>
  <c r="AF153" i="2" s="1"/>
  <c r="T154" i="2"/>
  <c r="V154" i="2"/>
  <c r="X154" i="2"/>
  <c r="W154" i="2" s="1"/>
  <c r="AC154" i="2"/>
  <c r="AE154" i="2"/>
  <c r="AG154" i="2"/>
  <c r="AF154" i="2" s="1"/>
  <c r="T155" i="2"/>
  <c r="V155" i="2"/>
  <c r="U155" i="2" s="1"/>
  <c r="X155" i="2"/>
  <c r="W155" i="2" s="1"/>
  <c r="AC155" i="2"/>
  <c r="AE155" i="2"/>
  <c r="AD155" i="2" s="1"/>
  <c r="AG155" i="2"/>
  <c r="AF155" i="2" s="1"/>
  <c r="T156" i="2"/>
  <c r="V156" i="2"/>
  <c r="U156" i="2" s="1"/>
  <c r="X156" i="2"/>
  <c r="W156" i="2" s="1"/>
  <c r="AC156" i="2"/>
  <c r="AE156" i="2"/>
  <c r="AD156" i="2" s="1"/>
  <c r="AG156" i="2"/>
  <c r="AF156" i="2" s="1"/>
  <c r="T157" i="2"/>
  <c r="V157" i="2"/>
  <c r="U157" i="2" s="1"/>
  <c r="X157" i="2"/>
  <c r="W157" i="2" s="1"/>
  <c r="AC157" i="2"/>
  <c r="AE157" i="2"/>
  <c r="AG157" i="2"/>
  <c r="AF157" i="2" s="1"/>
  <c r="AE130" i="2"/>
  <c r="AC130" i="2"/>
  <c r="V130" i="2"/>
  <c r="T130" i="2"/>
  <c r="T100" i="2"/>
  <c r="V100" i="2"/>
  <c r="U100" i="2" s="1"/>
  <c r="X100" i="2"/>
  <c r="W100" i="2" s="1"/>
  <c r="AC100" i="2"/>
  <c r="AE100" i="2"/>
  <c r="AD100" i="2" s="1"/>
  <c r="AG100" i="2"/>
  <c r="AF100" i="2" s="1"/>
  <c r="T101" i="2"/>
  <c r="V101" i="2"/>
  <c r="X101" i="2"/>
  <c r="W101" i="2" s="1"/>
  <c r="AC101" i="2"/>
  <c r="AE101" i="2"/>
  <c r="AG101" i="2"/>
  <c r="AF101" i="2" s="1"/>
  <c r="T102" i="2"/>
  <c r="V102" i="2"/>
  <c r="U102" i="2" s="1"/>
  <c r="X102" i="2"/>
  <c r="W102" i="2" s="1"/>
  <c r="AC102" i="2"/>
  <c r="AE102" i="2"/>
  <c r="AD102" i="2" s="1"/>
  <c r="AG102" i="2"/>
  <c r="AF102" i="2" s="1"/>
  <c r="T103" i="2"/>
  <c r="V103" i="2"/>
  <c r="U103" i="2" s="1"/>
  <c r="X103" i="2"/>
  <c r="W103" i="2" s="1"/>
  <c r="AC103" i="2"/>
  <c r="AE103" i="2"/>
  <c r="AD103" i="2" s="1"/>
  <c r="AG103" i="2"/>
  <c r="AF103" i="2" s="1"/>
  <c r="T104" i="2"/>
  <c r="V104" i="2"/>
  <c r="U104" i="2" s="1"/>
  <c r="X104" i="2"/>
  <c r="W104" i="2" s="1"/>
  <c r="AC104" i="2"/>
  <c r="AE104" i="2"/>
  <c r="AD104" i="2" s="1"/>
  <c r="AG104" i="2"/>
  <c r="AF104" i="2" s="1"/>
  <c r="T105" i="2"/>
  <c r="V105" i="2"/>
  <c r="X105" i="2"/>
  <c r="W105" i="2" s="1"/>
  <c r="AC105" i="2"/>
  <c r="AE105" i="2"/>
  <c r="AG105" i="2"/>
  <c r="AF105" i="2" s="1"/>
  <c r="T106" i="2"/>
  <c r="V106" i="2"/>
  <c r="U106" i="2" s="1"/>
  <c r="X106" i="2"/>
  <c r="W106" i="2" s="1"/>
  <c r="AC106" i="2"/>
  <c r="AE106" i="2"/>
  <c r="AD106" i="2" s="1"/>
  <c r="AG106" i="2"/>
  <c r="T107" i="2"/>
  <c r="V107" i="2"/>
  <c r="U107" i="2" s="1"/>
  <c r="X107" i="2"/>
  <c r="W107" i="2" s="1"/>
  <c r="AC107" i="2"/>
  <c r="AE107" i="2"/>
  <c r="AD107" i="2" s="1"/>
  <c r="AG107" i="2"/>
  <c r="AF107" i="2" s="1"/>
  <c r="T108" i="2"/>
  <c r="V108" i="2"/>
  <c r="U108" i="2" s="1"/>
  <c r="X108" i="2"/>
  <c r="W108" i="2" s="1"/>
  <c r="AC108" i="2"/>
  <c r="AE108" i="2"/>
  <c r="AG108" i="2"/>
  <c r="AF108" i="2" s="1"/>
  <c r="T109" i="2"/>
  <c r="V109" i="2"/>
  <c r="X109" i="2"/>
  <c r="W109" i="2" s="1"/>
  <c r="AC109" i="2"/>
  <c r="AE109" i="2"/>
  <c r="AG109" i="2"/>
  <c r="AF109" i="2" s="1"/>
  <c r="T110" i="2"/>
  <c r="V110" i="2"/>
  <c r="U110" i="2" s="1"/>
  <c r="X110" i="2"/>
  <c r="W110" i="2" s="1"/>
  <c r="AC110" i="2"/>
  <c r="AE110" i="2"/>
  <c r="AD110" i="2" s="1"/>
  <c r="AG110" i="2"/>
  <c r="T111" i="2"/>
  <c r="V111" i="2"/>
  <c r="U111" i="2" s="1"/>
  <c r="X111" i="2"/>
  <c r="W111" i="2" s="1"/>
  <c r="AC111" i="2"/>
  <c r="AE111" i="2"/>
  <c r="AD111" i="2" s="1"/>
  <c r="AG111" i="2"/>
  <c r="AF111" i="2" s="1"/>
  <c r="T112" i="2"/>
  <c r="V112" i="2"/>
  <c r="X112" i="2"/>
  <c r="W112" i="2" s="1"/>
  <c r="AC112" i="2"/>
  <c r="AE112" i="2"/>
  <c r="AD112" i="2" s="1"/>
  <c r="AG112" i="2"/>
  <c r="AF112" i="2" s="1"/>
  <c r="T113" i="2"/>
  <c r="V113" i="2"/>
  <c r="X113" i="2"/>
  <c r="W113" i="2" s="1"/>
  <c r="AC113" i="2"/>
  <c r="AE113" i="2"/>
  <c r="AG113" i="2"/>
  <c r="AF113" i="2" s="1"/>
  <c r="T114" i="2"/>
  <c r="V114" i="2"/>
  <c r="U114" i="2" s="1"/>
  <c r="X114" i="2"/>
  <c r="W114" i="2" s="1"/>
  <c r="AC114" i="2"/>
  <c r="AE114" i="2"/>
  <c r="AD114" i="2" s="1"/>
  <c r="AG114" i="2"/>
  <c r="T115" i="2"/>
  <c r="V115" i="2"/>
  <c r="U115" i="2" s="1"/>
  <c r="X115" i="2"/>
  <c r="W115" i="2" s="1"/>
  <c r="AC115" i="2"/>
  <c r="AE115" i="2"/>
  <c r="AD115" i="2" s="1"/>
  <c r="AG115" i="2"/>
  <c r="AF115" i="2" s="1"/>
  <c r="T116" i="2"/>
  <c r="V116" i="2"/>
  <c r="U116" i="2" s="1"/>
  <c r="X116" i="2"/>
  <c r="W116" i="2" s="1"/>
  <c r="AC116" i="2"/>
  <c r="AE116" i="2"/>
  <c r="AD116" i="2" s="1"/>
  <c r="AG116" i="2"/>
  <c r="AF116" i="2" s="1"/>
  <c r="AI116" i="2"/>
  <c r="AJ116" i="2" s="1"/>
  <c r="T117" i="2"/>
  <c r="V117" i="2"/>
  <c r="X117" i="2"/>
  <c r="W117" i="2" s="1"/>
  <c r="AC117" i="2"/>
  <c r="AE117" i="2"/>
  <c r="AG117" i="2"/>
  <c r="AF117" i="2" s="1"/>
  <c r="T118" i="2"/>
  <c r="V118" i="2"/>
  <c r="U118" i="2" s="1"/>
  <c r="X118" i="2"/>
  <c r="W118" i="2" s="1"/>
  <c r="AC118" i="2"/>
  <c r="AE118" i="2"/>
  <c r="AD118" i="2" s="1"/>
  <c r="AG118" i="2"/>
  <c r="T119" i="2"/>
  <c r="V119" i="2"/>
  <c r="U119" i="2" s="1"/>
  <c r="X119" i="2"/>
  <c r="W119" i="2" s="1"/>
  <c r="AC119" i="2"/>
  <c r="AE119" i="2"/>
  <c r="AD119" i="2" s="1"/>
  <c r="AG119" i="2"/>
  <c r="AF119" i="2" s="1"/>
  <c r="T120" i="2"/>
  <c r="V120" i="2"/>
  <c r="U120" i="2" s="1"/>
  <c r="X120" i="2"/>
  <c r="W120" i="2" s="1"/>
  <c r="AC120" i="2"/>
  <c r="AE120" i="2"/>
  <c r="AG120" i="2"/>
  <c r="AF120" i="2" s="1"/>
  <c r="T121" i="2"/>
  <c r="V121" i="2"/>
  <c r="X121" i="2"/>
  <c r="W121" i="2" s="1"/>
  <c r="AC121" i="2"/>
  <c r="AE121" i="2"/>
  <c r="AG121" i="2"/>
  <c r="AF121" i="2" s="1"/>
  <c r="T122" i="2"/>
  <c r="V122" i="2"/>
  <c r="U122" i="2" s="1"/>
  <c r="X122" i="2"/>
  <c r="W122" i="2" s="1"/>
  <c r="AC122" i="2"/>
  <c r="AE122" i="2"/>
  <c r="AD122" i="2" s="1"/>
  <c r="AG122" i="2"/>
  <c r="AF122" i="2" s="1"/>
  <c r="T123" i="2"/>
  <c r="V123" i="2"/>
  <c r="U123" i="2" s="1"/>
  <c r="X123" i="2"/>
  <c r="W123" i="2" s="1"/>
  <c r="AC123" i="2"/>
  <c r="AE123" i="2"/>
  <c r="AD123" i="2" s="1"/>
  <c r="AG123" i="2"/>
  <c r="AF123" i="2" s="1"/>
  <c r="T124" i="2"/>
  <c r="V124" i="2"/>
  <c r="U124" i="2" s="1"/>
  <c r="X124" i="2"/>
  <c r="W124" i="2" s="1"/>
  <c r="AC124" i="2"/>
  <c r="AE124" i="2"/>
  <c r="AD124" i="2" s="1"/>
  <c r="AG124" i="2"/>
  <c r="AF124" i="2" s="1"/>
  <c r="T125" i="2"/>
  <c r="V125" i="2"/>
  <c r="X125" i="2"/>
  <c r="W125" i="2" s="1"/>
  <c r="AC125" i="2"/>
  <c r="AE125" i="2"/>
  <c r="AG125" i="2"/>
  <c r="AF125" i="2" s="1"/>
  <c r="T126" i="2"/>
  <c r="V126" i="2"/>
  <c r="U126" i="2" s="1"/>
  <c r="X126" i="2"/>
  <c r="W126" i="2" s="1"/>
  <c r="Z126" i="2"/>
  <c r="AA126" i="2" s="1"/>
  <c r="AC126" i="2"/>
  <c r="AE126" i="2"/>
  <c r="AD126" i="2" s="1"/>
  <c r="AG126" i="2"/>
  <c r="AE99" i="2"/>
  <c r="V99" i="2"/>
  <c r="U99" i="2" s="1"/>
  <c r="AC99" i="2"/>
  <c r="T99" i="2"/>
  <c r="V69" i="2"/>
  <c r="U69" i="2" s="1"/>
  <c r="X69" i="2"/>
  <c r="W69" i="2" s="1"/>
  <c r="AE69" i="2"/>
  <c r="AD69" i="2" s="1"/>
  <c r="AG69" i="2"/>
  <c r="AF69" i="2" s="1"/>
  <c r="V70" i="2"/>
  <c r="U70" i="2" s="1"/>
  <c r="X70" i="2"/>
  <c r="W70" i="2" s="1"/>
  <c r="AE70" i="2"/>
  <c r="AD70" i="2" s="1"/>
  <c r="AG70" i="2"/>
  <c r="AF70" i="2" s="1"/>
  <c r="V71" i="2"/>
  <c r="U71" i="2" s="1"/>
  <c r="X71" i="2"/>
  <c r="W71" i="2" s="1"/>
  <c r="AE71" i="2"/>
  <c r="AD71" i="2" s="1"/>
  <c r="AG71" i="2"/>
  <c r="AF71" i="2" s="1"/>
  <c r="V72" i="2"/>
  <c r="U72" i="2" s="1"/>
  <c r="X72" i="2"/>
  <c r="W72" i="2" s="1"/>
  <c r="AE72" i="2"/>
  <c r="AD72" i="2" s="1"/>
  <c r="AG72" i="2"/>
  <c r="AF72" i="2" s="1"/>
  <c r="V73" i="2"/>
  <c r="U73" i="2" s="1"/>
  <c r="X73" i="2"/>
  <c r="W73" i="2" s="1"/>
  <c r="AE73" i="2"/>
  <c r="AD73" i="2" s="1"/>
  <c r="AG73" i="2"/>
  <c r="AF73" i="2" s="1"/>
  <c r="V74" i="2"/>
  <c r="U74" i="2" s="1"/>
  <c r="X74" i="2"/>
  <c r="W74" i="2" s="1"/>
  <c r="AE74" i="2"/>
  <c r="AD74" i="2" s="1"/>
  <c r="AG74" i="2"/>
  <c r="AF74" i="2" s="1"/>
  <c r="V75" i="2"/>
  <c r="U75" i="2" s="1"/>
  <c r="X75" i="2"/>
  <c r="W75" i="2" s="1"/>
  <c r="AE75" i="2"/>
  <c r="AD75" i="2" s="1"/>
  <c r="AG75" i="2"/>
  <c r="AF75" i="2" s="1"/>
  <c r="V76" i="2"/>
  <c r="U76" i="2" s="1"/>
  <c r="W76" i="2"/>
  <c r="X76" i="2"/>
  <c r="AE76" i="2"/>
  <c r="AD76" i="2" s="1"/>
  <c r="AG76" i="2"/>
  <c r="AF76" i="2" s="1"/>
  <c r="V77" i="2"/>
  <c r="U77" i="2" s="1"/>
  <c r="X77" i="2"/>
  <c r="W77" i="2" s="1"/>
  <c r="AE77" i="2"/>
  <c r="AD77" i="2" s="1"/>
  <c r="AG77" i="2"/>
  <c r="AF77" i="2" s="1"/>
  <c r="V78" i="2"/>
  <c r="U78" i="2" s="1"/>
  <c r="X78" i="2"/>
  <c r="W78" i="2" s="1"/>
  <c r="AE78" i="2"/>
  <c r="AD78" i="2" s="1"/>
  <c r="AG78" i="2"/>
  <c r="AF78" i="2" s="1"/>
  <c r="V79" i="2"/>
  <c r="U79" i="2" s="1"/>
  <c r="X79" i="2"/>
  <c r="W79" i="2" s="1"/>
  <c r="AE79" i="2"/>
  <c r="AD79" i="2" s="1"/>
  <c r="AG79" i="2"/>
  <c r="AF79" i="2" s="1"/>
  <c r="V80" i="2"/>
  <c r="U80" i="2" s="1"/>
  <c r="X80" i="2"/>
  <c r="W80" i="2" s="1"/>
  <c r="AE80" i="2"/>
  <c r="AD80" i="2" s="1"/>
  <c r="AG80" i="2"/>
  <c r="AF80" i="2" s="1"/>
  <c r="V81" i="2"/>
  <c r="U81" i="2" s="1"/>
  <c r="X81" i="2"/>
  <c r="W81" i="2" s="1"/>
  <c r="AE81" i="2"/>
  <c r="AD81" i="2" s="1"/>
  <c r="AG81" i="2"/>
  <c r="AF81" i="2" s="1"/>
  <c r="V82" i="2"/>
  <c r="U82" i="2" s="1"/>
  <c r="X82" i="2"/>
  <c r="W82" i="2" s="1"/>
  <c r="AE82" i="2"/>
  <c r="AD82" i="2" s="1"/>
  <c r="AG82" i="2"/>
  <c r="AF82" i="2" s="1"/>
  <c r="V83" i="2"/>
  <c r="U83" i="2" s="1"/>
  <c r="X83" i="2"/>
  <c r="W83" i="2" s="1"/>
  <c r="AE83" i="2"/>
  <c r="AD83" i="2" s="1"/>
  <c r="AG83" i="2"/>
  <c r="AF83" i="2" s="1"/>
  <c r="V84" i="2"/>
  <c r="U84" i="2" s="1"/>
  <c r="X84" i="2"/>
  <c r="W84" i="2" s="1"/>
  <c r="AE84" i="2"/>
  <c r="AD84" i="2" s="1"/>
  <c r="AG84" i="2"/>
  <c r="AF84" i="2" s="1"/>
  <c r="V85" i="2"/>
  <c r="U85" i="2" s="1"/>
  <c r="X85" i="2"/>
  <c r="W85" i="2" s="1"/>
  <c r="AE85" i="2"/>
  <c r="AD85" i="2" s="1"/>
  <c r="AG85" i="2"/>
  <c r="AF85" i="2" s="1"/>
  <c r="V86" i="2"/>
  <c r="U86" i="2" s="1"/>
  <c r="X86" i="2"/>
  <c r="W86" i="2" s="1"/>
  <c r="AE86" i="2"/>
  <c r="AD86" i="2" s="1"/>
  <c r="AG86" i="2"/>
  <c r="AF86" i="2" s="1"/>
  <c r="V87" i="2"/>
  <c r="U87" i="2" s="1"/>
  <c r="X87" i="2"/>
  <c r="W87" i="2" s="1"/>
  <c r="AE87" i="2"/>
  <c r="AD87" i="2" s="1"/>
  <c r="AG87" i="2"/>
  <c r="AF87" i="2" s="1"/>
  <c r="V88" i="2"/>
  <c r="U88" i="2" s="1"/>
  <c r="X88" i="2"/>
  <c r="W88" i="2" s="1"/>
  <c r="AE88" i="2"/>
  <c r="AD88" i="2" s="1"/>
  <c r="AG88" i="2"/>
  <c r="AF88" i="2" s="1"/>
  <c r="V89" i="2"/>
  <c r="U89" i="2" s="1"/>
  <c r="X89" i="2"/>
  <c r="W89" i="2" s="1"/>
  <c r="AE89" i="2"/>
  <c r="AD89" i="2" s="1"/>
  <c r="AG89" i="2"/>
  <c r="AF89" i="2" s="1"/>
  <c r="V90" i="2"/>
  <c r="U90" i="2" s="1"/>
  <c r="X90" i="2"/>
  <c r="W90" i="2" s="1"/>
  <c r="AE90" i="2"/>
  <c r="AD90" i="2" s="1"/>
  <c r="AG90" i="2"/>
  <c r="AF90" i="2" s="1"/>
  <c r="V91" i="2"/>
  <c r="U91" i="2" s="1"/>
  <c r="X91" i="2"/>
  <c r="W91" i="2" s="1"/>
  <c r="AE91" i="2"/>
  <c r="AD91" i="2" s="1"/>
  <c r="AG91" i="2"/>
  <c r="AF91" i="2" s="1"/>
  <c r="V92" i="2"/>
  <c r="U92" i="2" s="1"/>
  <c r="X92" i="2"/>
  <c r="W92" i="2" s="1"/>
  <c r="AE92" i="2"/>
  <c r="AD92" i="2" s="1"/>
  <c r="AG92" i="2"/>
  <c r="AF92" i="2" s="1"/>
  <c r="V93" i="2"/>
  <c r="U93" i="2" s="1"/>
  <c r="X93" i="2"/>
  <c r="W93" i="2" s="1"/>
  <c r="AE93" i="2"/>
  <c r="AD93" i="2" s="1"/>
  <c r="AG93" i="2"/>
  <c r="AF93" i="2" s="1"/>
  <c r="V94" i="2"/>
  <c r="U94" i="2" s="1"/>
  <c r="X94" i="2"/>
  <c r="W94" i="2" s="1"/>
  <c r="AE94" i="2"/>
  <c r="AD94" i="2" s="1"/>
  <c r="AG94" i="2"/>
  <c r="AF94" i="2" s="1"/>
  <c r="V95" i="2"/>
  <c r="U95" i="2" s="1"/>
  <c r="X95" i="2"/>
  <c r="W95" i="2" s="1"/>
  <c r="AE95" i="2"/>
  <c r="AD95" i="2" s="1"/>
  <c r="AG95" i="2"/>
  <c r="AF95" i="2" s="1"/>
  <c r="V38" i="2"/>
  <c r="U38" i="2" s="1"/>
  <c r="X38" i="2"/>
  <c r="W38" i="2" s="1"/>
  <c r="AE38" i="2"/>
  <c r="AG38" i="2"/>
  <c r="AF38" i="2" s="1"/>
  <c r="V39" i="2"/>
  <c r="U39" i="2" s="1"/>
  <c r="X39" i="2"/>
  <c r="W39" i="2" s="1"/>
  <c r="AE39" i="2"/>
  <c r="AG39" i="2"/>
  <c r="AF39" i="2" s="1"/>
  <c r="V40" i="2"/>
  <c r="U40" i="2" s="1"/>
  <c r="X40" i="2"/>
  <c r="W40" i="2" s="1"/>
  <c r="AE40" i="2"/>
  <c r="AG40" i="2"/>
  <c r="AF40" i="2" s="1"/>
  <c r="V41" i="2"/>
  <c r="U41" i="2" s="1"/>
  <c r="X41" i="2"/>
  <c r="W41" i="2" s="1"/>
  <c r="AE41" i="2"/>
  <c r="AG41" i="2"/>
  <c r="AF41" i="2" s="1"/>
  <c r="V42" i="2"/>
  <c r="U42" i="2" s="1"/>
  <c r="X42" i="2"/>
  <c r="W42" i="2" s="1"/>
  <c r="AE42" i="2"/>
  <c r="AG42" i="2"/>
  <c r="AF42" i="2" s="1"/>
  <c r="V43" i="2"/>
  <c r="U43" i="2" s="1"/>
  <c r="X43" i="2"/>
  <c r="W43" i="2" s="1"/>
  <c r="AE43" i="2"/>
  <c r="AG43" i="2"/>
  <c r="AF43" i="2" s="1"/>
  <c r="V44" i="2"/>
  <c r="U44" i="2" s="1"/>
  <c r="X44" i="2"/>
  <c r="W44" i="2" s="1"/>
  <c r="AE44" i="2"/>
  <c r="AG44" i="2"/>
  <c r="AF44" i="2" s="1"/>
  <c r="V45" i="2"/>
  <c r="U45" i="2" s="1"/>
  <c r="X45" i="2"/>
  <c r="W45" i="2" s="1"/>
  <c r="AE45" i="2"/>
  <c r="AG45" i="2"/>
  <c r="AF45" i="2" s="1"/>
  <c r="V46" i="2"/>
  <c r="U46" i="2" s="1"/>
  <c r="X46" i="2"/>
  <c r="W46" i="2" s="1"/>
  <c r="AE46" i="2"/>
  <c r="AG46" i="2"/>
  <c r="AF46" i="2" s="1"/>
  <c r="V47" i="2"/>
  <c r="U47" i="2" s="1"/>
  <c r="X47" i="2"/>
  <c r="W47" i="2" s="1"/>
  <c r="AE47" i="2"/>
  <c r="AG47" i="2"/>
  <c r="AF47" i="2" s="1"/>
  <c r="V48" i="2"/>
  <c r="U48" i="2" s="1"/>
  <c r="X48" i="2"/>
  <c r="W48" i="2" s="1"/>
  <c r="AE48" i="2"/>
  <c r="AG48" i="2"/>
  <c r="AF48" i="2" s="1"/>
  <c r="V49" i="2"/>
  <c r="U49" i="2" s="1"/>
  <c r="X49" i="2"/>
  <c r="W49" i="2" s="1"/>
  <c r="AE49" i="2"/>
  <c r="AG49" i="2"/>
  <c r="AF49" i="2" s="1"/>
  <c r="V50" i="2"/>
  <c r="U50" i="2" s="1"/>
  <c r="X50" i="2"/>
  <c r="W50" i="2" s="1"/>
  <c r="AE50" i="2"/>
  <c r="AG50" i="2"/>
  <c r="AF50" i="2" s="1"/>
  <c r="V51" i="2"/>
  <c r="U51" i="2" s="1"/>
  <c r="X51" i="2"/>
  <c r="W51" i="2" s="1"/>
  <c r="AE51" i="2"/>
  <c r="AG51" i="2"/>
  <c r="AF51" i="2" s="1"/>
  <c r="V52" i="2"/>
  <c r="U52" i="2" s="1"/>
  <c r="X52" i="2"/>
  <c r="W52" i="2" s="1"/>
  <c r="AE52" i="2"/>
  <c r="AD52" i="2" s="1"/>
  <c r="AG52" i="2"/>
  <c r="AF52" i="2" s="1"/>
  <c r="V53" i="2"/>
  <c r="U53" i="2" s="1"/>
  <c r="X53" i="2"/>
  <c r="W53" i="2" s="1"/>
  <c r="AE53" i="2"/>
  <c r="AD53" i="2" s="1"/>
  <c r="AG53" i="2"/>
  <c r="AF53" i="2" s="1"/>
  <c r="V54" i="2"/>
  <c r="U54" i="2" s="1"/>
  <c r="X54" i="2"/>
  <c r="W54" i="2" s="1"/>
  <c r="AE54" i="2"/>
  <c r="AD54" i="2" s="1"/>
  <c r="AG54" i="2"/>
  <c r="AF54" i="2" s="1"/>
  <c r="V55" i="2"/>
  <c r="U55" i="2" s="1"/>
  <c r="X55" i="2"/>
  <c r="W55" i="2" s="1"/>
  <c r="AE55" i="2"/>
  <c r="AD55" i="2" s="1"/>
  <c r="AG55" i="2"/>
  <c r="AF55" i="2" s="1"/>
  <c r="V56" i="2"/>
  <c r="U56" i="2" s="1"/>
  <c r="X56" i="2"/>
  <c r="W56" i="2" s="1"/>
  <c r="AE56" i="2"/>
  <c r="AD56" i="2" s="1"/>
  <c r="AG56" i="2"/>
  <c r="AF56" i="2" s="1"/>
  <c r="V57" i="2"/>
  <c r="U57" i="2" s="1"/>
  <c r="X57" i="2"/>
  <c r="W57" i="2" s="1"/>
  <c r="AE57" i="2"/>
  <c r="AD57" i="2" s="1"/>
  <c r="AG57" i="2"/>
  <c r="AF57" i="2" s="1"/>
  <c r="V58" i="2"/>
  <c r="U58" i="2" s="1"/>
  <c r="X58" i="2"/>
  <c r="W58" i="2" s="1"/>
  <c r="AE58" i="2"/>
  <c r="AD58" i="2" s="1"/>
  <c r="AG58" i="2"/>
  <c r="AF58" i="2" s="1"/>
  <c r="V59" i="2"/>
  <c r="U59" i="2" s="1"/>
  <c r="X59" i="2"/>
  <c r="W59" i="2" s="1"/>
  <c r="AE59" i="2"/>
  <c r="AD59" i="2" s="1"/>
  <c r="AG59" i="2"/>
  <c r="AF59" i="2" s="1"/>
  <c r="V60" i="2"/>
  <c r="U60" i="2" s="1"/>
  <c r="X60" i="2"/>
  <c r="W60" i="2" s="1"/>
  <c r="AE60" i="2"/>
  <c r="AD60" i="2" s="1"/>
  <c r="AG60" i="2"/>
  <c r="AF60" i="2" s="1"/>
  <c r="V61" i="2"/>
  <c r="U61" i="2" s="1"/>
  <c r="X61" i="2"/>
  <c r="W61" i="2" s="1"/>
  <c r="AE61" i="2"/>
  <c r="AD61" i="2" s="1"/>
  <c r="AG61" i="2"/>
  <c r="AF61" i="2" s="1"/>
  <c r="V62" i="2"/>
  <c r="U62" i="2" s="1"/>
  <c r="X62" i="2"/>
  <c r="W62" i="2" s="1"/>
  <c r="AE62" i="2"/>
  <c r="AD62" i="2" s="1"/>
  <c r="AG62" i="2"/>
  <c r="AF62" i="2" s="1"/>
  <c r="V63" i="2"/>
  <c r="U63" i="2" s="1"/>
  <c r="X63" i="2"/>
  <c r="W63" i="2" s="1"/>
  <c r="AE63" i="2"/>
  <c r="AD63" i="2" s="1"/>
  <c r="AG63" i="2"/>
  <c r="AF63" i="2" s="1"/>
  <c r="V64" i="2"/>
  <c r="U64" i="2" s="1"/>
  <c r="X64" i="2"/>
  <c r="W64" i="2" s="1"/>
  <c r="AE64" i="2"/>
  <c r="AD64" i="2" s="1"/>
  <c r="AG64" i="2"/>
  <c r="AF64" i="2" s="1"/>
  <c r="AE68" i="2"/>
  <c r="V68" i="2"/>
  <c r="U68" i="2" s="1"/>
  <c r="V37" i="2"/>
  <c r="U37" i="2" s="1"/>
  <c r="AE37" i="2"/>
  <c r="AG720" i="2"/>
  <c r="AF720" i="2" s="1"/>
  <c r="X720" i="2"/>
  <c r="W720" i="2" s="1"/>
  <c r="AG689" i="2"/>
  <c r="AF689" i="2" s="1"/>
  <c r="AD689" i="2"/>
  <c r="X689" i="2"/>
  <c r="W689" i="2" s="1"/>
  <c r="U689" i="2"/>
  <c r="AG658" i="2"/>
  <c r="AF658" i="2" s="1"/>
  <c r="AD658" i="2"/>
  <c r="X658" i="2"/>
  <c r="W658" i="2" s="1"/>
  <c r="AG627" i="2"/>
  <c r="AF627" i="2" s="1"/>
  <c r="AD627" i="2"/>
  <c r="X627" i="2"/>
  <c r="W627" i="2" s="1"/>
  <c r="AG596" i="2"/>
  <c r="AF596" i="2" s="1"/>
  <c r="X596" i="2"/>
  <c r="W596" i="2" s="1"/>
  <c r="AG565" i="2"/>
  <c r="AF565" i="2" s="1"/>
  <c r="X565" i="2"/>
  <c r="W565" i="2" s="1"/>
  <c r="AG534" i="2"/>
  <c r="AF534" i="2" s="1"/>
  <c r="AD534" i="2"/>
  <c r="X534" i="2"/>
  <c r="W534" i="2" s="1"/>
  <c r="U534" i="2"/>
  <c r="AG503" i="2"/>
  <c r="AF503" i="2" s="1"/>
  <c r="AD503" i="2"/>
  <c r="X503" i="2"/>
  <c r="W503" i="2" s="1"/>
  <c r="U503" i="2"/>
  <c r="AG472" i="2"/>
  <c r="AF472" i="2" s="1"/>
  <c r="AD472" i="2"/>
  <c r="X472" i="2"/>
  <c r="W472" i="2" s="1"/>
  <c r="U472" i="2"/>
  <c r="AG441" i="2"/>
  <c r="AF441" i="2" s="1"/>
  <c r="AD441" i="2"/>
  <c r="X441" i="2"/>
  <c r="W441" i="2" s="1"/>
  <c r="AG410" i="2"/>
  <c r="AF410" i="2" s="1"/>
  <c r="AD410" i="2"/>
  <c r="X410" i="2"/>
  <c r="W410" i="2" s="1"/>
  <c r="U410" i="2"/>
  <c r="AG379" i="2"/>
  <c r="AF379" i="2" s="1"/>
  <c r="AD379" i="2"/>
  <c r="X379" i="2"/>
  <c r="W379" i="2" s="1"/>
  <c r="U379" i="2"/>
  <c r="AG347" i="2"/>
  <c r="AF347" i="2" s="1"/>
  <c r="X347" i="2"/>
  <c r="W347" i="2" s="1"/>
  <c r="U347" i="2"/>
  <c r="AG316" i="2"/>
  <c r="AF316" i="2" s="1"/>
  <c r="AD316" i="2"/>
  <c r="X316" i="2"/>
  <c r="W316" i="2" s="1"/>
  <c r="AG285" i="2"/>
  <c r="AF285" i="2" s="1"/>
  <c r="X285" i="2"/>
  <c r="W285" i="2" s="1"/>
  <c r="U285" i="2"/>
  <c r="AG254" i="2"/>
  <c r="AF254" i="2" s="1"/>
  <c r="X254" i="2"/>
  <c r="W254" i="2" s="1"/>
  <c r="U254" i="2"/>
  <c r="AG223" i="2"/>
  <c r="AF223" i="2" s="1"/>
  <c r="X223" i="2"/>
  <c r="W223" i="2" s="1"/>
  <c r="AG192" i="2"/>
  <c r="AF192" i="2" s="1"/>
  <c r="X192" i="2"/>
  <c r="W192" i="2" s="1"/>
  <c r="U192" i="2"/>
  <c r="AG161" i="2"/>
  <c r="AF161" i="2" s="1"/>
  <c r="AD161" i="2"/>
  <c r="X161" i="2"/>
  <c r="W161" i="2" s="1"/>
  <c r="AG130" i="2"/>
  <c r="AF130" i="2" s="1"/>
  <c r="AD130" i="2"/>
  <c r="X130" i="2"/>
  <c r="W130" i="2" s="1"/>
  <c r="Z130" i="2"/>
  <c r="AA130" i="2" s="1"/>
  <c r="AG99" i="2"/>
  <c r="AF99" i="2" s="1"/>
  <c r="AD99" i="2"/>
  <c r="X99" i="2"/>
  <c r="W99" i="2" s="1"/>
  <c r="AG68" i="2"/>
  <c r="AF68" i="2" s="1"/>
  <c r="X68" i="2"/>
  <c r="W68" i="2" s="1"/>
  <c r="AG37" i="2"/>
  <c r="AF37" i="2" s="1"/>
  <c r="AD37" i="2"/>
  <c r="X37" i="2"/>
  <c r="W37" i="2" s="1"/>
  <c r="V7" i="2"/>
  <c r="U7" i="2" s="1"/>
  <c r="X7" i="2"/>
  <c r="W7" i="2" s="1"/>
  <c r="AE7" i="2"/>
  <c r="AD7" i="2" s="1"/>
  <c r="AG7" i="2"/>
  <c r="AF7" i="2" s="1"/>
  <c r="V8" i="2"/>
  <c r="U8" i="2" s="1"/>
  <c r="X8" i="2"/>
  <c r="W8" i="2" s="1"/>
  <c r="AE8" i="2"/>
  <c r="AD8" i="2" s="1"/>
  <c r="AG8" i="2"/>
  <c r="AF8" i="2" s="1"/>
  <c r="V9" i="2"/>
  <c r="U9" i="2" s="1"/>
  <c r="X9" i="2"/>
  <c r="W9" i="2" s="1"/>
  <c r="AE9" i="2"/>
  <c r="AD9" i="2" s="1"/>
  <c r="AG9" i="2"/>
  <c r="AF9" i="2" s="1"/>
  <c r="V10" i="2"/>
  <c r="U10" i="2" s="1"/>
  <c r="X10" i="2"/>
  <c r="W10" i="2" s="1"/>
  <c r="AE10" i="2"/>
  <c r="AD10" i="2" s="1"/>
  <c r="AG10" i="2"/>
  <c r="AF10" i="2" s="1"/>
  <c r="V11" i="2"/>
  <c r="U11" i="2" s="1"/>
  <c r="X11" i="2"/>
  <c r="W11" i="2" s="1"/>
  <c r="AE11" i="2"/>
  <c r="AD11" i="2" s="1"/>
  <c r="AG11" i="2"/>
  <c r="AF11" i="2" s="1"/>
  <c r="V12" i="2"/>
  <c r="U12" i="2" s="1"/>
  <c r="X12" i="2"/>
  <c r="W12" i="2" s="1"/>
  <c r="AE12" i="2"/>
  <c r="AD12" i="2" s="1"/>
  <c r="AG12" i="2"/>
  <c r="AF12" i="2" s="1"/>
  <c r="V13" i="2"/>
  <c r="U13" i="2" s="1"/>
  <c r="X13" i="2"/>
  <c r="W13" i="2" s="1"/>
  <c r="AE13" i="2"/>
  <c r="AD13" i="2" s="1"/>
  <c r="AG13" i="2"/>
  <c r="AF13" i="2" s="1"/>
  <c r="V14" i="2"/>
  <c r="U14" i="2" s="1"/>
  <c r="X14" i="2"/>
  <c r="W14" i="2" s="1"/>
  <c r="AE14" i="2"/>
  <c r="AD14" i="2" s="1"/>
  <c r="AG14" i="2"/>
  <c r="AF14" i="2" s="1"/>
  <c r="V15" i="2"/>
  <c r="U15" i="2" s="1"/>
  <c r="X15" i="2"/>
  <c r="W15" i="2" s="1"/>
  <c r="AE15" i="2"/>
  <c r="AD15" i="2" s="1"/>
  <c r="AG15" i="2"/>
  <c r="AF15" i="2" s="1"/>
  <c r="V16" i="2"/>
  <c r="U16" i="2" s="1"/>
  <c r="X16" i="2"/>
  <c r="W16" i="2" s="1"/>
  <c r="AE16" i="2"/>
  <c r="AD16" i="2" s="1"/>
  <c r="AG16" i="2"/>
  <c r="AF16" i="2" s="1"/>
  <c r="V17" i="2"/>
  <c r="U17" i="2" s="1"/>
  <c r="X17" i="2"/>
  <c r="W17" i="2" s="1"/>
  <c r="AE17" i="2"/>
  <c r="AD17" i="2" s="1"/>
  <c r="AG17" i="2"/>
  <c r="AF17" i="2" s="1"/>
  <c r="V18" i="2"/>
  <c r="U18" i="2" s="1"/>
  <c r="X18" i="2"/>
  <c r="W18" i="2" s="1"/>
  <c r="AE18" i="2"/>
  <c r="AD18" i="2" s="1"/>
  <c r="AG18" i="2"/>
  <c r="AF18" i="2" s="1"/>
  <c r="V19" i="2"/>
  <c r="U19" i="2" s="1"/>
  <c r="X19" i="2"/>
  <c r="W19" i="2" s="1"/>
  <c r="AE19" i="2"/>
  <c r="AD19" i="2" s="1"/>
  <c r="AG19" i="2"/>
  <c r="AF19" i="2" s="1"/>
  <c r="V20" i="2"/>
  <c r="U20" i="2" s="1"/>
  <c r="X20" i="2"/>
  <c r="W20" i="2" s="1"/>
  <c r="AE20" i="2"/>
  <c r="AD20" i="2" s="1"/>
  <c r="AG20" i="2"/>
  <c r="AF20" i="2" s="1"/>
  <c r="V21" i="2"/>
  <c r="U21" i="2" s="1"/>
  <c r="X21" i="2"/>
  <c r="W21" i="2" s="1"/>
  <c r="AE21" i="2"/>
  <c r="AD21" i="2" s="1"/>
  <c r="AG21" i="2"/>
  <c r="AF21" i="2" s="1"/>
  <c r="V22" i="2"/>
  <c r="U22" i="2" s="1"/>
  <c r="X22" i="2"/>
  <c r="W22" i="2" s="1"/>
  <c r="AE22" i="2"/>
  <c r="AD22" i="2" s="1"/>
  <c r="AG22" i="2"/>
  <c r="AF22" i="2" s="1"/>
  <c r="V23" i="2"/>
  <c r="U23" i="2" s="1"/>
  <c r="X23" i="2"/>
  <c r="W23" i="2" s="1"/>
  <c r="AE23" i="2"/>
  <c r="AD23" i="2" s="1"/>
  <c r="AG23" i="2"/>
  <c r="AF23" i="2" s="1"/>
  <c r="V24" i="2"/>
  <c r="U24" i="2" s="1"/>
  <c r="X24" i="2"/>
  <c r="W24" i="2" s="1"/>
  <c r="AE24" i="2"/>
  <c r="AD24" i="2" s="1"/>
  <c r="AG24" i="2"/>
  <c r="AF24" i="2" s="1"/>
  <c r="V25" i="2"/>
  <c r="U25" i="2" s="1"/>
  <c r="X25" i="2"/>
  <c r="W25" i="2" s="1"/>
  <c r="AE25" i="2"/>
  <c r="AD25" i="2" s="1"/>
  <c r="AG25" i="2"/>
  <c r="AF25" i="2" s="1"/>
  <c r="V26" i="2"/>
  <c r="U26" i="2" s="1"/>
  <c r="X26" i="2"/>
  <c r="W26" i="2" s="1"/>
  <c r="AE26" i="2"/>
  <c r="AD26" i="2" s="1"/>
  <c r="AG26" i="2"/>
  <c r="AF26" i="2" s="1"/>
  <c r="V27" i="2"/>
  <c r="U27" i="2" s="1"/>
  <c r="X27" i="2"/>
  <c r="W27" i="2" s="1"/>
  <c r="AE27" i="2"/>
  <c r="AD27" i="2" s="1"/>
  <c r="AG27" i="2"/>
  <c r="AF27" i="2" s="1"/>
  <c r="V28" i="2"/>
  <c r="U28" i="2" s="1"/>
  <c r="X28" i="2"/>
  <c r="W28" i="2" s="1"/>
  <c r="AE28" i="2"/>
  <c r="AD28" i="2" s="1"/>
  <c r="AG28" i="2"/>
  <c r="AF28" i="2" s="1"/>
  <c r="V29" i="2"/>
  <c r="U29" i="2" s="1"/>
  <c r="X29" i="2"/>
  <c r="W29" i="2" s="1"/>
  <c r="AE29" i="2"/>
  <c r="AD29" i="2" s="1"/>
  <c r="AG29" i="2"/>
  <c r="AF29" i="2" s="1"/>
  <c r="V30" i="2"/>
  <c r="U30" i="2" s="1"/>
  <c r="X30" i="2"/>
  <c r="W30" i="2" s="1"/>
  <c r="AE30" i="2"/>
  <c r="AD30" i="2" s="1"/>
  <c r="AG30" i="2"/>
  <c r="AF30" i="2" s="1"/>
  <c r="V31" i="2"/>
  <c r="U31" i="2" s="1"/>
  <c r="X31" i="2"/>
  <c r="W31" i="2" s="1"/>
  <c r="AE31" i="2"/>
  <c r="AD31" i="2" s="1"/>
  <c r="AG31" i="2"/>
  <c r="AF31" i="2" s="1"/>
  <c r="V32" i="2"/>
  <c r="U32" i="2" s="1"/>
  <c r="X32" i="2"/>
  <c r="W32" i="2" s="1"/>
  <c r="AE32" i="2"/>
  <c r="AD32" i="2" s="1"/>
  <c r="AG32" i="2"/>
  <c r="AF32" i="2" s="1"/>
  <c r="V33" i="2"/>
  <c r="U33" i="2" s="1"/>
  <c r="X33" i="2"/>
  <c r="W33" i="2" s="1"/>
  <c r="AE33" i="2"/>
  <c r="AD33" i="2" s="1"/>
  <c r="AG33" i="2"/>
  <c r="AF33" i="2" s="1"/>
  <c r="AL32" i="4"/>
  <c r="AL33" i="4"/>
  <c r="AL34" i="4"/>
  <c r="AL35" i="4"/>
  <c r="AL36" i="4"/>
  <c r="AL37" i="4"/>
  <c r="AL23" i="4"/>
  <c r="AL24" i="4"/>
  <c r="AL25" i="4"/>
  <c r="AL26" i="4"/>
  <c r="AL27" i="4"/>
  <c r="AL28" i="4"/>
  <c r="AL14" i="4"/>
  <c r="AL15" i="4"/>
  <c r="AL16" i="4"/>
  <c r="AL17" i="4"/>
  <c r="AL18" i="4"/>
  <c r="AL19" i="4"/>
  <c r="AL5" i="4"/>
  <c r="AL6" i="4"/>
  <c r="AL7" i="4"/>
  <c r="AL8" i="4"/>
  <c r="AL9" i="4"/>
  <c r="AL10" i="4"/>
  <c r="AB32" i="4"/>
  <c r="AB33" i="4"/>
  <c r="AB34" i="4"/>
  <c r="AB35" i="4"/>
  <c r="AB36" i="4"/>
  <c r="AB37" i="4"/>
  <c r="AB23" i="4"/>
  <c r="AB24" i="4"/>
  <c r="AB25" i="4"/>
  <c r="AB26" i="4"/>
  <c r="AB27" i="4"/>
  <c r="AB28" i="4"/>
  <c r="AB14" i="4"/>
  <c r="AB15" i="4"/>
  <c r="AB16" i="4"/>
  <c r="AB17" i="4"/>
  <c r="AB18" i="4"/>
  <c r="AB19" i="4"/>
  <c r="AB5" i="4"/>
  <c r="AB6" i="4"/>
  <c r="AB7" i="4"/>
  <c r="AB8" i="4"/>
  <c r="AB9" i="4"/>
  <c r="AB10" i="4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J44" i="23"/>
  <c r="AK44" i="23"/>
  <c r="AL44" i="23"/>
  <c r="AM44" i="23"/>
  <c r="AJ28" i="23"/>
  <c r="AK28" i="23"/>
  <c r="AL28" i="23"/>
  <c r="AM28" i="23"/>
  <c r="AJ53" i="23"/>
  <c r="AK53" i="23"/>
  <c r="AL53" i="23"/>
  <c r="AM53" i="23"/>
  <c r="AJ46" i="23"/>
  <c r="AK46" i="23"/>
  <c r="AL46" i="23"/>
  <c r="AM46" i="23"/>
  <c r="AJ18" i="23"/>
  <c r="AK18" i="23"/>
  <c r="AL18" i="23"/>
  <c r="AM18" i="23"/>
  <c r="AJ41" i="23"/>
  <c r="AK41" i="23"/>
  <c r="AL41" i="23"/>
  <c r="AM41" i="23"/>
  <c r="AJ37" i="23"/>
  <c r="AK37" i="23"/>
  <c r="AL37" i="23"/>
  <c r="AM37" i="23"/>
  <c r="AJ55" i="23"/>
  <c r="AK55" i="23"/>
  <c r="AL55" i="23"/>
  <c r="AM55" i="23"/>
  <c r="AJ43" i="23"/>
  <c r="AK43" i="23"/>
  <c r="AL43" i="23"/>
  <c r="AM43" i="23"/>
  <c r="AJ26" i="23"/>
  <c r="AK26" i="23"/>
  <c r="AL26" i="23"/>
  <c r="AM26" i="23"/>
  <c r="G62" i="17" l="1"/>
  <c r="E62" i="17"/>
  <c r="AH645" i="2"/>
  <c r="AI623" i="2"/>
  <c r="AJ623" i="2" s="1"/>
  <c r="AI607" i="2"/>
  <c r="AJ607" i="2" s="1"/>
  <c r="AI609" i="2"/>
  <c r="AJ609" i="2" s="1"/>
  <c r="AH608" i="2"/>
  <c r="AI615" i="2"/>
  <c r="AJ615" i="2" s="1"/>
  <c r="AI621" i="2"/>
  <c r="AJ621" i="2" s="1"/>
  <c r="Z607" i="2"/>
  <c r="AA607" i="2" s="1"/>
  <c r="Z619" i="2"/>
  <c r="AA619" i="2" s="1"/>
  <c r="Z603" i="2"/>
  <c r="AA603" i="2" s="1"/>
  <c r="Z565" i="2"/>
  <c r="AA565" i="2" s="1"/>
  <c r="AH544" i="2"/>
  <c r="Y537" i="2"/>
  <c r="AI490" i="2"/>
  <c r="AJ490" i="2" s="1"/>
  <c r="AI477" i="2"/>
  <c r="AJ477" i="2" s="1"/>
  <c r="Z478" i="2"/>
  <c r="AA478" i="2" s="1"/>
  <c r="Z477" i="2"/>
  <c r="AA477" i="2" s="1"/>
  <c r="AI456" i="2"/>
  <c r="AJ456" i="2" s="1"/>
  <c r="AI462" i="2"/>
  <c r="AJ462" i="2" s="1"/>
  <c r="Z444" i="2"/>
  <c r="AA444" i="2" s="1"/>
  <c r="AI411" i="2"/>
  <c r="AJ411" i="2" s="1"/>
  <c r="AI437" i="2"/>
  <c r="AJ437" i="2" s="1"/>
  <c r="AI405" i="2"/>
  <c r="AJ405" i="2" s="1"/>
  <c r="Z389" i="2"/>
  <c r="AA389" i="2" s="1"/>
  <c r="Z316" i="2"/>
  <c r="AA316" i="2" s="1"/>
  <c r="AI289" i="2"/>
  <c r="AJ289" i="2" s="1"/>
  <c r="AI299" i="2"/>
  <c r="AJ299" i="2" s="1"/>
  <c r="AI304" i="2"/>
  <c r="AJ304" i="2" s="1"/>
  <c r="Z301" i="2"/>
  <c r="AA301" i="2" s="1"/>
  <c r="Z297" i="2"/>
  <c r="AA297" i="2" s="1"/>
  <c r="AI208" i="2"/>
  <c r="AJ208" i="2" s="1"/>
  <c r="AI175" i="2"/>
  <c r="AJ175" i="2" s="1"/>
  <c r="AI177" i="2"/>
  <c r="AJ177" i="2" s="1"/>
  <c r="AI164" i="2"/>
  <c r="AJ164" i="2" s="1"/>
  <c r="Y172" i="2"/>
  <c r="AI133" i="2"/>
  <c r="AJ133" i="2" s="1"/>
  <c r="Y139" i="2"/>
  <c r="AI124" i="2"/>
  <c r="AJ124" i="2" s="1"/>
  <c r="AH119" i="2"/>
  <c r="AI115" i="2"/>
  <c r="AJ115" i="2" s="1"/>
  <c r="Y120" i="2"/>
  <c r="Y746" i="2"/>
  <c r="Y742" i="2"/>
  <c r="Y738" i="2"/>
  <c r="Y734" i="2"/>
  <c r="Y730" i="2"/>
  <c r="Y726" i="2"/>
  <c r="Y722" i="2"/>
  <c r="Y747" i="2"/>
  <c r="Y743" i="2"/>
  <c r="Y739" i="2"/>
  <c r="Y744" i="2"/>
  <c r="Y703" i="2"/>
  <c r="Y699" i="2"/>
  <c r="Y695" i="2"/>
  <c r="Y691" i="2"/>
  <c r="Y704" i="2"/>
  <c r="Y692" i="2"/>
  <c r="Y696" i="2"/>
  <c r="Y700" i="2"/>
  <c r="J62" i="17"/>
  <c r="Y680" i="2"/>
  <c r="Y664" i="2"/>
  <c r="Y668" i="2"/>
  <c r="Y685" i="2"/>
  <c r="Y681" i="2"/>
  <c r="Y677" i="2"/>
  <c r="Y672" i="2"/>
  <c r="Y676" i="2"/>
  <c r="Y684" i="2"/>
  <c r="Y660" i="2"/>
  <c r="Y646" i="2"/>
  <c r="Z620" i="2"/>
  <c r="AA620" i="2" s="1"/>
  <c r="Y612" i="2"/>
  <c r="Y611" i="2"/>
  <c r="Z623" i="2"/>
  <c r="AA623" i="2" s="1"/>
  <c r="Z616" i="2"/>
  <c r="AA616" i="2" s="1"/>
  <c r="Z615" i="2"/>
  <c r="AA615" i="2" s="1"/>
  <c r="Y600" i="2"/>
  <c r="Y599" i="2"/>
  <c r="Y608" i="2"/>
  <c r="Y616" i="2"/>
  <c r="Y620" i="2"/>
  <c r="Z612" i="2"/>
  <c r="AA612" i="2" s="1"/>
  <c r="Z611" i="2"/>
  <c r="AA611" i="2" s="1"/>
  <c r="Y592" i="2"/>
  <c r="Y588" i="2"/>
  <c r="Y584" i="2"/>
  <c r="Y542" i="2"/>
  <c r="Y538" i="2"/>
  <c r="Y544" i="2"/>
  <c r="Y549" i="2"/>
  <c r="Y524" i="2"/>
  <c r="Y528" i="2"/>
  <c r="Z489" i="2"/>
  <c r="AA489" i="2" s="1"/>
  <c r="Z476" i="2"/>
  <c r="AA476" i="2" s="1"/>
  <c r="Z496" i="2"/>
  <c r="AA496" i="2" s="1"/>
  <c r="Z473" i="2"/>
  <c r="AA473" i="2" s="1"/>
  <c r="Y445" i="2"/>
  <c r="H62" i="17"/>
  <c r="Y461" i="2"/>
  <c r="Z456" i="2"/>
  <c r="AA456" i="2" s="1"/>
  <c r="Z447" i="2"/>
  <c r="AA447" i="2" s="1"/>
  <c r="Y464" i="2"/>
  <c r="Z464" i="2"/>
  <c r="AA464" i="2" s="1"/>
  <c r="Z443" i="2"/>
  <c r="AA443" i="2" s="1"/>
  <c r="Z415" i="2"/>
  <c r="AA415" i="2" s="1"/>
  <c r="Z391" i="2"/>
  <c r="AA391" i="2" s="1"/>
  <c r="Z383" i="2"/>
  <c r="AA383" i="2" s="1"/>
  <c r="Y351" i="2"/>
  <c r="Y349" i="2"/>
  <c r="Y341" i="2"/>
  <c r="Y337" i="2"/>
  <c r="Y333" i="2"/>
  <c r="Y342" i="2"/>
  <c r="Y338" i="2"/>
  <c r="Y330" i="2"/>
  <c r="Z293" i="2"/>
  <c r="AA293" i="2" s="1"/>
  <c r="Z310" i="2"/>
  <c r="AA310" i="2" s="1"/>
  <c r="F62" i="17"/>
  <c r="W187" i="2"/>
  <c r="Y173" i="2"/>
  <c r="W165" i="2"/>
  <c r="Y155" i="2"/>
  <c r="Y151" i="2"/>
  <c r="Y131" i="2"/>
  <c r="Y116" i="2"/>
  <c r="Z108" i="2"/>
  <c r="AA108" i="2" s="1"/>
  <c r="Y108" i="2"/>
  <c r="Y100" i="2"/>
  <c r="D62" i="17"/>
  <c r="I62" i="17"/>
  <c r="AH672" i="2"/>
  <c r="AH660" i="2"/>
  <c r="AI295" i="2"/>
  <c r="AJ295" i="2" s="1"/>
  <c r="AI424" i="2"/>
  <c r="AJ424" i="2" s="1"/>
  <c r="AI491" i="2"/>
  <c r="AJ491" i="2" s="1"/>
  <c r="AH541" i="2"/>
  <c r="AH579" i="2"/>
  <c r="AH575" i="2"/>
  <c r="AH571" i="2"/>
  <c r="AI613" i="2"/>
  <c r="AJ613" i="2" s="1"/>
  <c r="AH612" i="2"/>
  <c r="AI603" i="2"/>
  <c r="AJ603" i="2" s="1"/>
  <c r="AH673" i="2"/>
  <c r="AH669" i="2"/>
  <c r="AH665" i="2"/>
  <c r="AH661" i="2"/>
  <c r="AH668" i="2"/>
  <c r="AH549" i="2"/>
  <c r="AI104" i="2"/>
  <c r="AJ104" i="2" s="1"/>
  <c r="AI181" i="2"/>
  <c r="AJ181" i="2" s="1"/>
  <c r="AH175" i="2"/>
  <c r="AI296" i="2"/>
  <c r="AJ296" i="2" s="1"/>
  <c r="AH538" i="2"/>
  <c r="AI605" i="2"/>
  <c r="AJ605" i="2" s="1"/>
  <c r="AH604" i="2"/>
  <c r="AH734" i="2"/>
  <c r="AH730" i="2"/>
  <c r="AH726" i="2"/>
  <c r="AH722" i="2"/>
  <c r="AH620" i="2"/>
  <c r="AI61" i="2"/>
  <c r="AJ61" i="2" s="1"/>
  <c r="AH179" i="2"/>
  <c r="AH177" i="2"/>
  <c r="AI171" i="2"/>
  <c r="AJ171" i="2" s="1"/>
  <c r="AI216" i="2"/>
  <c r="AJ216" i="2" s="1"/>
  <c r="AI193" i="2"/>
  <c r="AJ193" i="2" s="1"/>
  <c r="AI308" i="2"/>
  <c r="AJ308" i="2" s="1"/>
  <c r="AH330" i="2"/>
  <c r="AH326" i="2"/>
  <c r="AH322" i="2"/>
  <c r="AH664" i="2"/>
  <c r="AF174" i="2"/>
  <c r="AH553" i="2"/>
  <c r="AH644" i="2"/>
  <c r="AI57" i="2"/>
  <c r="AJ57" i="2" s="1"/>
  <c r="AI149" i="2"/>
  <c r="AJ149" i="2" s="1"/>
  <c r="AI183" i="2"/>
  <c r="AJ183" i="2" s="1"/>
  <c r="AH181" i="2"/>
  <c r="AI217" i="2"/>
  <c r="AJ217" i="2" s="1"/>
  <c r="AI292" i="2"/>
  <c r="AJ292" i="2" s="1"/>
  <c r="AI458" i="2"/>
  <c r="AJ458" i="2" s="1"/>
  <c r="AI473" i="2"/>
  <c r="AJ473" i="2" s="1"/>
  <c r="AH539" i="2"/>
  <c r="AI619" i="2"/>
  <c r="AJ619" i="2" s="1"/>
  <c r="AI597" i="2"/>
  <c r="AJ597" i="2" s="1"/>
  <c r="AH647" i="2"/>
  <c r="AH671" i="2"/>
  <c r="AH667" i="2"/>
  <c r="AH663" i="2"/>
  <c r="AH659" i="2"/>
  <c r="AD300" i="2"/>
  <c r="AI300" i="2"/>
  <c r="AJ300" i="2" s="1"/>
  <c r="AI119" i="2"/>
  <c r="AJ119" i="2" s="1"/>
  <c r="AD148" i="2"/>
  <c r="AI148" i="2"/>
  <c r="AJ148" i="2" s="1"/>
  <c r="AD163" i="2"/>
  <c r="AH163" i="2" s="1"/>
  <c r="AI163" i="2"/>
  <c r="AJ163" i="2" s="1"/>
  <c r="AD206" i="2"/>
  <c r="AH206" i="2" s="1"/>
  <c r="AI206" i="2"/>
  <c r="AJ206" i="2" s="1"/>
  <c r="AI194" i="2"/>
  <c r="AJ194" i="2" s="1"/>
  <c r="Y231" i="2"/>
  <c r="AD431" i="2"/>
  <c r="AI431" i="2"/>
  <c r="AJ431" i="2" s="1"/>
  <c r="AD499" i="2"/>
  <c r="AH499" i="2" s="1"/>
  <c r="AI499" i="2"/>
  <c r="AJ499" i="2" s="1"/>
  <c r="U605" i="2"/>
  <c r="Z605" i="2"/>
  <c r="AA605" i="2" s="1"/>
  <c r="U381" i="2"/>
  <c r="Z381" i="2"/>
  <c r="AA381" i="2" s="1"/>
  <c r="AD464" i="2"/>
  <c r="AI464" i="2"/>
  <c r="AJ464" i="2" s="1"/>
  <c r="AD498" i="2"/>
  <c r="AH498" i="2" s="1"/>
  <c r="AI498" i="2"/>
  <c r="AJ498" i="2" s="1"/>
  <c r="AD479" i="2"/>
  <c r="AH479" i="2" s="1"/>
  <c r="AI479" i="2"/>
  <c r="AJ479" i="2" s="1"/>
  <c r="U467" i="2"/>
  <c r="Z467" i="2"/>
  <c r="AA467" i="2" s="1"/>
  <c r="AD108" i="2"/>
  <c r="AI108" i="2"/>
  <c r="AJ108" i="2" s="1"/>
  <c r="Z147" i="2"/>
  <c r="AA147" i="2" s="1"/>
  <c r="Z166" i="2"/>
  <c r="AA166" i="2" s="1"/>
  <c r="Z164" i="2"/>
  <c r="AA164" i="2" s="1"/>
  <c r="U211" i="2"/>
  <c r="Z211" i="2"/>
  <c r="AA211" i="2" s="1"/>
  <c r="U305" i="2"/>
  <c r="Z305" i="2"/>
  <c r="AA305" i="2" s="1"/>
  <c r="Y293" i="2"/>
  <c r="Y352" i="2"/>
  <c r="U387" i="2"/>
  <c r="Z387" i="2"/>
  <c r="AA387" i="2" s="1"/>
  <c r="U434" i="2"/>
  <c r="Z434" i="2"/>
  <c r="AA434" i="2" s="1"/>
  <c r="U468" i="2"/>
  <c r="Y468" i="2" s="1"/>
  <c r="Z468" i="2"/>
  <c r="AA468" i="2" s="1"/>
  <c r="U448" i="2"/>
  <c r="Y448" i="2" s="1"/>
  <c r="Z448" i="2"/>
  <c r="AA448" i="2" s="1"/>
  <c r="U493" i="2"/>
  <c r="Z493" i="2"/>
  <c r="AA493" i="2" s="1"/>
  <c r="U617" i="2"/>
  <c r="Z617" i="2"/>
  <c r="AA617" i="2" s="1"/>
  <c r="U306" i="2"/>
  <c r="Z306" i="2"/>
  <c r="AA306" i="2" s="1"/>
  <c r="U418" i="2"/>
  <c r="Y418" i="2" s="1"/>
  <c r="Z418" i="2"/>
  <c r="AA418" i="2" s="1"/>
  <c r="U484" i="2"/>
  <c r="Y484" i="2" s="1"/>
  <c r="Z484" i="2"/>
  <c r="AA484" i="2" s="1"/>
  <c r="U597" i="2"/>
  <c r="Z597" i="2"/>
  <c r="AA597" i="2" s="1"/>
  <c r="U613" i="2"/>
  <c r="Z613" i="2"/>
  <c r="AA613" i="2" s="1"/>
  <c r="Y135" i="2"/>
  <c r="Y472" i="2"/>
  <c r="AD120" i="2"/>
  <c r="AI120" i="2"/>
  <c r="AJ120" i="2" s="1"/>
  <c r="Z149" i="2"/>
  <c r="AA149" i="2" s="1"/>
  <c r="U143" i="2"/>
  <c r="Y143" i="2" s="1"/>
  <c r="Z143" i="2"/>
  <c r="AA143" i="2" s="1"/>
  <c r="AI141" i="2"/>
  <c r="AJ141" i="2" s="1"/>
  <c r="AD185" i="2"/>
  <c r="AI185" i="2"/>
  <c r="AJ185" i="2" s="1"/>
  <c r="W183" i="2"/>
  <c r="Y183" i="2" s="1"/>
  <c r="U169" i="2"/>
  <c r="Y169" i="2" s="1"/>
  <c r="Z169" i="2"/>
  <c r="AA169" i="2" s="1"/>
  <c r="AD214" i="2"/>
  <c r="AI214" i="2"/>
  <c r="AJ214" i="2" s="1"/>
  <c r="U202" i="2"/>
  <c r="Y202" i="2" s="1"/>
  <c r="Z202" i="2"/>
  <c r="AA202" i="2" s="1"/>
  <c r="Y353" i="2"/>
  <c r="Z399" i="2"/>
  <c r="AA399" i="2" s="1"/>
  <c r="U435" i="2"/>
  <c r="Y435" i="2" s="1"/>
  <c r="Z435" i="2"/>
  <c r="AA435" i="2" s="1"/>
  <c r="U427" i="2"/>
  <c r="Z427" i="2"/>
  <c r="AA427" i="2" s="1"/>
  <c r="U609" i="2"/>
  <c r="Z609" i="2"/>
  <c r="AA609" i="2" s="1"/>
  <c r="AD137" i="2"/>
  <c r="AH137" i="2" s="1"/>
  <c r="AI137" i="2"/>
  <c r="AJ137" i="2" s="1"/>
  <c r="U112" i="2"/>
  <c r="Y112" i="2" s="1"/>
  <c r="Z112" i="2"/>
  <c r="AA112" i="2" s="1"/>
  <c r="AI187" i="2"/>
  <c r="AJ187" i="2" s="1"/>
  <c r="U218" i="2"/>
  <c r="Y218" i="2" s="1"/>
  <c r="Z218" i="2"/>
  <c r="AA218" i="2" s="1"/>
  <c r="AD204" i="2"/>
  <c r="AI204" i="2"/>
  <c r="AJ204" i="2" s="1"/>
  <c r="AI371" i="2"/>
  <c r="AJ371" i="2" s="1"/>
  <c r="Y364" i="2"/>
  <c r="AD401" i="2"/>
  <c r="AI401" i="2"/>
  <c r="AJ401" i="2" s="1"/>
  <c r="AD429" i="2"/>
  <c r="AI429" i="2"/>
  <c r="AJ429" i="2" s="1"/>
  <c r="U419" i="2"/>
  <c r="Z419" i="2"/>
  <c r="AA419" i="2" s="1"/>
  <c r="U621" i="2"/>
  <c r="Z621" i="2"/>
  <c r="AA621" i="2" s="1"/>
  <c r="AD205" i="2"/>
  <c r="AI205" i="2"/>
  <c r="AJ205" i="2" s="1"/>
  <c r="U145" i="2"/>
  <c r="Y145" i="2" s="1"/>
  <c r="Z145" i="2"/>
  <c r="AA145" i="2" s="1"/>
  <c r="U175" i="2"/>
  <c r="Y175" i="2" s="1"/>
  <c r="Z175" i="2"/>
  <c r="AA175" i="2" s="1"/>
  <c r="AD312" i="2"/>
  <c r="AI312" i="2"/>
  <c r="AJ312" i="2" s="1"/>
  <c r="Z114" i="2"/>
  <c r="AA114" i="2" s="1"/>
  <c r="AD157" i="2"/>
  <c r="AI157" i="2"/>
  <c r="AJ157" i="2" s="1"/>
  <c r="Z156" i="2"/>
  <c r="AA156" i="2" s="1"/>
  <c r="AI153" i="2"/>
  <c r="AJ153" i="2" s="1"/>
  <c r="U144" i="2"/>
  <c r="Y144" i="2" s="1"/>
  <c r="Z144" i="2"/>
  <c r="AA144" i="2" s="1"/>
  <c r="Z135" i="2"/>
  <c r="AA135" i="2" s="1"/>
  <c r="AD311" i="2"/>
  <c r="AI311" i="2"/>
  <c r="AJ311" i="2" s="1"/>
  <c r="Z309" i="2"/>
  <c r="AA309" i="2" s="1"/>
  <c r="AI288" i="2"/>
  <c r="AJ288" i="2" s="1"/>
  <c r="Z370" i="2"/>
  <c r="AA370" i="2" s="1"/>
  <c r="U436" i="2"/>
  <c r="Y436" i="2" s="1"/>
  <c r="Z436" i="2"/>
  <c r="AA436" i="2" s="1"/>
  <c r="AD421" i="2"/>
  <c r="AH421" i="2" s="1"/>
  <c r="AI421" i="2"/>
  <c r="AJ421" i="2" s="1"/>
  <c r="U460" i="2"/>
  <c r="Z460" i="2"/>
  <c r="AA460" i="2" s="1"/>
  <c r="U601" i="2"/>
  <c r="Z601" i="2"/>
  <c r="AA601" i="2" s="1"/>
  <c r="Y485" i="2"/>
  <c r="Y530" i="2"/>
  <c r="Y526" i="2"/>
  <c r="Y522" i="2"/>
  <c r="Y518" i="2"/>
  <c r="Y514" i="2"/>
  <c r="Y510" i="2"/>
  <c r="Y506" i="2"/>
  <c r="Y550" i="2"/>
  <c r="Y545" i="2"/>
  <c r="Y539" i="2"/>
  <c r="Y496" i="2"/>
  <c r="Z120" i="2"/>
  <c r="AA120" i="2" s="1"/>
  <c r="Z118" i="2"/>
  <c r="AA118" i="2" s="1"/>
  <c r="AI112" i="2"/>
  <c r="AJ112" i="2" s="1"/>
  <c r="Z103" i="2"/>
  <c r="AA103" i="2" s="1"/>
  <c r="AI100" i="2"/>
  <c r="AJ100" i="2" s="1"/>
  <c r="Y157" i="2"/>
  <c r="Z152" i="2"/>
  <c r="AA152" i="2" s="1"/>
  <c r="Z151" i="2"/>
  <c r="AA151" i="2" s="1"/>
  <c r="Y149" i="2"/>
  <c r="Y147" i="2"/>
  <c r="AI145" i="2"/>
  <c r="AJ145" i="2" s="1"/>
  <c r="Z140" i="2"/>
  <c r="AA140" i="2" s="1"/>
  <c r="Z139" i="2"/>
  <c r="AA139" i="2" s="1"/>
  <c r="AI169" i="2"/>
  <c r="AJ169" i="2" s="1"/>
  <c r="Y167" i="2"/>
  <c r="Y166" i="2"/>
  <c r="Z163" i="2"/>
  <c r="AA163" i="2" s="1"/>
  <c r="Z162" i="2"/>
  <c r="AA162" i="2" s="1"/>
  <c r="Y214" i="2"/>
  <c r="Z207" i="2"/>
  <c r="AA207" i="2" s="1"/>
  <c r="Z206" i="2"/>
  <c r="AA206" i="2" s="1"/>
  <c r="AI197" i="2"/>
  <c r="AJ197" i="2" s="1"/>
  <c r="Z302" i="2"/>
  <c r="AA302" i="2" s="1"/>
  <c r="AI291" i="2"/>
  <c r="AJ291" i="2" s="1"/>
  <c r="Y367" i="2"/>
  <c r="Y366" i="2"/>
  <c r="Y359" i="2"/>
  <c r="Y355" i="2"/>
  <c r="AI435" i="2"/>
  <c r="AJ435" i="2" s="1"/>
  <c r="Z432" i="2"/>
  <c r="AA432" i="2" s="1"/>
  <c r="AI427" i="2"/>
  <c r="AJ427" i="2" s="1"/>
  <c r="Z423" i="2"/>
  <c r="AA423" i="2" s="1"/>
  <c r="AI419" i="2"/>
  <c r="AJ419" i="2" s="1"/>
  <c r="Y457" i="2"/>
  <c r="Y456" i="2"/>
  <c r="Z452" i="2"/>
  <c r="AA452" i="2" s="1"/>
  <c r="Y444" i="2"/>
  <c r="AI494" i="2"/>
  <c r="AJ494" i="2" s="1"/>
  <c r="AI486" i="2"/>
  <c r="AJ486" i="2" s="1"/>
  <c r="AI485" i="2"/>
  <c r="AJ485" i="2" s="1"/>
  <c r="Z481" i="2"/>
  <c r="AA481" i="2" s="1"/>
  <c r="Y477" i="2"/>
  <c r="Y527" i="2"/>
  <c r="Y546" i="2"/>
  <c r="AI620" i="2"/>
  <c r="AJ620" i="2" s="1"/>
  <c r="AI616" i="2"/>
  <c r="AJ616" i="2" s="1"/>
  <c r="AI612" i="2"/>
  <c r="AJ612" i="2" s="1"/>
  <c r="AI608" i="2"/>
  <c r="AJ608" i="2" s="1"/>
  <c r="AI604" i="2"/>
  <c r="AJ604" i="2" s="1"/>
  <c r="AI600" i="2"/>
  <c r="AJ600" i="2" s="1"/>
  <c r="Y476" i="2"/>
  <c r="Y540" i="2"/>
  <c r="Z123" i="2"/>
  <c r="AA123" i="2" s="1"/>
  <c r="Z122" i="2"/>
  <c r="AA122" i="2" s="1"/>
  <c r="Z104" i="2"/>
  <c r="AA104" i="2" s="1"/>
  <c r="Z153" i="2"/>
  <c r="AA153" i="2" s="1"/>
  <c r="Z141" i="2"/>
  <c r="AA141" i="2" s="1"/>
  <c r="Z132" i="2"/>
  <c r="AA132" i="2" s="1"/>
  <c r="Z195" i="2"/>
  <c r="AA195" i="2" s="1"/>
  <c r="Z194" i="2"/>
  <c r="AA194" i="2" s="1"/>
  <c r="Z289" i="2"/>
  <c r="AA289" i="2" s="1"/>
  <c r="AI369" i="2"/>
  <c r="AJ369" i="2" s="1"/>
  <c r="Z405" i="2"/>
  <c r="AA405" i="2" s="1"/>
  <c r="Z385" i="2"/>
  <c r="AA385" i="2" s="1"/>
  <c r="Z431" i="2"/>
  <c r="AA431" i="2" s="1"/>
  <c r="Z411" i="2"/>
  <c r="AA411" i="2" s="1"/>
  <c r="Z453" i="2"/>
  <c r="AA453" i="2" s="1"/>
  <c r="Y547" i="2"/>
  <c r="Y541" i="2"/>
  <c r="Y623" i="2"/>
  <c r="Z622" i="2"/>
  <c r="AA622" i="2" s="1"/>
  <c r="Y619" i="2"/>
  <c r="Z618" i="2"/>
  <c r="AA618" i="2" s="1"/>
  <c r="Y615" i="2"/>
  <c r="Z614" i="2"/>
  <c r="AA614" i="2" s="1"/>
  <c r="Z610" i="2"/>
  <c r="AA610" i="2" s="1"/>
  <c r="Y607" i="2"/>
  <c r="Z606" i="2"/>
  <c r="AA606" i="2" s="1"/>
  <c r="Y603" i="2"/>
  <c r="Z602" i="2"/>
  <c r="AA602" i="2" s="1"/>
  <c r="Z598" i="2"/>
  <c r="AA598" i="2" s="1"/>
  <c r="Y682" i="2"/>
  <c r="Y678" i="2"/>
  <c r="Y705" i="2"/>
  <c r="Y701" i="2"/>
  <c r="Y697" i="2"/>
  <c r="Y693" i="2"/>
  <c r="Y740" i="2"/>
  <c r="Y79" i="2"/>
  <c r="Y104" i="2"/>
  <c r="Y153" i="2"/>
  <c r="Y141" i="2"/>
  <c r="Y162" i="2"/>
  <c r="Y289" i="2"/>
  <c r="AI366" i="2"/>
  <c r="AJ366" i="2" s="1"/>
  <c r="Y357" i="2"/>
  <c r="Y492" i="2"/>
  <c r="Y548" i="2"/>
  <c r="AH540" i="2"/>
  <c r="Y591" i="2"/>
  <c r="Y587" i="2"/>
  <c r="Y583" i="2"/>
  <c r="Y579" i="2"/>
  <c r="Y575" i="2"/>
  <c r="Y571" i="2"/>
  <c r="Y567" i="2"/>
  <c r="Y683" i="2"/>
  <c r="Y679" i="2"/>
  <c r="Y675" i="2"/>
  <c r="Y745" i="2"/>
  <c r="Y741" i="2"/>
  <c r="Y737" i="2"/>
  <c r="Y124" i="2"/>
  <c r="Y133" i="2"/>
  <c r="Z181" i="2"/>
  <c r="AA181" i="2" s="1"/>
  <c r="Z179" i="2"/>
  <c r="AA179" i="2" s="1"/>
  <c r="Z177" i="2"/>
  <c r="AA177" i="2" s="1"/>
  <c r="Y210" i="2"/>
  <c r="Y270" i="2"/>
  <c r="Y266" i="2"/>
  <c r="Y362" i="2"/>
  <c r="Z494" i="2"/>
  <c r="AA494" i="2" s="1"/>
  <c r="Z485" i="2"/>
  <c r="AA485" i="2" s="1"/>
  <c r="AI481" i="2"/>
  <c r="AJ481" i="2" s="1"/>
  <c r="Y473" i="2"/>
  <c r="Y529" i="2"/>
  <c r="Y525" i="2"/>
  <c r="Y521" i="2"/>
  <c r="Y517" i="2"/>
  <c r="Y513" i="2"/>
  <c r="Y543" i="2"/>
  <c r="AI622" i="2"/>
  <c r="AJ622" i="2" s="1"/>
  <c r="AI618" i="2"/>
  <c r="AJ618" i="2" s="1"/>
  <c r="AI614" i="2"/>
  <c r="AJ614" i="2" s="1"/>
  <c r="AI610" i="2"/>
  <c r="AJ610" i="2" s="1"/>
  <c r="AI606" i="2"/>
  <c r="AJ606" i="2" s="1"/>
  <c r="AI602" i="2"/>
  <c r="AJ602" i="2" s="1"/>
  <c r="AI598" i="2"/>
  <c r="AJ598" i="2" s="1"/>
  <c r="Z43" i="2"/>
  <c r="AA43" i="2" s="1"/>
  <c r="AI56" i="2"/>
  <c r="AJ56" i="2" s="1"/>
  <c r="AI54" i="2"/>
  <c r="AJ54" i="2" s="1"/>
  <c r="AI62" i="2"/>
  <c r="AJ62" i="2" s="1"/>
  <c r="AH89" i="2"/>
  <c r="AH85" i="2"/>
  <c r="AH81" i="2"/>
  <c r="AH71" i="2"/>
  <c r="AH91" i="2"/>
  <c r="Y94" i="2"/>
  <c r="Y91" i="2"/>
  <c r="Y82" i="2"/>
  <c r="Y75" i="2"/>
  <c r="Y86" i="2"/>
  <c r="AI70" i="2"/>
  <c r="AJ70" i="2" s="1"/>
  <c r="AI58" i="2"/>
  <c r="AJ58" i="2" s="1"/>
  <c r="AI53" i="2"/>
  <c r="AJ53" i="2" s="1"/>
  <c r="Y52" i="2"/>
  <c r="Z50" i="2"/>
  <c r="AA50" i="2" s="1"/>
  <c r="Z44" i="2"/>
  <c r="AA44" i="2" s="1"/>
  <c r="Z51" i="2"/>
  <c r="AA51" i="2" s="1"/>
  <c r="AI59" i="2"/>
  <c r="AJ59" i="2" s="1"/>
  <c r="AI60" i="2"/>
  <c r="AJ60" i="2" s="1"/>
  <c r="AI52" i="2"/>
  <c r="AJ52" i="2" s="1"/>
  <c r="Z42" i="2"/>
  <c r="AA42" i="2" s="1"/>
  <c r="AI63" i="2"/>
  <c r="AJ63" i="2" s="1"/>
  <c r="AI55" i="2"/>
  <c r="AJ55" i="2" s="1"/>
  <c r="Z45" i="2"/>
  <c r="AA45" i="2" s="1"/>
  <c r="Y723" i="2"/>
  <c r="AH733" i="2"/>
  <c r="AH729" i="2"/>
  <c r="AH725" i="2"/>
  <c r="AH721" i="2"/>
  <c r="AH747" i="2"/>
  <c r="AH744" i="2"/>
  <c r="AH743" i="2"/>
  <c r="AH740" i="2"/>
  <c r="AH737" i="2"/>
  <c r="AH732" i="2"/>
  <c r="AH728" i="2"/>
  <c r="Y735" i="2"/>
  <c r="Y731" i="2"/>
  <c r="Y736" i="2"/>
  <c r="Y732" i="2"/>
  <c r="Y728" i="2"/>
  <c r="Y724" i="2"/>
  <c r="AH739" i="2"/>
  <c r="AH746" i="2"/>
  <c r="AH741" i="2"/>
  <c r="AH724" i="2"/>
  <c r="Y733" i="2"/>
  <c r="Y729" i="2"/>
  <c r="Y725" i="2"/>
  <c r="Y721" i="2"/>
  <c r="AH745" i="2"/>
  <c r="AH742" i="2"/>
  <c r="AH738" i="2"/>
  <c r="AH736" i="2"/>
  <c r="Y727" i="2"/>
  <c r="AH735" i="2"/>
  <c r="AH731" i="2"/>
  <c r="AH727" i="2"/>
  <c r="AH723" i="2"/>
  <c r="AI747" i="2"/>
  <c r="AJ747" i="2" s="1"/>
  <c r="Z747" i="2"/>
  <c r="AA747" i="2" s="1"/>
  <c r="AI746" i="2"/>
  <c r="AJ746" i="2" s="1"/>
  <c r="Z746" i="2"/>
  <c r="AA746" i="2" s="1"/>
  <c r="AI745" i="2"/>
  <c r="AJ745" i="2" s="1"/>
  <c r="Z745" i="2"/>
  <c r="AA745" i="2" s="1"/>
  <c r="AI744" i="2"/>
  <c r="AJ744" i="2" s="1"/>
  <c r="Z744" i="2"/>
  <c r="AA744" i="2" s="1"/>
  <c r="AI743" i="2"/>
  <c r="AJ743" i="2" s="1"/>
  <c r="Z743" i="2"/>
  <c r="AA743" i="2" s="1"/>
  <c r="AI742" i="2"/>
  <c r="AJ742" i="2" s="1"/>
  <c r="Z742" i="2"/>
  <c r="AA742" i="2" s="1"/>
  <c r="AI741" i="2"/>
  <c r="AJ741" i="2" s="1"/>
  <c r="Z741" i="2"/>
  <c r="AA741" i="2" s="1"/>
  <c r="AI740" i="2"/>
  <c r="AJ740" i="2" s="1"/>
  <c r="Z740" i="2"/>
  <c r="AA740" i="2" s="1"/>
  <c r="AI739" i="2"/>
  <c r="AJ739" i="2" s="1"/>
  <c r="Z739" i="2"/>
  <c r="AA739" i="2" s="1"/>
  <c r="AI738" i="2"/>
  <c r="AJ738" i="2" s="1"/>
  <c r="Z738" i="2"/>
  <c r="AA738" i="2" s="1"/>
  <c r="AI737" i="2"/>
  <c r="AJ737" i="2" s="1"/>
  <c r="Z737" i="2"/>
  <c r="AA737" i="2" s="1"/>
  <c r="AI736" i="2"/>
  <c r="AJ736" i="2" s="1"/>
  <c r="Z736" i="2"/>
  <c r="AA736" i="2" s="1"/>
  <c r="AI735" i="2"/>
  <c r="AJ735" i="2" s="1"/>
  <c r="Z735" i="2"/>
  <c r="AA735" i="2" s="1"/>
  <c r="AI734" i="2"/>
  <c r="AJ734" i="2" s="1"/>
  <c r="Z734" i="2"/>
  <c r="AA734" i="2" s="1"/>
  <c r="AI733" i="2"/>
  <c r="AJ733" i="2" s="1"/>
  <c r="Z733" i="2"/>
  <c r="AA733" i="2" s="1"/>
  <c r="AI732" i="2"/>
  <c r="AJ732" i="2" s="1"/>
  <c r="Z732" i="2"/>
  <c r="AA732" i="2" s="1"/>
  <c r="AI731" i="2"/>
  <c r="AJ731" i="2" s="1"/>
  <c r="Z731" i="2"/>
  <c r="AA731" i="2" s="1"/>
  <c r="AI730" i="2"/>
  <c r="AJ730" i="2" s="1"/>
  <c r="Z730" i="2"/>
  <c r="AA730" i="2" s="1"/>
  <c r="AI729" i="2"/>
  <c r="AJ729" i="2" s="1"/>
  <c r="Z729" i="2"/>
  <c r="AA729" i="2" s="1"/>
  <c r="AI728" i="2"/>
  <c r="AJ728" i="2" s="1"/>
  <c r="Z728" i="2"/>
  <c r="AA728" i="2" s="1"/>
  <c r="AI727" i="2"/>
  <c r="AJ727" i="2" s="1"/>
  <c r="Z727" i="2"/>
  <c r="AA727" i="2" s="1"/>
  <c r="AI726" i="2"/>
  <c r="AJ726" i="2" s="1"/>
  <c r="Z726" i="2"/>
  <c r="AA726" i="2" s="1"/>
  <c r="AI725" i="2"/>
  <c r="AJ725" i="2" s="1"/>
  <c r="Z725" i="2"/>
  <c r="AA725" i="2" s="1"/>
  <c r="AI724" i="2"/>
  <c r="AJ724" i="2" s="1"/>
  <c r="Z724" i="2"/>
  <c r="AA724" i="2" s="1"/>
  <c r="AI723" i="2"/>
  <c r="AJ723" i="2" s="1"/>
  <c r="Z723" i="2"/>
  <c r="AA723" i="2" s="1"/>
  <c r="AI722" i="2"/>
  <c r="AJ722" i="2" s="1"/>
  <c r="Z722" i="2"/>
  <c r="AA722" i="2" s="1"/>
  <c r="AI721" i="2"/>
  <c r="AJ721" i="2" s="1"/>
  <c r="Z721" i="2"/>
  <c r="AA721" i="2" s="1"/>
  <c r="AH716" i="2"/>
  <c r="AH715" i="2"/>
  <c r="AH714" i="2"/>
  <c r="AH713" i="2"/>
  <c r="AH712" i="2"/>
  <c r="AH711" i="2"/>
  <c r="AH710" i="2"/>
  <c r="AH709" i="2"/>
  <c r="AH708" i="2"/>
  <c r="AH707" i="2"/>
  <c r="AH706" i="2"/>
  <c r="AH705" i="2"/>
  <c r="AH701" i="2"/>
  <c r="AH697" i="2"/>
  <c r="AH693" i="2"/>
  <c r="AH702" i="2"/>
  <c r="AH698" i="2"/>
  <c r="AH694" i="2"/>
  <c r="AH690" i="2"/>
  <c r="Y716" i="2"/>
  <c r="Y715" i="2"/>
  <c r="Y714" i="2"/>
  <c r="Y713" i="2"/>
  <c r="Y712" i="2"/>
  <c r="Y711" i="2"/>
  <c r="Y710" i="2"/>
  <c r="Y709" i="2"/>
  <c r="Y708" i="2"/>
  <c r="Y707" i="2"/>
  <c r="Y706" i="2"/>
  <c r="AH703" i="2"/>
  <c r="AH699" i="2"/>
  <c r="AH695" i="2"/>
  <c r="AH691" i="2"/>
  <c r="Y702" i="2"/>
  <c r="Y698" i="2"/>
  <c r="Y694" i="2"/>
  <c r="Y690" i="2"/>
  <c r="AH704" i="2"/>
  <c r="AH700" i="2"/>
  <c r="AH696" i="2"/>
  <c r="AH692" i="2"/>
  <c r="AI716" i="2"/>
  <c r="AJ716" i="2" s="1"/>
  <c r="Z716" i="2"/>
  <c r="AA716" i="2" s="1"/>
  <c r="AI715" i="2"/>
  <c r="AJ715" i="2" s="1"/>
  <c r="Z715" i="2"/>
  <c r="AA715" i="2" s="1"/>
  <c r="AI714" i="2"/>
  <c r="AJ714" i="2" s="1"/>
  <c r="Z714" i="2"/>
  <c r="AA714" i="2" s="1"/>
  <c r="AI713" i="2"/>
  <c r="AJ713" i="2" s="1"/>
  <c r="Z713" i="2"/>
  <c r="AA713" i="2" s="1"/>
  <c r="AI712" i="2"/>
  <c r="AJ712" i="2" s="1"/>
  <c r="Z712" i="2"/>
  <c r="AA712" i="2" s="1"/>
  <c r="AI711" i="2"/>
  <c r="AJ711" i="2" s="1"/>
  <c r="Z711" i="2"/>
  <c r="AA711" i="2" s="1"/>
  <c r="AI710" i="2"/>
  <c r="AJ710" i="2" s="1"/>
  <c r="Z710" i="2"/>
  <c r="AA710" i="2" s="1"/>
  <c r="AI709" i="2"/>
  <c r="AJ709" i="2" s="1"/>
  <c r="Z709" i="2"/>
  <c r="AA709" i="2" s="1"/>
  <c r="AI708" i="2"/>
  <c r="AJ708" i="2" s="1"/>
  <c r="Z708" i="2"/>
  <c r="AA708" i="2" s="1"/>
  <c r="AI707" i="2"/>
  <c r="AJ707" i="2" s="1"/>
  <c r="Z707" i="2"/>
  <c r="AA707" i="2" s="1"/>
  <c r="AI706" i="2"/>
  <c r="AJ706" i="2" s="1"/>
  <c r="Z706" i="2"/>
  <c r="AA706" i="2" s="1"/>
  <c r="AI705" i="2"/>
  <c r="AJ705" i="2" s="1"/>
  <c r="Z705" i="2"/>
  <c r="AA705" i="2" s="1"/>
  <c r="AI704" i="2"/>
  <c r="AJ704" i="2" s="1"/>
  <c r="Z704" i="2"/>
  <c r="AA704" i="2" s="1"/>
  <c r="AI703" i="2"/>
  <c r="AJ703" i="2" s="1"/>
  <c r="Z703" i="2"/>
  <c r="AA703" i="2" s="1"/>
  <c r="AI702" i="2"/>
  <c r="AJ702" i="2" s="1"/>
  <c r="Z702" i="2"/>
  <c r="AA702" i="2" s="1"/>
  <c r="AI701" i="2"/>
  <c r="AJ701" i="2" s="1"/>
  <c r="Z701" i="2"/>
  <c r="AA701" i="2" s="1"/>
  <c r="AI700" i="2"/>
  <c r="AJ700" i="2" s="1"/>
  <c r="Z700" i="2"/>
  <c r="AA700" i="2" s="1"/>
  <c r="AI699" i="2"/>
  <c r="AJ699" i="2" s="1"/>
  <c r="Z699" i="2"/>
  <c r="AA699" i="2" s="1"/>
  <c r="AI698" i="2"/>
  <c r="AJ698" i="2" s="1"/>
  <c r="Z698" i="2"/>
  <c r="AA698" i="2" s="1"/>
  <c r="AI697" i="2"/>
  <c r="AJ697" i="2" s="1"/>
  <c r="Z697" i="2"/>
  <c r="AA697" i="2" s="1"/>
  <c r="AI696" i="2"/>
  <c r="AJ696" i="2" s="1"/>
  <c r="Z696" i="2"/>
  <c r="AA696" i="2" s="1"/>
  <c r="AI695" i="2"/>
  <c r="AJ695" i="2" s="1"/>
  <c r="Z695" i="2"/>
  <c r="AA695" i="2" s="1"/>
  <c r="AI694" i="2"/>
  <c r="AJ694" i="2" s="1"/>
  <c r="Z694" i="2"/>
  <c r="AA694" i="2" s="1"/>
  <c r="AI693" i="2"/>
  <c r="AJ693" i="2" s="1"/>
  <c r="Z693" i="2"/>
  <c r="AA693" i="2" s="1"/>
  <c r="AI692" i="2"/>
  <c r="AJ692" i="2" s="1"/>
  <c r="Z692" i="2"/>
  <c r="AA692" i="2" s="1"/>
  <c r="AI691" i="2"/>
  <c r="AJ691" i="2" s="1"/>
  <c r="Z691" i="2"/>
  <c r="AA691" i="2" s="1"/>
  <c r="AI690" i="2"/>
  <c r="AJ690" i="2" s="1"/>
  <c r="Z690" i="2"/>
  <c r="AA690" i="2" s="1"/>
  <c r="AH684" i="2"/>
  <c r="AH682" i="2"/>
  <c r="AH679" i="2"/>
  <c r="AH676" i="2"/>
  <c r="AH674" i="2"/>
  <c r="Y673" i="2"/>
  <c r="Y669" i="2"/>
  <c r="Y665" i="2"/>
  <c r="Y661" i="2"/>
  <c r="AH683" i="2"/>
  <c r="AH680" i="2"/>
  <c r="AH678" i="2"/>
  <c r="AH675" i="2"/>
  <c r="AH670" i="2"/>
  <c r="AH685" i="2"/>
  <c r="AH681" i="2"/>
  <c r="AH677" i="2"/>
  <c r="AH662" i="2"/>
  <c r="Y674" i="2"/>
  <c r="Y670" i="2"/>
  <c r="Y666" i="2"/>
  <c r="Y662" i="2"/>
  <c r="AH666" i="2"/>
  <c r="Y671" i="2"/>
  <c r="Y667" i="2"/>
  <c r="Y663" i="2"/>
  <c r="Y659" i="2"/>
  <c r="AI685" i="2"/>
  <c r="AJ685" i="2" s="1"/>
  <c r="Z685" i="2"/>
  <c r="AA685" i="2" s="1"/>
  <c r="AI684" i="2"/>
  <c r="AJ684" i="2" s="1"/>
  <c r="Z684" i="2"/>
  <c r="AA684" i="2" s="1"/>
  <c r="AI683" i="2"/>
  <c r="AJ683" i="2" s="1"/>
  <c r="Z683" i="2"/>
  <c r="AA683" i="2" s="1"/>
  <c r="AI682" i="2"/>
  <c r="AJ682" i="2" s="1"/>
  <c r="Z682" i="2"/>
  <c r="AA682" i="2" s="1"/>
  <c r="AI681" i="2"/>
  <c r="AJ681" i="2" s="1"/>
  <c r="Z681" i="2"/>
  <c r="AA681" i="2" s="1"/>
  <c r="AI680" i="2"/>
  <c r="AJ680" i="2" s="1"/>
  <c r="Z680" i="2"/>
  <c r="AA680" i="2" s="1"/>
  <c r="AI679" i="2"/>
  <c r="AJ679" i="2" s="1"/>
  <c r="Z679" i="2"/>
  <c r="AA679" i="2" s="1"/>
  <c r="AI678" i="2"/>
  <c r="AJ678" i="2" s="1"/>
  <c r="Z678" i="2"/>
  <c r="AA678" i="2" s="1"/>
  <c r="AI677" i="2"/>
  <c r="AJ677" i="2" s="1"/>
  <c r="Z677" i="2"/>
  <c r="AA677" i="2" s="1"/>
  <c r="AI676" i="2"/>
  <c r="AJ676" i="2" s="1"/>
  <c r="Z676" i="2"/>
  <c r="AA676" i="2" s="1"/>
  <c r="AI675" i="2"/>
  <c r="AJ675" i="2" s="1"/>
  <c r="Z675" i="2"/>
  <c r="AA675" i="2" s="1"/>
  <c r="AI674" i="2"/>
  <c r="AJ674" i="2" s="1"/>
  <c r="Z674" i="2"/>
  <c r="AA674" i="2" s="1"/>
  <c r="AI673" i="2"/>
  <c r="AJ673" i="2" s="1"/>
  <c r="Z673" i="2"/>
  <c r="AA673" i="2" s="1"/>
  <c r="AI672" i="2"/>
  <c r="AJ672" i="2" s="1"/>
  <c r="Z672" i="2"/>
  <c r="AA672" i="2" s="1"/>
  <c r="AI671" i="2"/>
  <c r="AJ671" i="2" s="1"/>
  <c r="Z671" i="2"/>
  <c r="AA671" i="2" s="1"/>
  <c r="AI670" i="2"/>
  <c r="AJ670" i="2" s="1"/>
  <c r="Z670" i="2"/>
  <c r="AA670" i="2" s="1"/>
  <c r="AI669" i="2"/>
  <c r="AJ669" i="2" s="1"/>
  <c r="Z669" i="2"/>
  <c r="AA669" i="2" s="1"/>
  <c r="AI668" i="2"/>
  <c r="AJ668" i="2" s="1"/>
  <c r="Z668" i="2"/>
  <c r="AA668" i="2" s="1"/>
  <c r="AI667" i="2"/>
  <c r="AJ667" i="2" s="1"/>
  <c r="Z667" i="2"/>
  <c r="AA667" i="2" s="1"/>
  <c r="AI666" i="2"/>
  <c r="AJ666" i="2" s="1"/>
  <c r="Z666" i="2"/>
  <c r="AA666" i="2" s="1"/>
  <c r="AI665" i="2"/>
  <c r="AJ665" i="2" s="1"/>
  <c r="Z665" i="2"/>
  <c r="AA665" i="2" s="1"/>
  <c r="AI664" i="2"/>
  <c r="AJ664" i="2" s="1"/>
  <c r="Z664" i="2"/>
  <c r="AA664" i="2" s="1"/>
  <c r="AI663" i="2"/>
  <c r="AJ663" i="2" s="1"/>
  <c r="Z663" i="2"/>
  <c r="AA663" i="2" s="1"/>
  <c r="AI662" i="2"/>
  <c r="AJ662" i="2" s="1"/>
  <c r="Z662" i="2"/>
  <c r="AA662" i="2" s="1"/>
  <c r="AI661" i="2"/>
  <c r="AJ661" i="2" s="1"/>
  <c r="Z661" i="2"/>
  <c r="AA661" i="2" s="1"/>
  <c r="AI660" i="2"/>
  <c r="AJ660" i="2" s="1"/>
  <c r="Z660" i="2"/>
  <c r="AA660" i="2" s="1"/>
  <c r="AI659" i="2"/>
  <c r="AJ659" i="2" s="1"/>
  <c r="Z659" i="2"/>
  <c r="AA659" i="2" s="1"/>
  <c r="W650" i="2"/>
  <c r="Y650" i="2" s="1"/>
  <c r="Z650" i="2"/>
  <c r="AA650" i="2" s="1"/>
  <c r="W653" i="2"/>
  <c r="Y653" i="2" s="1"/>
  <c r="Z653" i="2"/>
  <c r="AA653" i="2" s="1"/>
  <c r="AF651" i="2"/>
  <c r="AH651" i="2" s="1"/>
  <c r="AI651" i="2"/>
  <c r="AJ651" i="2" s="1"/>
  <c r="W649" i="2"/>
  <c r="Y649" i="2" s="1"/>
  <c r="Z649" i="2"/>
  <c r="AA649" i="2" s="1"/>
  <c r="AF653" i="2"/>
  <c r="AH653" i="2" s="1"/>
  <c r="AI653" i="2"/>
  <c r="AJ653" i="2" s="1"/>
  <c r="AF650" i="2"/>
  <c r="AH650" i="2" s="1"/>
  <c r="AI650" i="2"/>
  <c r="AJ650" i="2" s="1"/>
  <c r="W652" i="2"/>
  <c r="Y652" i="2" s="1"/>
  <c r="Z652" i="2"/>
  <c r="AA652" i="2" s="1"/>
  <c r="W648" i="2"/>
  <c r="Y648" i="2" s="1"/>
  <c r="Z648" i="2"/>
  <c r="AA648" i="2" s="1"/>
  <c r="W654" i="2"/>
  <c r="Y654" i="2" s="1"/>
  <c r="Z654" i="2"/>
  <c r="AA654" i="2" s="1"/>
  <c r="AF649" i="2"/>
  <c r="AH649" i="2" s="1"/>
  <c r="AI649" i="2"/>
  <c r="AJ649" i="2" s="1"/>
  <c r="W651" i="2"/>
  <c r="Y651" i="2" s="1"/>
  <c r="Z651" i="2"/>
  <c r="AA651" i="2" s="1"/>
  <c r="AF654" i="2"/>
  <c r="AH654" i="2" s="1"/>
  <c r="AI654" i="2"/>
  <c r="AJ654" i="2" s="1"/>
  <c r="AF652" i="2"/>
  <c r="AH652" i="2" s="1"/>
  <c r="AI652" i="2"/>
  <c r="AJ652" i="2" s="1"/>
  <c r="AF648" i="2"/>
  <c r="AH648" i="2" s="1"/>
  <c r="AI648" i="2"/>
  <c r="AJ648" i="2" s="1"/>
  <c r="AI647" i="2"/>
  <c r="AJ647" i="2" s="1"/>
  <c r="Z647" i="2"/>
  <c r="AA647" i="2" s="1"/>
  <c r="AI646" i="2"/>
  <c r="AJ646" i="2" s="1"/>
  <c r="Z646" i="2"/>
  <c r="AA646" i="2" s="1"/>
  <c r="AI645" i="2"/>
  <c r="AJ645" i="2" s="1"/>
  <c r="Z645" i="2"/>
  <c r="AA645" i="2" s="1"/>
  <c r="AI644" i="2"/>
  <c r="AJ644" i="2" s="1"/>
  <c r="Z644" i="2"/>
  <c r="AA644" i="2" s="1"/>
  <c r="AI643" i="2"/>
  <c r="AJ643" i="2" s="1"/>
  <c r="Z643" i="2"/>
  <c r="AA643" i="2" s="1"/>
  <c r="AI642" i="2"/>
  <c r="AJ642" i="2" s="1"/>
  <c r="Z642" i="2"/>
  <c r="AA642" i="2" s="1"/>
  <c r="AI641" i="2"/>
  <c r="AJ641" i="2" s="1"/>
  <c r="Z641" i="2"/>
  <c r="AA641" i="2" s="1"/>
  <c r="AI640" i="2"/>
  <c r="AJ640" i="2" s="1"/>
  <c r="Z640" i="2"/>
  <c r="AA640" i="2" s="1"/>
  <c r="AI639" i="2"/>
  <c r="AJ639" i="2" s="1"/>
  <c r="Z639" i="2"/>
  <c r="AA639" i="2" s="1"/>
  <c r="AI638" i="2"/>
  <c r="AJ638" i="2" s="1"/>
  <c r="Z638" i="2"/>
  <c r="AA638" i="2" s="1"/>
  <c r="AI637" i="2"/>
  <c r="AJ637" i="2" s="1"/>
  <c r="Z637" i="2"/>
  <c r="AA637" i="2" s="1"/>
  <c r="AI636" i="2"/>
  <c r="AJ636" i="2" s="1"/>
  <c r="Z636" i="2"/>
  <c r="AA636" i="2" s="1"/>
  <c r="AI635" i="2"/>
  <c r="AJ635" i="2" s="1"/>
  <c r="Z635" i="2"/>
  <c r="AA635" i="2" s="1"/>
  <c r="AI634" i="2"/>
  <c r="AJ634" i="2" s="1"/>
  <c r="Z634" i="2"/>
  <c r="AA634" i="2" s="1"/>
  <c r="AI633" i="2"/>
  <c r="AJ633" i="2" s="1"/>
  <c r="Z633" i="2"/>
  <c r="AA633" i="2" s="1"/>
  <c r="AI632" i="2"/>
  <c r="AJ632" i="2" s="1"/>
  <c r="Z632" i="2"/>
  <c r="AA632" i="2" s="1"/>
  <c r="AI631" i="2"/>
  <c r="AJ631" i="2" s="1"/>
  <c r="Z631" i="2"/>
  <c r="AA631" i="2" s="1"/>
  <c r="AI630" i="2"/>
  <c r="AJ630" i="2" s="1"/>
  <c r="Z630" i="2"/>
  <c r="AA630" i="2" s="1"/>
  <c r="AI629" i="2"/>
  <c r="AJ629" i="2" s="1"/>
  <c r="Z629" i="2"/>
  <c r="AA629" i="2" s="1"/>
  <c r="AI628" i="2"/>
  <c r="AJ628" i="2" s="1"/>
  <c r="Z628" i="2"/>
  <c r="AA628" i="2" s="1"/>
  <c r="AH621" i="2"/>
  <c r="AH617" i="2"/>
  <c r="AH613" i="2"/>
  <c r="AH609" i="2"/>
  <c r="AH605" i="2"/>
  <c r="AH601" i="2"/>
  <c r="AH597" i="2"/>
  <c r="AH600" i="2"/>
  <c r="Y622" i="2"/>
  <c r="Y618" i="2"/>
  <c r="Y614" i="2"/>
  <c r="Y610" i="2"/>
  <c r="Y606" i="2"/>
  <c r="Y602" i="2"/>
  <c r="Y598" i="2"/>
  <c r="AH623" i="2"/>
  <c r="AH619" i="2"/>
  <c r="AH615" i="2"/>
  <c r="AH611" i="2"/>
  <c r="AH607" i="2"/>
  <c r="AH603" i="2"/>
  <c r="AH599" i="2"/>
  <c r="Y621" i="2"/>
  <c r="Y617" i="2"/>
  <c r="Y613" i="2"/>
  <c r="Y609" i="2"/>
  <c r="Y605" i="2"/>
  <c r="Y601" i="2"/>
  <c r="Y597" i="2"/>
  <c r="AH622" i="2"/>
  <c r="AH618" i="2"/>
  <c r="AH614" i="2"/>
  <c r="AH610" i="2"/>
  <c r="AH606" i="2"/>
  <c r="AH602" i="2"/>
  <c r="AH598" i="2"/>
  <c r="Z52" i="2"/>
  <c r="AA52" i="2" s="1"/>
  <c r="AD47" i="2"/>
  <c r="AH47" i="2" s="1"/>
  <c r="AI47" i="2"/>
  <c r="AJ47" i="2" s="1"/>
  <c r="AD39" i="2"/>
  <c r="AI39" i="2"/>
  <c r="AJ39" i="2" s="1"/>
  <c r="U113" i="2"/>
  <c r="Z113" i="2"/>
  <c r="AA113" i="2" s="1"/>
  <c r="AF106" i="2"/>
  <c r="AH106" i="2" s="1"/>
  <c r="AI106" i="2"/>
  <c r="AJ106" i="2" s="1"/>
  <c r="AF147" i="2"/>
  <c r="AI147" i="2"/>
  <c r="AJ147" i="2" s="1"/>
  <c r="AD138" i="2"/>
  <c r="AI138" i="2"/>
  <c r="AJ138" i="2" s="1"/>
  <c r="U180" i="2"/>
  <c r="Y180" i="2" s="1"/>
  <c r="Z180" i="2"/>
  <c r="AA180" i="2" s="1"/>
  <c r="AD199" i="2"/>
  <c r="AH199" i="2" s="1"/>
  <c r="AI199" i="2"/>
  <c r="AJ199" i="2" s="1"/>
  <c r="AD422" i="2"/>
  <c r="AI422" i="2"/>
  <c r="AJ422" i="2" s="1"/>
  <c r="W420" i="2"/>
  <c r="Z420" i="2"/>
  <c r="AA420" i="2" s="1"/>
  <c r="U474" i="2"/>
  <c r="Z474" i="2"/>
  <c r="AA474" i="2" s="1"/>
  <c r="Z64" i="2"/>
  <c r="AA64" i="2" s="1"/>
  <c r="Z63" i="2"/>
  <c r="AA63" i="2" s="1"/>
  <c r="Z62" i="2"/>
  <c r="AA62" i="2" s="1"/>
  <c r="Z61" i="2"/>
  <c r="AA61" i="2" s="1"/>
  <c r="Z60" i="2"/>
  <c r="AA60" i="2" s="1"/>
  <c r="Z59" i="2"/>
  <c r="AA59" i="2" s="1"/>
  <c r="Z58" i="2"/>
  <c r="AA58" i="2" s="1"/>
  <c r="Z57" i="2"/>
  <c r="AA57" i="2" s="1"/>
  <c r="Z56" i="2"/>
  <c r="AA56" i="2" s="1"/>
  <c r="Z55" i="2"/>
  <c r="AA55" i="2" s="1"/>
  <c r="Z54" i="2"/>
  <c r="AA54" i="2" s="1"/>
  <c r="Z53" i="2"/>
  <c r="AA53" i="2" s="1"/>
  <c r="AD50" i="2"/>
  <c r="AI50" i="2"/>
  <c r="AJ50" i="2" s="1"/>
  <c r="Z47" i="2"/>
  <c r="AA47" i="2" s="1"/>
  <c r="AD42" i="2"/>
  <c r="AH42" i="2" s="1"/>
  <c r="AI42" i="2"/>
  <c r="AJ42" i="2" s="1"/>
  <c r="Z39" i="2"/>
  <c r="AA39" i="2" s="1"/>
  <c r="AH77" i="2"/>
  <c r="Y74" i="2"/>
  <c r="Y71" i="2"/>
  <c r="AD105" i="2"/>
  <c r="AH105" i="2" s="1"/>
  <c r="AI105" i="2"/>
  <c r="AJ105" i="2" s="1"/>
  <c r="Z100" i="2"/>
  <c r="AA100" i="2" s="1"/>
  <c r="AD150" i="2"/>
  <c r="AI150" i="2"/>
  <c r="AJ150" i="2" s="1"/>
  <c r="AD142" i="2"/>
  <c r="AI142" i="2"/>
  <c r="AJ142" i="2" s="1"/>
  <c r="Z136" i="2"/>
  <c r="AA136" i="2" s="1"/>
  <c r="Z133" i="2"/>
  <c r="AA133" i="2" s="1"/>
  <c r="W181" i="2"/>
  <c r="Y181" i="2" s="1"/>
  <c r="U178" i="2"/>
  <c r="Y178" i="2" s="1"/>
  <c r="Z178" i="2"/>
  <c r="AA178" i="2" s="1"/>
  <c r="Y171" i="2"/>
  <c r="AI165" i="2"/>
  <c r="AJ165" i="2" s="1"/>
  <c r="AF165" i="2"/>
  <c r="AH165" i="2" s="1"/>
  <c r="AD219" i="2"/>
  <c r="AI219" i="2"/>
  <c r="AJ219" i="2" s="1"/>
  <c r="AD302" i="2"/>
  <c r="AI302" i="2"/>
  <c r="AJ302" i="2" s="1"/>
  <c r="AD301" i="2"/>
  <c r="AI301" i="2"/>
  <c r="AJ301" i="2" s="1"/>
  <c r="U394" i="2"/>
  <c r="Y394" i="2" s="1"/>
  <c r="Z394" i="2"/>
  <c r="AA394" i="2" s="1"/>
  <c r="AF126" i="2"/>
  <c r="AI126" i="2"/>
  <c r="AJ126" i="2" s="1"/>
  <c r="AF110" i="2"/>
  <c r="AH110" i="2" s="1"/>
  <c r="AI110" i="2"/>
  <c r="AJ110" i="2" s="1"/>
  <c r="U101" i="2"/>
  <c r="Z101" i="2"/>
  <c r="AA101" i="2" s="1"/>
  <c r="Y62" i="2"/>
  <c r="T62" i="2" s="1"/>
  <c r="Y60" i="2"/>
  <c r="T60" i="2" s="1"/>
  <c r="Y58" i="2"/>
  <c r="T58" i="2" s="1"/>
  <c r="Y55" i="2"/>
  <c r="T55" i="2" s="1"/>
  <c r="Y53" i="2"/>
  <c r="Y87" i="2"/>
  <c r="AD121" i="2"/>
  <c r="AI121" i="2"/>
  <c r="AJ121" i="2" s="1"/>
  <c r="AD109" i="2"/>
  <c r="AI109" i="2"/>
  <c r="AJ109" i="2" s="1"/>
  <c r="U138" i="2"/>
  <c r="Y138" i="2" s="1"/>
  <c r="Z138" i="2"/>
  <c r="AA138" i="2" s="1"/>
  <c r="W208" i="2"/>
  <c r="Z208" i="2"/>
  <c r="AA208" i="2" s="1"/>
  <c r="AD202" i="2"/>
  <c r="AI202" i="2"/>
  <c r="AJ202" i="2" s="1"/>
  <c r="AD459" i="2"/>
  <c r="AI459" i="2"/>
  <c r="AJ459" i="2" s="1"/>
  <c r="AD51" i="2"/>
  <c r="AI51" i="2"/>
  <c r="AJ51" i="2" s="1"/>
  <c r="Z48" i="2"/>
  <c r="AA48" i="2" s="1"/>
  <c r="AD43" i="2"/>
  <c r="AH43" i="2" s="1"/>
  <c r="AI43" i="2"/>
  <c r="AJ43" i="2" s="1"/>
  <c r="Z40" i="2"/>
  <c r="AA40" i="2" s="1"/>
  <c r="Y95" i="2"/>
  <c r="Y90" i="2"/>
  <c r="AH73" i="2"/>
  <c r="AD125" i="2"/>
  <c r="AH125" i="2" s="1"/>
  <c r="AI125" i="2"/>
  <c r="AJ125" i="2" s="1"/>
  <c r="AD117" i="2"/>
  <c r="AH117" i="2" s="1"/>
  <c r="AI117" i="2"/>
  <c r="AJ117" i="2" s="1"/>
  <c r="Z107" i="2"/>
  <c r="AA107" i="2" s="1"/>
  <c r="U105" i="2"/>
  <c r="Z105" i="2"/>
  <c r="AA105" i="2" s="1"/>
  <c r="U150" i="2"/>
  <c r="Y150" i="2" s="1"/>
  <c r="Z150" i="2"/>
  <c r="AA150" i="2" s="1"/>
  <c r="Z148" i="2"/>
  <c r="AA148" i="2" s="1"/>
  <c r="U142" i="2"/>
  <c r="Y142" i="2" s="1"/>
  <c r="Z142" i="2"/>
  <c r="AA142" i="2" s="1"/>
  <c r="AF131" i="2"/>
  <c r="AH131" i="2" s="1"/>
  <c r="AI131" i="2"/>
  <c r="AJ131" i="2" s="1"/>
  <c r="AD188" i="2"/>
  <c r="AH188" i="2" s="1"/>
  <c r="AI188" i="2"/>
  <c r="AJ188" i="2" s="1"/>
  <c r="AD186" i="2"/>
  <c r="AH186" i="2" s="1"/>
  <c r="AI186" i="2"/>
  <c r="AJ186" i="2" s="1"/>
  <c r="AD184" i="2"/>
  <c r="AH184" i="2" s="1"/>
  <c r="AI184" i="2"/>
  <c r="AJ184" i="2" s="1"/>
  <c r="AD182" i="2"/>
  <c r="AH182" i="2" s="1"/>
  <c r="AI182" i="2"/>
  <c r="AJ182" i="2" s="1"/>
  <c r="Z173" i="2"/>
  <c r="AA173" i="2" s="1"/>
  <c r="Z167" i="2"/>
  <c r="AA167" i="2" s="1"/>
  <c r="W209" i="2"/>
  <c r="Y209" i="2" s="1"/>
  <c r="Z209" i="2"/>
  <c r="AA209" i="2" s="1"/>
  <c r="AF495" i="2"/>
  <c r="AI495" i="2"/>
  <c r="AJ495" i="2" s="1"/>
  <c r="AF487" i="2"/>
  <c r="AH487" i="2" s="1"/>
  <c r="AI487" i="2"/>
  <c r="AJ487" i="2" s="1"/>
  <c r="AD484" i="2"/>
  <c r="AI484" i="2"/>
  <c r="AJ484" i="2" s="1"/>
  <c r="T52" i="2"/>
  <c r="AD45" i="2"/>
  <c r="AH45" i="2" s="1"/>
  <c r="AI45" i="2"/>
  <c r="AJ45" i="2" s="1"/>
  <c r="AD154" i="2"/>
  <c r="AI154" i="2"/>
  <c r="AJ154" i="2" s="1"/>
  <c r="AD146" i="2"/>
  <c r="AH146" i="2" s="1"/>
  <c r="AI146" i="2"/>
  <c r="AJ146" i="2" s="1"/>
  <c r="U134" i="2"/>
  <c r="Y134" i="2" s="1"/>
  <c r="Z134" i="2"/>
  <c r="AA134" i="2" s="1"/>
  <c r="U176" i="2"/>
  <c r="Y176" i="2" s="1"/>
  <c r="Z176" i="2"/>
  <c r="AA176" i="2" s="1"/>
  <c r="AD286" i="2"/>
  <c r="AI286" i="2"/>
  <c r="AJ286" i="2" s="1"/>
  <c r="AI64" i="2"/>
  <c r="AJ64" i="2" s="1"/>
  <c r="AD46" i="2"/>
  <c r="AH46" i="2" s="1"/>
  <c r="AC46" i="2" s="1"/>
  <c r="AI46" i="2"/>
  <c r="AJ46" i="2" s="1"/>
  <c r="AD38" i="2"/>
  <c r="AH38" i="2" s="1"/>
  <c r="AI38" i="2"/>
  <c r="AJ38" i="2" s="1"/>
  <c r="AD113" i="2"/>
  <c r="AI113" i="2"/>
  <c r="AJ113" i="2" s="1"/>
  <c r="U154" i="2"/>
  <c r="Y154" i="2" s="1"/>
  <c r="Z154" i="2"/>
  <c r="AA154" i="2" s="1"/>
  <c r="U146" i="2"/>
  <c r="Y146" i="2" s="1"/>
  <c r="Z146" i="2"/>
  <c r="AA146" i="2" s="1"/>
  <c r="AF135" i="2"/>
  <c r="AH135" i="2" s="1"/>
  <c r="AI135" i="2"/>
  <c r="AJ135" i="2" s="1"/>
  <c r="AD180" i="2"/>
  <c r="AH180" i="2" s="1"/>
  <c r="AI180" i="2"/>
  <c r="AJ180" i="2" s="1"/>
  <c r="AD203" i="2"/>
  <c r="AI203" i="2"/>
  <c r="AJ203" i="2" s="1"/>
  <c r="W412" i="2"/>
  <c r="Z412" i="2"/>
  <c r="AA412" i="2" s="1"/>
  <c r="U446" i="2"/>
  <c r="Y446" i="2" s="1"/>
  <c r="Z446" i="2"/>
  <c r="AA446" i="2" s="1"/>
  <c r="AF118" i="2"/>
  <c r="AI118" i="2"/>
  <c r="AJ118" i="2" s="1"/>
  <c r="U406" i="2"/>
  <c r="Y406" i="2" s="1"/>
  <c r="Z406" i="2"/>
  <c r="AA406" i="2" s="1"/>
  <c r="Y64" i="2"/>
  <c r="T64" i="2" s="1"/>
  <c r="Y63" i="2"/>
  <c r="T63" i="2" s="1"/>
  <c r="Y61" i="2"/>
  <c r="Y59" i="2"/>
  <c r="Y57" i="2"/>
  <c r="Y56" i="2"/>
  <c r="T56" i="2" s="1"/>
  <c r="Y54" i="2"/>
  <c r="T54" i="2" s="1"/>
  <c r="AD48" i="2"/>
  <c r="AH48" i="2" s="1"/>
  <c r="AI48" i="2"/>
  <c r="AJ48" i="2" s="1"/>
  <c r="AD40" i="2"/>
  <c r="AI40" i="2"/>
  <c r="AJ40" i="2" s="1"/>
  <c r="AH93" i="2"/>
  <c r="AF114" i="2"/>
  <c r="AI114" i="2"/>
  <c r="AJ114" i="2" s="1"/>
  <c r="W177" i="2"/>
  <c r="Y177" i="2" s="1"/>
  <c r="AF454" i="2"/>
  <c r="AH454" i="2" s="1"/>
  <c r="AI454" i="2"/>
  <c r="AJ454" i="2" s="1"/>
  <c r="AD49" i="2"/>
  <c r="AI49" i="2"/>
  <c r="AJ49" i="2" s="1"/>
  <c r="Z46" i="2"/>
  <c r="AA46" i="2" s="1"/>
  <c r="AD41" i="2"/>
  <c r="AI41" i="2"/>
  <c r="AJ41" i="2" s="1"/>
  <c r="Z38" i="2"/>
  <c r="AA38" i="2" s="1"/>
  <c r="Y83" i="2"/>
  <c r="Y78" i="2"/>
  <c r="Z124" i="2"/>
  <c r="AA124" i="2" s="1"/>
  <c r="U121" i="2"/>
  <c r="Z121" i="2"/>
  <c r="AA121" i="2" s="1"/>
  <c r="Z119" i="2"/>
  <c r="AA119" i="2" s="1"/>
  <c r="Z116" i="2"/>
  <c r="AA116" i="2" s="1"/>
  <c r="Z111" i="2"/>
  <c r="AA111" i="2" s="1"/>
  <c r="U109" i="2"/>
  <c r="Y109" i="2" s="1"/>
  <c r="Z109" i="2"/>
  <c r="AA109" i="2" s="1"/>
  <c r="Z157" i="2"/>
  <c r="AA157" i="2" s="1"/>
  <c r="AF139" i="2"/>
  <c r="AH139" i="2" s="1"/>
  <c r="AI139" i="2"/>
  <c r="AJ139" i="2" s="1"/>
  <c r="AD178" i="2"/>
  <c r="AH178" i="2" s="1"/>
  <c r="AI178" i="2"/>
  <c r="AJ178" i="2" s="1"/>
  <c r="Z171" i="2"/>
  <c r="AA171" i="2" s="1"/>
  <c r="AI218" i="2"/>
  <c r="AJ218" i="2" s="1"/>
  <c r="W196" i="2"/>
  <c r="Y196" i="2" s="1"/>
  <c r="Z196" i="2"/>
  <c r="AA196" i="2" s="1"/>
  <c r="AI596" i="2"/>
  <c r="AJ596" i="2" s="1"/>
  <c r="Z49" i="2"/>
  <c r="AA49" i="2" s="1"/>
  <c r="AD44" i="2"/>
  <c r="AH44" i="2" s="1"/>
  <c r="AI44" i="2"/>
  <c r="AJ44" i="2" s="1"/>
  <c r="Z41" i="2"/>
  <c r="AA41" i="2" s="1"/>
  <c r="U125" i="2"/>
  <c r="Z125" i="2"/>
  <c r="AA125" i="2" s="1"/>
  <c r="U117" i="2"/>
  <c r="Z117" i="2"/>
  <c r="AA117" i="2" s="1"/>
  <c r="Z115" i="2"/>
  <c r="AA115" i="2" s="1"/>
  <c r="AD101" i="2"/>
  <c r="AH101" i="2" s="1"/>
  <c r="AI101" i="2"/>
  <c r="AJ101" i="2" s="1"/>
  <c r="AF151" i="2"/>
  <c r="AH151" i="2" s="1"/>
  <c r="AI151" i="2"/>
  <c r="AJ151" i="2" s="1"/>
  <c r="AF143" i="2"/>
  <c r="AH143" i="2" s="1"/>
  <c r="AI143" i="2"/>
  <c r="AJ143" i="2" s="1"/>
  <c r="AD134" i="2"/>
  <c r="AI134" i="2"/>
  <c r="AJ134" i="2" s="1"/>
  <c r="U188" i="2"/>
  <c r="Y188" i="2" s="1"/>
  <c r="Z188" i="2"/>
  <c r="AA188" i="2" s="1"/>
  <c r="U186" i="2"/>
  <c r="Y186" i="2" s="1"/>
  <c r="Z186" i="2"/>
  <c r="AA186" i="2" s="1"/>
  <c r="U184" i="2"/>
  <c r="Y184" i="2" s="1"/>
  <c r="Z184" i="2"/>
  <c r="AA184" i="2" s="1"/>
  <c r="U182" i="2"/>
  <c r="Y182" i="2" s="1"/>
  <c r="Z182" i="2"/>
  <c r="AA182" i="2" s="1"/>
  <c r="AD176" i="2"/>
  <c r="AH176" i="2" s="1"/>
  <c r="AI176" i="2"/>
  <c r="AJ176" i="2" s="1"/>
  <c r="W213" i="2"/>
  <c r="Z213" i="2"/>
  <c r="AA213" i="2" s="1"/>
  <c r="AD198" i="2"/>
  <c r="AI198" i="2"/>
  <c r="AJ198" i="2" s="1"/>
  <c r="W296" i="2"/>
  <c r="Z296" i="2"/>
  <c r="AA296" i="2" s="1"/>
  <c r="W295" i="2"/>
  <c r="Y295" i="2" s="1"/>
  <c r="Z295" i="2"/>
  <c r="AA295" i="2" s="1"/>
  <c r="AD404" i="2"/>
  <c r="AH404" i="2" s="1"/>
  <c r="AI404" i="2"/>
  <c r="AJ404" i="2" s="1"/>
  <c r="AD396" i="2"/>
  <c r="AH396" i="2" s="1"/>
  <c r="AI396" i="2"/>
  <c r="AJ396" i="2" s="1"/>
  <c r="AH92" i="2"/>
  <c r="AH88" i="2"/>
  <c r="AH84" i="2"/>
  <c r="AH80" i="2"/>
  <c r="AH76" i="2"/>
  <c r="AH72" i="2"/>
  <c r="Y70" i="2"/>
  <c r="Z185" i="2"/>
  <c r="AA185" i="2" s="1"/>
  <c r="AH174" i="2"/>
  <c r="AH172" i="2"/>
  <c r="AH170" i="2"/>
  <c r="AH168" i="2"/>
  <c r="AD215" i="2"/>
  <c r="AI215" i="2"/>
  <c r="AJ215" i="2" s="1"/>
  <c r="AD298" i="2"/>
  <c r="AI298" i="2"/>
  <c r="AJ298" i="2" s="1"/>
  <c r="W292" i="2"/>
  <c r="Z292" i="2"/>
  <c r="AA292" i="2" s="1"/>
  <c r="W291" i="2"/>
  <c r="Y291" i="2" s="1"/>
  <c r="Z291" i="2"/>
  <c r="AA291" i="2" s="1"/>
  <c r="AH357" i="2"/>
  <c r="W393" i="2"/>
  <c r="Z393" i="2"/>
  <c r="AA393" i="2" s="1"/>
  <c r="AD492" i="2"/>
  <c r="AH492" i="2" s="1"/>
  <c r="AI492" i="2"/>
  <c r="AJ492" i="2" s="1"/>
  <c r="AF483" i="2"/>
  <c r="AI483" i="2"/>
  <c r="AJ483" i="2" s="1"/>
  <c r="U475" i="2"/>
  <c r="Y475" i="2" s="1"/>
  <c r="Z475" i="2"/>
  <c r="AA475" i="2" s="1"/>
  <c r="Y51" i="2"/>
  <c r="Y50" i="2"/>
  <c r="Y49" i="2"/>
  <c r="Y48" i="2"/>
  <c r="T48" i="2" s="1"/>
  <c r="Y47" i="2"/>
  <c r="T47" i="2" s="1"/>
  <c r="Y46" i="2"/>
  <c r="Y45" i="2"/>
  <c r="T45" i="2" s="1"/>
  <c r="Y44" i="2"/>
  <c r="T44" i="2" s="1"/>
  <c r="Y43" i="2"/>
  <c r="T43" i="2" s="1"/>
  <c r="Y42" i="2"/>
  <c r="Y41" i="2"/>
  <c r="Y40" i="2"/>
  <c r="T40" i="2" s="1"/>
  <c r="Y39" i="2"/>
  <c r="T39" i="2" s="1"/>
  <c r="Y92" i="2"/>
  <c r="Y88" i="2"/>
  <c r="Y84" i="2"/>
  <c r="Y80" i="2"/>
  <c r="Y76" i="2"/>
  <c r="Y72" i="2"/>
  <c r="AH69" i="2"/>
  <c r="Y123" i="2"/>
  <c r="Y119" i="2"/>
  <c r="Y115" i="2"/>
  <c r="Y111" i="2"/>
  <c r="Z110" i="2"/>
  <c r="AA110" i="2" s="1"/>
  <c r="Y107" i="2"/>
  <c r="Z106" i="2"/>
  <c r="AA106" i="2" s="1"/>
  <c r="Y103" i="2"/>
  <c r="Z102" i="2"/>
  <c r="AA102" i="2" s="1"/>
  <c r="Y156" i="2"/>
  <c r="Z155" i="2"/>
  <c r="AA155" i="2" s="1"/>
  <c r="Y152" i="2"/>
  <c r="Y148" i="2"/>
  <c r="Y140" i="2"/>
  <c r="Z131" i="2"/>
  <c r="AA131" i="2" s="1"/>
  <c r="Y187" i="2"/>
  <c r="Y185" i="2"/>
  <c r="Y179" i="2"/>
  <c r="Z174" i="2"/>
  <c r="AA174" i="2" s="1"/>
  <c r="Z172" i="2"/>
  <c r="AA172" i="2" s="1"/>
  <c r="Z170" i="2"/>
  <c r="AA170" i="2" s="1"/>
  <c r="Z168" i="2"/>
  <c r="AA168" i="2" s="1"/>
  <c r="AI210" i="2"/>
  <c r="AJ210" i="2" s="1"/>
  <c r="AD207" i="2"/>
  <c r="AI207" i="2"/>
  <c r="AJ207" i="2" s="1"/>
  <c r="W200" i="2"/>
  <c r="Y200" i="2" s="1"/>
  <c r="Z200" i="2"/>
  <c r="AA200" i="2" s="1"/>
  <c r="AD195" i="2"/>
  <c r="AI195" i="2"/>
  <c r="AJ195" i="2" s="1"/>
  <c r="AD306" i="2"/>
  <c r="AH306" i="2" s="1"/>
  <c r="AI306" i="2"/>
  <c r="AJ306" i="2" s="1"/>
  <c r="AD398" i="2"/>
  <c r="AH398" i="2" s="1"/>
  <c r="AI398" i="2"/>
  <c r="AJ398" i="2" s="1"/>
  <c r="AF433" i="2"/>
  <c r="AI433" i="2"/>
  <c r="AJ433" i="2" s="1"/>
  <c r="AD430" i="2"/>
  <c r="AI430" i="2"/>
  <c r="AJ430" i="2" s="1"/>
  <c r="AF425" i="2"/>
  <c r="AH425" i="2" s="1"/>
  <c r="AI425" i="2"/>
  <c r="AJ425" i="2" s="1"/>
  <c r="AD463" i="2"/>
  <c r="AI463" i="2"/>
  <c r="AJ463" i="2" s="1"/>
  <c r="W449" i="2"/>
  <c r="Z449" i="2"/>
  <c r="AA449" i="2" s="1"/>
  <c r="AH94" i="2"/>
  <c r="AH90" i="2"/>
  <c r="AH86" i="2"/>
  <c r="AH82" i="2"/>
  <c r="AH78" i="2"/>
  <c r="AH74" i="2"/>
  <c r="AI123" i="2"/>
  <c r="AJ123" i="2" s="1"/>
  <c r="AI111" i="2"/>
  <c r="AJ111" i="2" s="1"/>
  <c r="AI107" i="2"/>
  <c r="AJ107" i="2" s="1"/>
  <c r="AI103" i="2"/>
  <c r="AJ103" i="2" s="1"/>
  <c r="AI156" i="2"/>
  <c r="AJ156" i="2" s="1"/>
  <c r="AI152" i="2"/>
  <c r="AJ152" i="2" s="1"/>
  <c r="AI144" i="2"/>
  <c r="AJ144" i="2" s="1"/>
  <c r="AI140" i="2"/>
  <c r="AJ140" i="2" s="1"/>
  <c r="AI136" i="2"/>
  <c r="AJ136" i="2" s="1"/>
  <c r="AI132" i="2"/>
  <c r="AJ132" i="2" s="1"/>
  <c r="AH173" i="2"/>
  <c r="AH171" i="2"/>
  <c r="AH169" i="2"/>
  <c r="AH167" i="2"/>
  <c r="AI166" i="2"/>
  <c r="AJ166" i="2" s="1"/>
  <c r="W217" i="2"/>
  <c r="Z217" i="2"/>
  <c r="AA217" i="2" s="1"/>
  <c r="W216" i="2"/>
  <c r="Y216" i="2" s="1"/>
  <c r="Z216" i="2"/>
  <c r="AA216" i="2" s="1"/>
  <c r="AD211" i="2"/>
  <c r="AH211" i="2" s="1"/>
  <c r="AI211" i="2"/>
  <c r="AJ211" i="2" s="1"/>
  <c r="W201" i="2"/>
  <c r="Y201" i="2" s="1"/>
  <c r="Z201" i="2"/>
  <c r="AA201" i="2" s="1"/>
  <c r="AI309" i="2"/>
  <c r="AJ309" i="2" s="1"/>
  <c r="W300" i="2"/>
  <c r="Y300" i="2" s="1"/>
  <c r="Z300" i="2"/>
  <c r="AA300" i="2" s="1"/>
  <c r="W299" i="2"/>
  <c r="Z299" i="2"/>
  <c r="AA299" i="2" s="1"/>
  <c r="AI293" i="2"/>
  <c r="AJ293" i="2" s="1"/>
  <c r="AD290" i="2"/>
  <c r="AI290" i="2"/>
  <c r="AJ290" i="2" s="1"/>
  <c r="AD434" i="2"/>
  <c r="AI434" i="2"/>
  <c r="AJ434" i="2" s="1"/>
  <c r="Y93" i="2"/>
  <c r="Y89" i="2"/>
  <c r="Y85" i="2"/>
  <c r="Y81" i="2"/>
  <c r="Y77" i="2"/>
  <c r="Y73" i="2"/>
  <c r="AH70" i="2"/>
  <c r="AH187" i="2"/>
  <c r="AH185" i="2"/>
  <c r="AH183" i="2"/>
  <c r="AD310" i="2"/>
  <c r="AH310" i="2" s="1"/>
  <c r="AI310" i="2"/>
  <c r="AJ310" i="2" s="1"/>
  <c r="W287" i="2"/>
  <c r="Y287" i="2" s="1"/>
  <c r="Z287" i="2"/>
  <c r="AA287" i="2" s="1"/>
  <c r="AD402" i="2"/>
  <c r="AH402" i="2" s="1"/>
  <c r="AI402" i="2"/>
  <c r="AJ402" i="2" s="1"/>
  <c r="W416" i="2"/>
  <c r="Y416" i="2" s="1"/>
  <c r="Z416" i="2"/>
  <c r="AA416" i="2" s="1"/>
  <c r="AF466" i="2"/>
  <c r="AI466" i="2"/>
  <c r="AJ466" i="2" s="1"/>
  <c r="AH95" i="2"/>
  <c r="AH87" i="2"/>
  <c r="AH83" i="2"/>
  <c r="AH79" i="2"/>
  <c r="AH75" i="2"/>
  <c r="Y69" i="2"/>
  <c r="AH123" i="2"/>
  <c r="AI122" i="2"/>
  <c r="AJ122" i="2" s="1"/>
  <c r="AH115" i="2"/>
  <c r="AH111" i="2"/>
  <c r="AH107" i="2"/>
  <c r="AH103" i="2"/>
  <c r="AI102" i="2"/>
  <c r="AJ102" i="2" s="1"/>
  <c r="AI155" i="2"/>
  <c r="AJ155" i="2" s="1"/>
  <c r="Y170" i="2"/>
  <c r="Y168" i="2"/>
  <c r="W205" i="2"/>
  <c r="Y205" i="2" s="1"/>
  <c r="Z205" i="2"/>
  <c r="AA205" i="2" s="1"/>
  <c r="W204" i="2"/>
  <c r="Y204" i="2" s="1"/>
  <c r="Z204" i="2"/>
  <c r="AA204" i="2" s="1"/>
  <c r="AI297" i="2"/>
  <c r="AJ297" i="2" s="1"/>
  <c r="AD294" i="2"/>
  <c r="AI294" i="2"/>
  <c r="AJ294" i="2" s="1"/>
  <c r="AD467" i="2"/>
  <c r="AH467" i="2" s="1"/>
  <c r="AI467" i="2"/>
  <c r="AJ467" i="2" s="1"/>
  <c r="Y165" i="2"/>
  <c r="Y163" i="2"/>
  <c r="Y217" i="2"/>
  <c r="Y213" i="2"/>
  <c r="Z212" i="2"/>
  <c r="AA212" i="2" s="1"/>
  <c r="Y197" i="2"/>
  <c r="Y193" i="2"/>
  <c r="Y236" i="2"/>
  <c r="Y232" i="2"/>
  <c r="Y228" i="2"/>
  <c r="Y224" i="2"/>
  <c r="Y312" i="2"/>
  <c r="Z311" i="2"/>
  <c r="AA311" i="2" s="1"/>
  <c r="Y308" i="2"/>
  <c r="Z307" i="2"/>
  <c r="AA307" i="2" s="1"/>
  <c r="Y304" i="2"/>
  <c r="Z303" i="2"/>
  <c r="AA303" i="2" s="1"/>
  <c r="Y296" i="2"/>
  <c r="Y292" i="2"/>
  <c r="Y288" i="2"/>
  <c r="Y343" i="2"/>
  <c r="Y339" i="2"/>
  <c r="Y335" i="2"/>
  <c r="Z374" i="2"/>
  <c r="AA374" i="2" s="1"/>
  <c r="Y373" i="2"/>
  <c r="Y372" i="2"/>
  <c r="Z371" i="2"/>
  <c r="AA371" i="2" s="1"/>
  <c r="AH368" i="2"/>
  <c r="Y365" i="2"/>
  <c r="AH355" i="2"/>
  <c r="AH354" i="2"/>
  <c r="AH353" i="2"/>
  <c r="AH352" i="2"/>
  <c r="AD400" i="2"/>
  <c r="AH400" i="2" s="1"/>
  <c r="AI400" i="2"/>
  <c r="AJ400" i="2" s="1"/>
  <c r="U392" i="2"/>
  <c r="Y392" i="2" s="1"/>
  <c r="Z392" i="2"/>
  <c r="AA392" i="2" s="1"/>
  <c r="U390" i="2"/>
  <c r="Y390" i="2" s="1"/>
  <c r="Z390" i="2"/>
  <c r="AA390" i="2" s="1"/>
  <c r="U388" i="2"/>
  <c r="Y388" i="2" s="1"/>
  <c r="Z388" i="2"/>
  <c r="AA388" i="2" s="1"/>
  <c r="U386" i="2"/>
  <c r="Y386" i="2" s="1"/>
  <c r="Z386" i="2"/>
  <c r="AA386" i="2" s="1"/>
  <c r="U384" i="2"/>
  <c r="Y384" i="2" s="1"/>
  <c r="Z384" i="2"/>
  <c r="AA384" i="2" s="1"/>
  <c r="U382" i="2"/>
  <c r="Y382" i="2" s="1"/>
  <c r="Z382" i="2"/>
  <c r="AA382" i="2" s="1"/>
  <c r="U380" i="2"/>
  <c r="Y380" i="2" s="1"/>
  <c r="Z380" i="2"/>
  <c r="AA380" i="2" s="1"/>
  <c r="AD426" i="2"/>
  <c r="AH426" i="2" s="1"/>
  <c r="AI426" i="2"/>
  <c r="AJ426" i="2" s="1"/>
  <c r="U413" i="2"/>
  <c r="Z413" i="2"/>
  <c r="AA413" i="2" s="1"/>
  <c r="AD455" i="2"/>
  <c r="AI455" i="2"/>
  <c r="AJ455" i="2" s="1"/>
  <c r="U442" i="2"/>
  <c r="Y442" i="2" s="1"/>
  <c r="Z442" i="2"/>
  <c r="AA442" i="2" s="1"/>
  <c r="AD496" i="2"/>
  <c r="AI496" i="2"/>
  <c r="AJ496" i="2" s="1"/>
  <c r="AD488" i="2"/>
  <c r="AI488" i="2"/>
  <c r="AJ488" i="2" s="1"/>
  <c r="Y552" i="2"/>
  <c r="Z219" i="2"/>
  <c r="AA219" i="2" s="1"/>
  <c r="Z215" i="2"/>
  <c r="AA215" i="2" s="1"/>
  <c r="Y212" i="2"/>
  <c r="Y208" i="2"/>
  <c r="Z203" i="2"/>
  <c r="AA203" i="2" s="1"/>
  <c r="Z199" i="2"/>
  <c r="AA199" i="2" s="1"/>
  <c r="Y237" i="2"/>
  <c r="Y233" i="2"/>
  <c r="Y229" i="2"/>
  <c r="Y225" i="2"/>
  <c r="Y268" i="2"/>
  <c r="Y264" i="2"/>
  <c r="Y260" i="2"/>
  <c r="Y256" i="2"/>
  <c r="Z298" i="2"/>
  <c r="AA298" i="2" s="1"/>
  <c r="Z294" i="2"/>
  <c r="AA294" i="2" s="1"/>
  <c r="Z290" i="2"/>
  <c r="AA290" i="2" s="1"/>
  <c r="Z286" i="2"/>
  <c r="AA286" i="2" s="1"/>
  <c r="Y340" i="2"/>
  <c r="Y336" i="2"/>
  <c r="U404" i="2"/>
  <c r="Y404" i="2" s="1"/>
  <c r="Z404" i="2"/>
  <c r="AA404" i="2" s="1"/>
  <c r="U402" i="2"/>
  <c r="Y402" i="2" s="1"/>
  <c r="Z402" i="2"/>
  <c r="AA402" i="2" s="1"/>
  <c r="Z401" i="2"/>
  <c r="AA401" i="2" s="1"/>
  <c r="Z428" i="2"/>
  <c r="AA428" i="2" s="1"/>
  <c r="Z424" i="2"/>
  <c r="AA424" i="2" s="1"/>
  <c r="U421" i="2"/>
  <c r="Z421" i="2"/>
  <c r="AA421" i="2" s="1"/>
  <c r="U417" i="2"/>
  <c r="Z417" i="2"/>
  <c r="AA417" i="2" s="1"/>
  <c r="Z461" i="2"/>
  <c r="AA461" i="2" s="1"/>
  <c r="Z457" i="2"/>
  <c r="AA457" i="2" s="1"/>
  <c r="U450" i="2"/>
  <c r="Y450" i="2" s="1"/>
  <c r="Z450" i="2"/>
  <c r="AA450" i="2" s="1"/>
  <c r="Y449" i="2"/>
  <c r="Z486" i="2"/>
  <c r="AA486" i="2" s="1"/>
  <c r="AD480" i="2"/>
  <c r="AI480" i="2"/>
  <c r="AJ480" i="2" s="1"/>
  <c r="AI475" i="2"/>
  <c r="AJ475" i="2" s="1"/>
  <c r="Y553" i="2"/>
  <c r="AI162" i="2"/>
  <c r="AJ162" i="2" s="1"/>
  <c r="AI212" i="2"/>
  <c r="AJ212" i="2" s="1"/>
  <c r="AI200" i="2"/>
  <c r="AJ200" i="2" s="1"/>
  <c r="AI196" i="2"/>
  <c r="AJ196" i="2" s="1"/>
  <c r="AI307" i="2"/>
  <c r="AJ307" i="2" s="1"/>
  <c r="AI303" i="2"/>
  <c r="AJ303" i="2" s="1"/>
  <c r="AI287" i="2"/>
  <c r="AJ287" i="2" s="1"/>
  <c r="AH318" i="2"/>
  <c r="Y368" i="2"/>
  <c r="Z397" i="2"/>
  <c r="AA397" i="2" s="1"/>
  <c r="AD394" i="2"/>
  <c r="AH394" i="2" s="1"/>
  <c r="AI394" i="2"/>
  <c r="AJ394" i="2" s="1"/>
  <c r="U425" i="2"/>
  <c r="Z425" i="2"/>
  <c r="AA425" i="2" s="1"/>
  <c r="AI413" i="2"/>
  <c r="AJ413" i="2" s="1"/>
  <c r="Z465" i="2"/>
  <c r="AA465" i="2" s="1"/>
  <c r="U454" i="2"/>
  <c r="Y454" i="2" s="1"/>
  <c r="Z454" i="2"/>
  <c r="AA454" i="2" s="1"/>
  <c r="Y453" i="2"/>
  <c r="AI442" i="2"/>
  <c r="AJ442" i="2" s="1"/>
  <c r="Z498" i="2"/>
  <c r="AA498" i="2" s="1"/>
  <c r="Z490" i="2"/>
  <c r="AA490" i="2" s="1"/>
  <c r="U487" i="2"/>
  <c r="Y487" i="2" s="1"/>
  <c r="Z487" i="2"/>
  <c r="AA487" i="2" s="1"/>
  <c r="Z482" i="2"/>
  <c r="AA482" i="2" s="1"/>
  <c r="AD476" i="2"/>
  <c r="AI476" i="2"/>
  <c r="AJ476" i="2" s="1"/>
  <c r="Y164" i="2"/>
  <c r="Z214" i="2"/>
  <c r="AA214" i="2" s="1"/>
  <c r="Z198" i="2"/>
  <c r="AA198" i="2" s="1"/>
  <c r="AH373" i="2"/>
  <c r="U400" i="2"/>
  <c r="Y400" i="2" s="1"/>
  <c r="Z400" i="2"/>
  <c r="AA400" i="2" s="1"/>
  <c r="U398" i="2"/>
  <c r="Y398" i="2" s="1"/>
  <c r="Z398" i="2"/>
  <c r="AA398" i="2" s="1"/>
  <c r="AD392" i="2"/>
  <c r="AH392" i="2" s="1"/>
  <c r="AI392" i="2"/>
  <c r="AJ392" i="2" s="1"/>
  <c r="U437" i="2"/>
  <c r="Y437" i="2" s="1"/>
  <c r="Z437" i="2"/>
  <c r="AA437" i="2" s="1"/>
  <c r="U429" i="2"/>
  <c r="Z429" i="2"/>
  <c r="AA429" i="2" s="1"/>
  <c r="U462" i="2"/>
  <c r="Y462" i="2" s="1"/>
  <c r="Z462" i="2"/>
  <c r="AA462" i="2" s="1"/>
  <c r="U458" i="2"/>
  <c r="Y458" i="2" s="1"/>
  <c r="Z458" i="2"/>
  <c r="AA458" i="2" s="1"/>
  <c r="AI446" i="2"/>
  <c r="AJ446" i="2" s="1"/>
  <c r="AD443" i="2"/>
  <c r="AI443" i="2"/>
  <c r="AJ443" i="2" s="1"/>
  <c r="U499" i="2"/>
  <c r="Y499" i="2" s="1"/>
  <c r="Z499" i="2"/>
  <c r="AA499" i="2" s="1"/>
  <c r="U491" i="2"/>
  <c r="Y491" i="2" s="1"/>
  <c r="Z491" i="2"/>
  <c r="AA491" i="2" s="1"/>
  <c r="Z369" i="2"/>
  <c r="AA369" i="2" s="1"/>
  <c r="AH366" i="2"/>
  <c r="U396" i="2"/>
  <c r="Y396" i="2" s="1"/>
  <c r="Z396" i="2"/>
  <c r="AA396" i="2" s="1"/>
  <c r="Z395" i="2"/>
  <c r="AA395" i="2" s="1"/>
  <c r="AD390" i="2"/>
  <c r="AH390" i="2" s="1"/>
  <c r="AI390" i="2"/>
  <c r="AJ390" i="2" s="1"/>
  <c r="AD388" i="2"/>
  <c r="AH388" i="2" s="1"/>
  <c r="AI388" i="2"/>
  <c r="AJ388" i="2" s="1"/>
  <c r="AD386" i="2"/>
  <c r="AH386" i="2" s="1"/>
  <c r="AI386" i="2"/>
  <c r="AJ386" i="2" s="1"/>
  <c r="AD384" i="2"/>
  <c r="AH384" i="2" s="1"/>
  <c r="AI384" i="2"/>
  <c r="AJ384" i="2" s="1"/>
  <c r="AD382" i="2"/>
  <c r="AH382" i="2" s="1"/>
  <c r="AI382" i="2"/>
  <c r="AJ382" i="2" s="1"/>
  <c r="AD380" i="2"/>
  <c r="AH380" i="2" s="1"/>
  <c r="AI380" i="2"/>
  <c r="AJ380" i="2" s="1"/>
  <c r="U433" i="2"/>
  <c r="Y433" i="2" s="1"/>
  <c r="Z433" i="2"/>
  <c r="AA433" i="2" s="1"/>
  <c r="AI417" i="2"/>
  <c r="AJ417" i="2" s="1"/>
  <c r="AD414" i="2"/>
  <c r="AI414" i="2"/>
  <c r="AJ414" i="2" s="1"/>
  <c r="U466" i="2"/>
  <c r="Y466" i="2" s="1"/>
  <c r="Z466" i="2"/>
  <c r="AA466" i="2" s="1"/>
  <c r="Y465" i="2"/>
  <c r="AI450" i="2"/>
  <c r="AJ450" i="2" s="1"/>
  <c r="AD447" i="2"/>
  <c r="AI447" i="2"/>
  <c r="AJ447" i="2" s="1"/>
  <c r="U495" i="2"/>
  <c r="Y495" i="2" s="1"/>
  <c r="Z495" i="2"/>
  <c r="AA495" i="2" s="1"/>
  <c r="U483" i="2"/>
  <c r="Y483" i="2" s="1"/>
  <c r="Z483" i="2"/>
  <c r="AA483" i="2" s="1"/>
  <c r="Y523" i="2"/>
  <c r="AH166" i="2"/>
  <c r="AH164" i="2"/>
  <c r="AH162" i="2"/>
  <c r="Y198" i="2"/>
  <c r="Z197" i="2"/>
  <c r="AA197" i="2" s="1"/>
  <c r="Y194" i="2"/>
  <c r="Z193" i="2"/>
  <c r="AA193" i="2" s="1"/>
  <c r="Y239" i="2"/>
  <c r="Y235" i="2"/>
  <c r="Y262" i="2"/>
  <c r="Y258" i="2"/>
  <c r="Z312" i="2"/>
  <c r="AA312" i="2" s="1"/>
  <c r="Y309" i="2"/>
  <c r="Z308" i="2"/>
  <c r="AA308" i="2" s="1"/>
  <c r="Y305" i="2"/>
  <c r="Z304" i="2"/>
  <c r="AA304" i="2" s="1"/>
  <c r="Y297" i="2"/>
  <c r="Z288" i="2"/>
  <c r="AA288" i="2" s="1"/>
  <c r="Y334" i="2"/>
  <c r="Y326" i="2"/>
  <c r="Y322" i="2"/>
  <c r="Y318" i="2"/>
  <c r="AI367" i="2"/>
  <c r="AJ367" i="2" s="1"/>
  <c r="Y363" i="2"/>
  <c r="AD406" i="2"/>
  <c r="AH406" i="2" s="1"/>
  <c r="AI406" i="2"/>
  <c r="AJ406" i="2" s="1"/>
  <c r="AD418" i="2"/>
  <c r="AI418" i="2"/>
  <c r="AJ418" i="2" s="1"/>
  <c r="AD451" i="2"/>
  <c r="AI451" i="2"/>
  <c r="AJ451" i="2" s="1"/>
  <c r="U479" i="2"/>
  <c r="Y479" i="2" s="1"/>
  <c r="Z479" i="2"/>
  <c r="AA479" i="2" s="1"/>
  <c r="AI403" i="2"/>
  <c r="AJ403" i="2" s="1"/>
  <c r="AI399" i="2"/>
  <c r="AJ399" i="2" s="1"/>
  <c r="AI397" i="2"/>
  <c r="AJ397" i="2" s="1"/>
  <c r="AI395" i="2"/>
  <c r="AJ395" i="2" s="1"/>
  <c r="AI393" i="2"/>
  <c r="AJ393" i="2" s="1"/>
  <c r="AI391" i="2"/>
  <c r="AJ391" i="2" s="1"/>
  <c r="AI389" i="2"/>
  <c r="AJ389" i="2" s="1"/>
  <c r="AI387" i="2"/>
  <c r="AJ387" i="2" s="1"/>
  <c r="AI385" i="2"/>
  <c r="AJ385" i="2" s="1"/>
  <c r="AI383" i="2"/>
  <c r="AJ383" i="2" s="1"/>
  <c r="AI381" i="2"/>
  <c r="AJ381" i="2" s="1"/>
  <c r="AH437" i="2"/>
  <c r="AI436" i="2"/>
  <c r="AJ436" i="2" s="1"/>
  <c r="AH433" i="2"/>
  <c r="AI432" i="2"/>
  <c r="AJ432" i="2" s="1"/>
  <c r="AH429" i="2"/>
  <c r="AI428" i="2"/>
  <c r="AJ428" i="2" s="1"/>
  <c r="AI420" i="2"/>
  <c r="AJ420" i="2" s="1"/>
  <c r="AH417" i="2"/>
  <c r="AI416" i="2"/>
  <c r="AJ416" i="2" s="1"/>
  <c r="AH413" i="2"/>
  <c r="AI412" i="2"/>
  <c r="AJ412" i="2" s="1"/>
  <c r="AI465" i="2"/>
  <c r="AJ465" i="2" s="1"/>
  <c r="AI461" i="2"/>
  <c r="AJ461" i="2" s="1"/>
  <c r="AI457" i="2"/>
  <c r="AJ457" i="2" s="1"/>
  <c r="AI453" i="2"/>
  <c r="AJ453" i="2" s="1"/>
  <c r="AI449" i="2"/>
  <c r="AJ449" i="2" s="1"/>
  <c r="AI445" i="2"/>
  <c r="AJ445" i="2" s="1"/>
  <c r="AI482" i="2"/>
  <c r="AJ482" i="2" s="1"/>
  <c r="AI478" i="2"/>
  <c r="AJ478" i="2" s="1"/>
  <c r="AI474" i="2"/>
  <c r="AJ474" i="2" s="1"/>
  <c r="AH517" i="2"/>
  <c r="AH513" i="2"/>
  <c r="AH509" i="2"/>
  <c r="AH505" i="2"/>
  <c r="AH578" i="2"/>
  <c r="AH574" i="2"/>
  <c r="AH570" i="2"/>
  <c r="AH566" i="2"/>
  <c r="Y356" i="2"/>
  <c r="Y405" i="2"/>
  <c r="Y403" i="2"/>
  <c r="Y401" i="2"/>
  <c r="Y399" i="2"/>
  <c r="Y397" i="2"/>
  <c r="Y395" i="2"/>
  <c r="Y393" i="2"/>
  <c r="Y391" i="2"/>
  <c r="Y389" i="2"/>
  <c r="Y387" i="2"/>
  <c r="Y385" i="2"/>
  <c r="Y383" i="2"/>
  <c r="Y381" i="2"/>
  <c r="Z430" i="2"/>
  <c r="AA430" i="2" s="1"/>
  <c r="Z426" i="2"/>
  <c r="AA426" i="2" s="1"/>
  <c r="Z422" i="2"/>
  <c r="AA422" i="2" s="1"/>
  <c r="Z414" i="2"/>
  <c r="AA414" i="2" s="1"/>
  <c r="Z463" i="2"/>
  <c r="AA463" i="2" s="1"/>
  <c r="Y460" i="2"/>
  <c r="Z459" i="2"/>
  <c r="AA459" i="2" s="1"/>
  <c r="Z455" i="2"/>
  <c r="AA455" i="2" s="1"/>
  <c r="Y452" i="2"/>
  <c r="Y497" i="2"/>
  <c r="Y493" i="2"/>
  <c r="Z492" i="2"/>
  <c r="AA492" i="2" s="1"/>
  <c r="Y489" i="2"/>
  <c r="Z488" i="2"/>
  <c r="AA488" i="2" s="1"/>
  <c r="Y481" i="2"/>
  <c r="Y520" i="2"/>
  <c r="AH551" i="2"/>
  <c r="Y589" i="2"/>
  <c r="Y585" i="2"/>
  <c r="AI423" i="2"/>
  <c r="AJ423" i="2" s="1"/>
  <c r="AI415" i="2"/>
  <c r="AJ415" i="2" s="1"/>
  <c r="AI468" i="2"/>
  <c r="AJ468" i="2" s="1"/>
  <c r="AI452" i="2"/>
  <c r="AJ452" i="2" s="1"/>
  <c r="AI448" i="2"/>
  <c r="AJ448" i="2" s="1"/>
  <c r="AI444" i="2"/>
  <c r="AJ444" i="2" s="1"/>
  <c r="AI497" i="2"/>
  <c r="AJ497" i="2" s="1"/>
  <c r="AI493" i="2"/>
  <c r="AJ493" i="2" s="1"/>
  <c r="AI489" i="2"/>
  <c r="AJ489" i="2" s="1"/>
  <c r="AH567" i="2"/>
  <c r="AH365" i="2"/>
  <c r="AH364" i="2"/>
  <c r="AH363" i="2"/>
  <c r="AH362" i="2"/>
  <c r="AH361" i="2"/>
  <c r="AH405" i="2"/>
  <c r="AH403" i="2"/>
  <c r="AH401" i="2"/>
  <c r="AH399" i="2"/>
  <c r="AH397" i="2"/>
  <c r="AH395" i="2"/>
  <c r="AH393" i="2"/>
  <c r="AH391" i="2"/>
  <c r="AH389" i="2"/>
  <c r="AH387" i="2"/>
  <c r="AH385" i="2"/>
  <c r="AH383" i="2"/>
  <c r="AH381" i="2"/>
  <c r="Y434" i="2"/>
  <c r="Y430" i="2"/>
  <c r="Y426" i="2"/>
  <c r="Y422" i="2"/>
  <c r="Y414" i="2"/>
  <c r="Y488" i="2"/>
  <c r="Y509" i="2"/>
  <c r="Y505" i="2"/>
  <c r="Y551" i="2"/>
  <c r="Y590" i="2"/>
  <c r="Y586" i="2"/>
  <c r="Y582" i="2"/>
  <c r="AH591" i="2"/>
  <c r="AH587" i="2"/>
  <c r="AH584" i="2"/>
  <c r="AH583" i="2"/>
  <c r="AH582" i="2"/>
  <c r="AH581" i="2"/>
  <c r="AH577" i="2"/>
  <c r="Y580" i="2"/>
  <c r="Y576" i="2"/>
  <c r="Y572" i="2"/>
  <c r="Y568" i="2"/>
  <c r="AH573" i="2"/>
  <c r="AH590" i="2"/>
  <c r="AH585" i="2"/>
  <c r="Y581" i="2"/>
  <c r="Y577" i="2"/>
  <c r="Y573" i="2"/>
  <c r="Y569" i="2"/>
  <c r="AH592" i="2"/>
  <c r="AH588" i="2"/>
  <c r="AH586" i="2"/>
  <c r="Y578" i="2"/>
  <c r="Y574" i="2"/>
  <c r="Y570" i="2"/>
  <c r="Y566" i="2"/>
  <c r="AH589" i="2"/>
  <c r="AH569" i="2"/>
  <c r="AH580" i="2"/>
  <c r="AH576" i="2"/>
  <c r="AH572" i="2"/>
  <c r="AH568" i="2"/>
  <c r="AI592" i="2"/>
  <c r="AJ592" i="2" s="1"/>
  <c r="Z592" i="2"/>
  <c r="AA592" i="2" s="1"/>
  <c r="AI591" i="2"/>
  <c r="AJ591" i="2" s="1"/>
  <c r="Z591" i="2"/>
  <c r="AA591" i="2" s="1"/>
  <c r="AI590" i="2"/>
  <c r="AJ590" i="2" s="1"/>
  <c r="Z590" i="2"/>
  <c r="AA590" i="2" s="1"/>
  <c r="AI589" i="2"/>
  <c r="AJ589" i="2" s="1"/>
  <c r="Z589" i="2"/>
  <c r="AA589" i="2" s="1"/>
  <c r="AI588" i="2"/>
  <c r="AJ588" i="2" s="1"/>
  <c r="Z588" i="2"/>
  <c r="AA588" i="2" s="1"/>
  <c r="AI587" i="2"/>
  <c r="AJ587" i="2" s="1"/>
  <c r="Z587" i="2"/>
  <c r="AA587" i="2" s="1"/>
  <c r="AI586" i="2"/>
  <c r="AJ586" i="2" s="1"/>
  <c r="Z586" i="2"/>
  <c r="AA586" i="2" s="1"/>
  <c r="AI585" i="2"/>
  <c r="AJ585" i="2" s="1"/>
  <c r="Z585" i="2"/>
  <c r="AA585" i="2" s="1"/>
  <c r="AI584" i="2"/>
  <c r="AJ584" i="2" s="1"/>
  <c r="Z584" i="2"/>
  <c r="AA584" i="2" s="1"/>
  <c r="AI583" i="2"/>
  <c r="AJ583" i="2" s="1"/>
  <c r="Z583" i="2"/>
  <c r="AA583" i="2" s="1"/>
  <c r="AI582" i="2"/>
  <c r="AJ582" i="2" s="1"/>
  <c r="Z582" i="2"/>
  <c r="AA582" i="2" s="1"/>
  <c r="AI581" i="2"/>
  <c r="AJ581" i="2" s="1"/>
  <c r="Z581" i="2"/>
  <c r="AA581" i="2" s="1"/>
  <c r="AI580" i="2"/>
  <c r="AJ580" i="2" s="1"/>
  <c r="Z580" i="2"/>
  <c r="AA580" i="2" s="1"/>
  <c r="AI579" i="2"/>
  <c r="AJ579" i="2" s="1"/>
  <c r="Z579" i="2"/>
  <c r="AA579" i="2" s="1"/>
  <c r="AI578" i="2"/>
  <c r="AJ578" i="2" s="1"/>
  <c r="Z578" i="2"/>
  <c r="AA578" i="2" s="1"/>
  <c r="AI577" i="2"/>
  <c r="AJ577" i="2" s="1"/>
  <c r="Z577" i="2"/>
  <c r="AA577" i="2" s="1"/>
  <c r="AI576" i="2"/>
  <c r="AJ576" i="2" s="1"/>
  <c r="Z576" i="2"/>
  <c r="AA576" i="2" s="1"/>
  <c r="AI575" i="2"/>
  <c r="AJ575" i="2" s="1"/>
  <c r="Z575" i="2"/>
  <c r="AA575" i="2" s="1"/>
  <c r="AI574" i="2"/>
  <c r="AJ574" i="2" s="1"/>
  <c r="Z574" i="2"/>
  <c r="AA574" i="2" s="1"/>
  <c r="AI573" i="2"/>
  <c r="AJ573" i="2" s="1"/>
  <c r="Z573" i="2"/>
  <c r="AA573" i="2" s="1"/>
  <c r="AI572" i="2"/>
  <c r="AJ572" i="2" s="1"/>
  <c r="Z572" i="2"/>
  <c r="AA572" i="2" s="1"/>
  <c r="AI571" i="2"/>
  <c r="AJ571" i="2" s="1"/>
  <c r="Z571" i="2"/>
  <c r="AA571" i="2" s="1"/>
  <c r="AI570" i="2"/>
  <c r="AJ570" i="2" s="1"/>
  <c r="Z570" i="2"/>
  <c r="AA570" i="2" s="1"/>
  <c r="AI569" i="2"/>
  <c r="AJ569" i="2" s="1"/>
  <c r="Z569" i="2"/>
  <c r="AA569" i="2" s="1"/>
  <c r="AI568" i="2"/>
  <c r="AJ568" i="2" s="1"/>
  <c r="Z568" i="2"/>
  <c r="AA568" i="2" s="1"/>
  <c r="AI567" i="2"/>
  <c r="AJ567" i="2" s="1"/>
  <c r="Z567" i="2"/>
  <c r="AA567" i="2" s="1"/>
  <c r="AI566" i="2"/>
  <c r="AJ566" i="2" s="1"/>
  <c r="Z566" i="2"/>
  <c r="AA566" i="2" s="1"/>
  <c r="W557" i="2"/>
  <c r="Y557" i="2" s="1"/>
  <c r="Z557" i="2"/>
  <c r="AA557" i="2" s="1"/>
  <c r="W560" i="2"/>
  <c r="Y560" i="2" s="1"/>
  <c r="Z560" i="2"/>
  <c r="AA560" i="2" s="1"/>
  <c r="W556" i="2"/>
  <c r="Y556" i="2" s="1"/>
  <c r="Z556" i="2"/>
  <c r="AA556" i="2" s="1"/>
  <c r="AF561" i="2"/>
  <c r="AH561" i="2" s="1"/>
  <c r="AI561" i="2"/>
  <c r="AJ561" i="2" s="1"/>
  <c r="AF557" i="2"/>
  <c r="AH557" i="2" s="1"/>
  <c r="AI557" i="2"/>
  <c r="AJ557" i="2" s="1"/>
  <c r="AF558" i="2"/>
  <c r="AH558" i="2" s="1"/>
  <c r="AI558" i="2"/>
  <c r="AJ558" i="2" s="1"/>
  <c r="AF554" i="2"/>
  <c r="AH554" i="2" s="1"/>
  <c r="AI554" i="2"/>
  <c r="AJ554" i="2" s="1"/>
  <c r="W559" i="2"/>
  <c r="Y559" i="2" s="1"/>
  <c r="Z559" i="2"/>
  <c r="AA559" i="2" s="1"/>
  <c r="W555" i="2"/>
  <c r="Y555" i="2" s="1"/>
  <c r="Z555" i="2"/>
  <c r="AA555" i="2" s="1"/>
  <c r="AF560" i="2"/>
  <c r="AH560" i="2" s="1"/>
  <c r="AI560" i="2"/>
  <c r="AJ560" i="2" s="1"/>
  <c r="AF556" i="2"/>
  <c r="AH556" i="2" s="1"/>
  <c r="AI556" i="2"/>
  <c r="AJ556" i="2" s="1"/>
  <c r="W561" i="2"/>
  <c r="Y561" i="2" s="1"/>
  <c r="Z561" i="2"/>
  <c r="AA561" i="2" s="1"/>
  <c r="W558" i="2"/>
  <c r="Y558" i="2" s="1"/>
  <c r="Z558" i="2"/>
  <c r="AA558" i="2" s="1"/>
  <c r="W554" i="2"/>
  <c r="Y554" i="2" s="1"/>
  <c r="Z554" i="2"/>
  <c r="AA554" i="2" s="1"/>
  <c r="AF559" i="2"/>
  <c r="AH559" i="2" s="1"/>
  <c r="AI559" i="2"/>
  <c r="AJ559" i="2" s="1"/>
  <c r="AF555" i="2"/>
  <c r="AH555" i="2" s="1"/>
  <c r="AI555" i="2"/>
  <c r="AJ555" i="2" s="1"/>
  <c r="AI553" i="2"/>
  <c r="AJ553" i="2" s="1"/>
  <c r="Z553" i="2"/>
  <c r="AA553" i="2" s="1"/>
  <c r="AI552" i="2"/>
  <c r="AJ552" i="2" s="1"/>
  <c r="Z552" i="2"/>
  <c r="AA552" i="2" s="1"/>
  <c r="AI551" i="2"/>
  <c r="AJ551" i="2" s="1"/>
  <c r="Z551" i="2"/>
  <c r="AA551" i="2" s="1"/>
  <c r="AI550" i="2"/>
  <c r="AJ550" i="2" s="1"/>
  <c r="Z550" i="2"/>
  <c r="AA550" i="2" s="1"/>
  <c r="AI549" i="2"/>
  <c r="AJ549" i="2" s="1"/>
  <c r="Z549" i="2"/>
  <c r="AA549" i="2" s="1"/>
  <c r="AI548" i="2"/>
  <c r="AJ548" i="2" s="1"/>
  <c r="Z548" i="2"/>
  <c r="AA548" i="2" s="1"/>
  <c r="AI547" i="2"/>
  <c r="AJ547" i="2" s="1"/>
  <c r="Z547" i="2"/>
  <c r="AA547" i="2" s="1"/>
  <c r="AI546" i="2"/>
  <c r="AJ546" i="2" s="1"/>
  <c r="Z546" i="2"/>
  <c r="AA546" i="2" s="1"/>
  <c r="AI545" i="2"/>
  <c r="AJ545" i="2" s="1"/>
  <c r="Z545" i="2"/>
  <c r="AA545" i="2" s="1"/>
  <c r="AI544" i="2"/>
  <c r="AJ544" i="2" s="1"/>
  <c r="Z544" i="2"/>
  <c r="AA544" i="2" s="1"/>
  <c r="AI543" i="2"/>
  <c r="AJ543" i="2" s="1"/>
  <c r="Z543" i="2"/>
  <c r="AA543" i="2" s="1"/>
  <c r="AI542" i="2"/>
  <c r="AJ542" i="2" s="1"/>
  <c r="Z542" i="2"/>
  <c r="AA542" i="2" s="1"/>
  <c r="AI541" i="2"/>
  <c r="AJ541" i="2" s="1"/>
  <c r="Z541" i="2"/>
  <c r="AA541" i="2" s="1"/>
  <c r="AI540" i="2"/>
  <c r="AJ540" i="2" s="1"/>
  <c r="Z540" i="2"/>
  <c r="AA540" i="2" s="1"/>
  <c r="AI539" i="2"/>
  <c r="AJ539" i="2" s="1"/>
  <c r="Z539" i="2"/>
  <c r="AA539" i="2" s="1"/>
  <c r="AI538" i="2"/>
  <c r="AJ538" i="2" s="1"/>
  <c r="Z538" i="2"/>
  <c r="AA538" i="2" s="1"/>
  <c r="AI537" i="2"/>
  <c r="AJ537" i="2" s="1"/>
  <c r="Z537" i="2"/>
  <c r="AA537" i="2" s="1"/>
  <c r="AI536" i="2"/>
  <c r="AJ536" i="2" s="1"/>
  <c r="Z536" i="2"/>
  <c r="AA536" i="2" s="1"/>
  <c r="AI535" i="2"/>
  <c r="AJ535" i="2" s="1"/>
  <c r="Z535" i="2"/>
  <c r="AA535" i="2" s="1"/>
  <c r="AH530" i="2"/>
  <c r="AH529" i="2"/>
  <c r="AH528" i="2"/>
  <c r="AH527" i="2"/>
  <c r="AH526" i="2"/>
  <c r="AH525" i="2"/>
  <c r="AH524" i="2"/>
  <c r="AH523" i="2"/>
  <c r="AH522" i="2"/>
  <c r="AH521" i="2"/>
  <c r="AH520" i="2"/>
  <c r="AH519" i="2"/>
  <c r="AH515" i="2"/>
  <c r="AH511" i="2"/>
  <c r="AH507" i="2"/>
  <c r="AH516" i="2"/>
  <c r="Y519" i="2"/>
  <c r="Y515" i="2"/>
  <c r="Y511" i="2"/>
  <c r="Y507" i="2"/>
  <c r="AH504" i="2"/>
  <c r="AH512" i="2"/>
  <c r="AH508" i="2"/>
  <c r="Y516" i="2"/>
  <c r="Y512" i="2"/>
  <c r="Y508" i="2"/>
  <c r="Y504" i="2"/>
  <c r="AH518" i="2"/>
  <c r="AH514" i="2"/>
  <c r="AH510" i="2"/>
  <c r="AH506" i="2"/>
  <c r="AI530" i="2"/>
  <c r="AJ530" i="2" s="1"/>
  <c r="Z530" i="2"/>
  <c r="AA530" i="2" s="1"/>
  <c r="AI529" i="2"/>
  <c r="AJ529" i="2" s="1"/>
  <c r="Z529" i="2"/>
  <c r="AA529" i="2" s="1"/>
  <c r="AI528" i="2"/>
  <c r="AJ528" i="2" s="1"/>
  <c r="Z528" i="2"/>
  <c r="AA528" i="2" s="1"/>
  <c r="AI527" i="2"/>
  <c r="AJ527" i="2" s="1"/>
  <c r="Z527" i="2"/>
  <c r="AA527" i="2" s="1"/>
  <c r="AI526" i="2"/>
  <c r="AJ526" i="2" s="1"/>
  <c r="Z526" i="2"/>
  <c r="AA526" i="2" s="1"/>
  <c r="AI525" i="2"/>
  <c r="AJ525" i="2" s="1"/>
  <c r="Z525" i="2"/>
  <c r="AA525" i="2" s="1"/>
  <c r="AI524" i="2"/>
  <c r="AJ524" i="2" s="1"/>
  <c r="Z524" i="2"/>
  <c r="AA524" i="2" s="1"/>
  <c r="AI523" i="2"/>
  <c r="AJ523" i="2" s="1"/>
  <c r="Z523" i="2"/>
  <c r="AA523" i="2" s="1"/>
  <c r="AI522" i="2"/>
  <c r="AJ522" i="2" s="1"/>
  <c r="Z522" i="2"/>
  <c r="AA522" i="2" s="1"/>
  <c r="AI521" i="2"/>
  <c r="AJ521" i="2" s="1"/>
  <c r="Z521" i="2"/>
  <c r="AA521" i="2" s="1"/>
  <c r="AI520" i="2"/>
  <c r="AJ520" i="2" s="1"/>
  <c r="Z520" i="2"/>
  <c r="AA520" i="2" s="1"/>
  <c r="AI519" i="2"/>
  <c r="AJ519" i="2" s="1"/>
  <c r="Z519" i="2"/>
  <c r="AA519" i="2" s="1"/>
  <c r="AI518" i="2"/>
  <c r="AJ518" i="2" s="1"/>
  <c r="Z518" i="2"/>
  <c r="AA518" i="2" s="1"/>
  <c r="AI517" i="2"/>
  <c r="AJ517" i="2" s="1"/>
  <c r="Z517" i="2"/>
  <c r="AA517" i="2" s="1"/>
  <c r="AI516" i="2"/>
  <c r="AJ516" i="2" s="1"/>
  <c r="Z516" i="2"/>
  <c r="AA516" i="2" s="1"/>
  <c r="AI515" i="2"/>
  <c r="AJ515" i="2" s="1"/>
  <c r="Z515" i="2"/>
  <c r="AA515" i="2" s="1"/>
  <c r="AI514" i="2"/>
  <c r="AJ514" i="2" s="1"/>
  <c r="Z514" i="2"/>
  <c r="AA514" i="2" s="1"/>
  <c r="AI513" i="2"/>
  <c r="AJ513" i="2" s="1"/>
  <c r="Z513" i="2"/>
  <c r="AA513" i="2" s="1"/>
  <c r="AI512" i="2"/>
  <c r="AJ512" i="2" s="1"/>
  <c r="Z512" i="2"/>
  <c r="AA512" i="2" s="1"/>
  <c r="AI511" i="2"/>
  <c r="AJ511" i="2" s="1"/>
  <c r="Z511" i="2"/>
  <c r="AA511" i="2" s="1"/>
  <c r="AI510" i="2"/>
  <c r="AJ510" i="2" s="1"/>
  <c r="Z510" i="2"/>
  <c r="AA510" i="2" s="1"/>
  <c r="AI509" i="2"/>
  <c r="AJ509" i="2" s="1"/>
  <c r="Z509" i="2"/>
  <c r="AA509" i="2" s="1"/>
  <c r="AI508" i="2"/>
  <c r="AJ508" i="2" s="1"/>
  <c r="Z508" i="2"/>
  <c r="AA508" i="2" s="1"/>
  <c r="AI507" i="2"/>
  <c r="AJ507" i="2" s="1"/>
  <c r="Z507" i="2"/>
  <c r="AA507" i="2" s="1"/>
  <c r="AI506" i="2"/>
  <c r="AJ506" i="2" s="1"/>
  <c r="Z506" i="2"/>
  <c r="AA506" i="2" s="1"/>
  <c r="AI505" i="2"/>
  <c r="AJ505" i="2" s="1"/>
  <c r="Z505" i="2"/>
  <c r="AA505" i="2" s="1"/>
  <c r="AI504" i="2"/>
  <c r="AJ504" i="2" s="1"/>
  <c r="Z504" i="2"/>
  <c r="AA504" i="2" s="1"/>
  <c r="AH497" i="2"/>
  <c r="AH493" i="2"/>
  <c r="AH489" i="2"/>
  <c r="AH485" i="2"/>
  <c r="AH481" i="2"/>
  <c r="AH477" i="2"/>
  <c r="AH473" i="2"/>
  <c r="AH496" i="2"/>
  <c r="AH488" i="2"/>
  <c r="AH484" i="2"/>
  <c r="AH480" i="2"/>
  <c r="AH476" i="2"/>
  <c r="Y498" i="2"/>
  <c r="Y494" i="2"/>
  <c r="Y490" i="2"/>
  <c r="Y486" i="2"/>
  <c r="Y482" i="2"/>
  <c r="Y478" i="2"/>
  <c r="Y474" i="2"/>
  <c r="AH495" i="2"/>
  <c r="AH491" i="2"/>
  <c r="AH483" i="2"/>
  <c r="AH475" i="2"/>
  <c r="AH494" i="2"/>
  <c r="AH490" i="2"/>
  <c r="AH486" i="2"/>
  <c r="AH482" i="2"/>
  <c r="AH478" i="2"/>
  <c r="AH474" i="2"/>
  <c r="AH466" i="2"/>
  <c r="AH462" i="2"/>
  <c r="AH458" i="2"/>
  <c r="AH450" i="2"/>
  <c r="AH446" i="2"/>
  <c r="AH442" i="2"/>
  <c r="AH465" i="2"/>
  <c r="AH461" i="2"/>
  <c r="AH457" i="2"/>
  <c r="AH453" i="2"/>
  <c r="AH449" i="2"/>
  <c r="AH445" i="2"/>
  <c r="Y467" i="2"/>
  <c r="Y463" i="2"/>
  <c r="Y459" i="2"/>
  <c r="Y455" i="2"/>
  <c r="Y451" i="2"/>
  <c r="Y447" i="2"/>
  <c r="Y443" i="2"/>
  <c r="AH468" i="2"/>
  <c r="AH464" i="2"/>
  <c r="AH460" i="2"/>
  <c r="AH456" i="2"/>
  <c r="AH452" i="2"/>
  <c r="AH448" i="2"/>
  <c r="AH444" i="2"/>
  <c r="AH463" i="2"/>
  <c r="AH459" i="2"/>
  <c r="AH455" i="2"/>
  <c r="AH451" i="2"/>
  <c r="AH447" i="2"/>
  <c r="AH443" i="2"/>
  <c r="AH435" i="2"/>
  <c r="AH431" i="2"/>
  <c r="AH427" i="2"/>
  <c r="AH423" i="2"/>
  <c r="AH419" i="2"/>
  <c r="AH415" i="2"/>
  <c r="AH411" i="2"/>
  <c r="Y429" i="2"/>
  <c r="Y425" i="2"/>
  <c r="Y421" i="2"/>
  <c r="Y417" i="2"/>
  <c r="Y413" i="2"/>
  <c r="AH434" i="2"/>
  <c r="AH430" i="2"/>
  <c r="AH422" i="2"/>
  <c r="AH418" i="2"/>
  <c r="AH414" i="2"/>
  <c r="Y432" i="2"/>
  <c r="Y428" i="2"/>
  <c r="Y424" i="2"/>
  <c r="Y420" i="2"/>
  <c r="Y412" i="2"/>
  <c r="Y431" i="2"/>
  <c r="Y427" i="2"/>
  <c r="Y423" i="2"/>
  <c r="Y419" i="2"/>
  <c r="Y415" i="2"/>
  <c r="Y411" i="2"/>
  <c r="AH436" i="2"/>
  <c r="AH432" i="2"/>
  <c r="AH428" i="2"/>
  <c r="AH424" i="2"/>
  <c r="AH420" i="2"/>
  <c r="AH416" i="2"/>
  <c r="AH412" i="2"/>
  <c r="Y360" i="2"/>
  <c r="Y350" i="2"/>
  <c r="AH351" i="2"/>
  <c r="AH358" i="2"/>
  <c r="AH348" i="2"/>
  <c r="AH359" i="2"/>
  <c r="AH349" i="2"/>
  <c r="Y358" i="2"/>
  <c r="Y348" i="2"/>
  <c r="AH360" i="2"/>
  <c r="AH350" i="2"/>
  <c r="AF374" i="2"/>
  <c r="AH374" i="2" s="1"/>
  <c r="AF371" i="2"/>
  <c r="AH371" i="2" s="1"/>
  <c r="W369" i="2"/>
  <c r="Y369" i="2" s="1"/>
  <c r="W374" i="2"/>
  <c r="Y374" i="2" s="1"/>
  <c r="AF372" i="2"/>
  <c r="AH372" i="2" s="1"/>
  <c r="W371" i="2"/>
  <c r="Y371" i="2" s="1"/>
  <c r="W370" i="2"/>
  <c r="Y370" i="2" s="1"/>
  <c r="AF369" i="2"/>
  <c r="AH369" i="2" s="1"/>
  <c r="AF367" i="2"/>
  <c r="AH367" i="2" s="1"/>
  <c r="AI373" i="2"/>
  <c r="AJ373" i="2" s="1"/>
  <c r="Z373" i="2"/>
  <c r="AA373" i="2" s="1"/>
  <c r="Z372" i="2"/>
  <c r="AA372" i="2" s="1"/>
  <c r="AI370" i="2"/>
  <c r="AJ370" i="2" s="1"/>
  <c r="AI368" i="2"/>
  <c r="AJ368" i="2" s="1"/>
  <c r="Z368" i="2"/>
  <c r="AA368" i="2" s="1"/>
  <c r="Z367" i="2"/>
  <c r="AA367" i="2" s="1"/>
  <c r="Z366" i="2"/>
  <c r="AA366" i="2" s="1"/>
  <c r="AI365" i="2"/>
  <c r="AJ365" i="2" s="1"/>
  <c r="Z365" i="2"/>
  <c r="AA365" i="2" s="1"/>
  <c r="AI364" i="2"/>
  <c r="AJ364" i="2" s="1"/>
  <c r="Z364" i="2"/>
  <c r="AA364" i="2" s="1"/>
  <c r="AI363" i="2"/>
  <c r="AJ363" i="2" s="1"/>
  <c r="Z363" i="2"/>
  <c r="AA363" i="2" s="1"/>
  <c r="AI362" i="2"/>
  <c r="AJ362" i="2" s="1"/>
  <c r="Z362" i="2"/>
  <c r="AA362" i="2" s="1"/>
  <c r="AI361" i="2"/>
  <c r="AJ361" i="2" s="1"/>
  <c r="Z361" i="2"/>
  <c r="AA361" i="2" s="1"/>
  <c r="AI360" i="2"/>
  <c r="AJ360" i="2" s="1"/>
  <c r="Z360" i="2"/>
  <c r="AA360" i="2" s="1"/>
  <c r="AI359" i="2"/>
  <c r="AJ359" i="2" s="1"/>
  <c r="Z359" i="2"/>
  <c r="AA359" i="2" s="1"/>
  <c r="AI358" i="2"/>
  <c r="AJ358" i="2" s="1"/>
  <c r="Z358" i="2"/>
  <c r="AA358" i="2" s="1"/>
  <c r="AI357" i="2"/>
  <c r="AJ357" i="2" s="1"/>
  <c r="Z357" i="2"/>
  <c r="AA357" i="2" s="1"/>
  <c r="AI356" i="2"/>
  <c r="AJ356" i="2" s="1"/>
  <c r="Z356" i="2"/>
  <c r="AA356" i="2" s="1"/>
  <c r="AI355" i="2"/>
  <c r="AJ355" i="2" s="1"/>
  <c r="Z355" i="2"/>
  <c r="AA355" i="2" s="1"/>
  <c r="AI354" i="2"/>
  <c r="AJ354" i="2" s="1"/>
  <c r="Z354" i="2"/>
  <c r="AA354" i="2" s="1"/>
  <c r="AI353" i="2"/>
  <c r="AJ353" i="2" s="1"/>
  <c r="Z353" i="2"/>
  <c r="AA353" i="2" s="1"/>
  <c r="AI352" i="2"/>
  <c r="AJ352" i="2" s="1"/>
  <c r="Z352" i="2"/>
  <c r="AA352" i="2" s="1"/>
  <c r="AI351" i="2"/>
  <c r="AJ351" i="2" s="1"/>
  <c r="Z351" i="2"/>
  <c r="AA351" i="2" s="1"/>
  <c r="AI350" i="2"/>
  <c r="AJ350" i="2" s="1"/>
  <c r="Z350" i="2"/>
  <c r="AA350" i="2" s="1"/>
  <c r="AI349" i="2"/>
  <c r="AJ349" i="2" s="1"/>
  <c r="Z349" i="2"/>
  <c r="AA349" i="2" s="1"/>
  <c r="AI348" i="2"/>
  <c r="AJ348" i="2" s="1"/>
  <c r="Z348" i="2"/>
  <c r="AA348" i="2" s="1"/>
  <c r="AH343" i="2"/>
  <c r="AH342" i="2"/>
  <c r="AH341" i="2"/>
  <c r="AH340" i="2"/>
  <c r="AH339" i="2"/>
  <c r="AH338" i="2"/>
  <c r="AH337" i="2"/>
  <c r="AH336" i="2"/>
  <c r="AH335" i="2"/>
  <c r="AH334" i="2"/>
  <c r="AH333" i="2"/>
  <c r="AH332" i="2"/>
  <c r="AH328" i="2"/>
  <c r="AH324" i="2"/>
  <c r="AH320" i="2"/>
  <c r="Y331" i="2"/>
  <c r="Y327" i="2"/>
  <c r="Y323" i="2"/>
  <c r="Y319" i="2"/>
  <c r="AH329" i="2"/>
  <c r="AH325" i="2"/>
  <c r="AH321" i="2"/>
  <c r="AH317" i="2"/>
  <c r="Y332" i="2"/>
  <c r="Y328" i="2"/>
  <c r="Y324" i="2"/>
  <c r="Y320" i="2"/>
  <c r="Y329" i="2"/>
  <c r="Y325" i="2"/>
  <c r="Y321" i="2"/>
  <c r="Y317" i="2"/>
  <c r="AH331" i="2"/>
  <c r="AH327" i="2"/>
  <c r="AH323" i="2"/>
  <c r="AH319" i="2"/>
  <c r="AI343" i="2"/>
  <c r="AJ343" i="2" s="1"/>
  <c r="Z343" i="2"/>
  <c r="AA343" i="2" s="1"/>
  <c r="AI342" i="2"/>
  <c r="AJ342" i="2" s="1"/>
  <c r="Z342" i="2"/>
  <c r="AA342" i="2" s="1"/>
  <c r="AI341" i="2"/>
  <c r="AJ341" i="2" s="1"/>
  <c r="Z341" i="2"/>
  <c r="AA341" i="2" s="1"/>
  <c r="AI340" i="2"/>
  <c r="AJ340" i="2" s="1"/>
  <c r="Z340" i="2"/>
  <c r="AA340" i="2" s="1"/>
  <c r="AI339" i="2"/>
  <c r="AJ339" i="2" s="1"/>
  <c r="Z339" i="2"/>
  <c r="AA339" i="2" s="1"/>
  <c r="AI338" i="2"/>
  <c r="AJ338" i="2" s="1"/>
  <c r="Z338" i="2"/>
  <c r="AA338" i="2" s="1"/>
  <c r="AI337" i="2"/>
  <c r="AJ337" i="2" s="1"/>
  <c r="Z337" i="2"/>
  <c r="AA337" i="2" s="1"/>
  <c r="AI336" i="2"/>
  <c r="AJ336" i="2" s="1"/>
  <c r="Z336" i="2"/>
  <c r="AA336" i="2" s="1"/>
  <c r="AI335" i="2"/>
  <c r="AJ335" i="2" s="1"/>
  <c r="Z335" i="2"/>
  <c r="AA335" i="2" s="1"/>
  <c r="AI334" i="2"/>
  <c r="AJ334" i="2" s="1"/>
  <c r="Z334" i="2"/>
  <c r="AA334" i="2" s="1"/>
  <c r="AI333" i="2"/>
  <c r="AJ333" i="2" s="1"/>
  <c r="Z333" i="2"/>
  <c r="AA333" i="2" s="1"/>
  <c r="AI332" i="2"/>
  <c r="AJ332" i="2" s="1"/>
  <c r="Z332" i="2"/>
  <c r="AA332" i="2" s="1"/>
  <c r="AI331" i="2"/>
  <c r="AJ331" i="2" s="1"/>
  <c r="Z331" i="2"/>
  <c r="AA331" i="2" s="1"/>
  <c r="AI330" i="2"/>
  <c r="AJ330" i="2" s="1"/>
  <c r="Z330" i="2"/>
  <c r="AA330" i="2" s="1"/>
  <c r="AI329" i="2"/>
  <c r="AJ329" i="2" s="1"/>
  <c r="Z329" i="2"/>
  <c r="AA329" i="2" s="1"/>
  <c r="AI328" i="2"/>
  <c r="AJ328" i="2" s="1"/>
  <c r="Z328" i="2"/>
  <c r="AA328" i="2" s="1"/>
  <c r="AI327" i="2"/>
  <c r="AJ327" i="2" s="1"/>
  <c r="Z327" i="2"/>
  <c r="AA327" i="2" s="1"/>
  <c r="AI326" i="2"/>
  <c r="AJ326" i="2" s="1"/>
  <c r="Z326" i="2"/>
  <c r="AA326" i="2" s="1"/>
  <c r="AI325" i="2"/>
  <c r="AJ325" i="2" s="1"/>
  <c r="Z325" i="2"/>
  <c r="AA325" i="2" s="1"/>
  <c r="AI324" i="2"/>
  <c r="AJ324" i="2" s="1"/>
  <c r="Z324" i="2"/>
  <c r="AA324" i="2" s="1"/>
  <c r="AI323" i="2"/>
  <c r="AJ323" i="2" s="1"/>
  <c r="Z323" i="2"/>
  <c r="AA323" i="2" s="1"/>
  <c r="AI322" i="2"/>
  <c r="AJ322" i="2" s="1"/>
  <c r="Z322" i="2"/>
  <c r="AA322" i="2" s="1"/>
  <c r="AI321" i="2"/>
  <c r="AJ321" i="2" s="1"/>
  <c r="Z321" i="2"/>
  <c r="AA321" i="2" s="1"/>
  <c r="AI320" i="2"/>
  <c r="AJ320" i="2" s="1"/>
  <c r="Z320" i="2"/>
  <c r="AA320" i="2" s="1"/>
  <c r="AI319" i="2"/>
  <c r="AJ319" i="2" s="1"/>
  <c r="Z319" i="2"/>
  <c r="AA319" i="2" s="1"/>
  <c r="AI318" i="2"/>
  <c r="AJ318" i="2" s="1"/>
  <c r="Z318" i="2"/>
  <c r="AA318" i="2" s="1"/>
  <c r="AI317" i="2"/>
  <c r="AJ317" i="2" s="1"/>
  <c r="Z317" i="2"/>
  <c r="AA317" i="2" s="1"/>
  <c r="AH302" i="2"/>
  <c r="AH298" i="2"/>
  <c r="AH294" i="2"/>
  <c r="AH290" i="2"/>
  <c r="AH286" i="2"/>
  <c r="AH309" i="2"/>
  <c r="AH305" i="2"/>
  <c r="AH301" i="2"/>
  <c r="AH297" i="2"/>
  <c r="AH293" i="2"/>
  <c r="AH289" i="2"/>
  <c r="Y311" i="2"/>
  <c r="Y307" i="2"/>
  <c r="Y303" i="2"/>
  <c r="Y299" i="2"/>
  <c r="AH312" i="2"/>
  <c r="AH308" i="2"/>
  <c r="AH304" i="2"/>
  <c r="AH300" i="2"/>
  <c r="AH296" i="2"/>
  <c r="AH292" i="2"/>
  <c r="AH288" i="2"/>
  <c r="Y310" i="2"/>
  <c r="Y306" i="2"/>
  <c r="Y302" i="2"/>
  <c r="Y298" i="2"/>
  <c r="Y294" i="2"/>
  <c r="Y290" i="2"/>
  <c r="Y286" i="2"/>
  <c r="AH311" i="2"/>
  <c r="AH307" i="2"/>
  <c r="AH303" i="2"/>
  <c r="AH299" i="2"/>
  <c r="AH295" i="2"/>
  <c r="AH291" i="2"/>
  <c r="AH287" i="2"/>
  <c r="AH279" i="2"/>
  <c r="AH273" i="2"/>
  <c r="Y269" i="2"/>
  <c r="Y265" i="2"/>
  <c r="Y261" i="2"/>
  <c r="Y257" i="2"/>
  <c r="AH267" i="2"/>
  <c r="AH263" i="2"/>
  <c r="AH259" i="2"/>
  <c r="AH255" i="2"/>
  <c r="AH281" i="2"/>
  <c r="AH258" i="2"/>
  <c r="Y281" i="2"/>
  <c r="Y280" i="2"/>
  <c r="Y279" i="2"/>
  <c r="Y278" i="2"/>
  <c r="Y277" i="2"/>
  <c r="Y276" i="2"/>
  <c r="Y275" i="2"/>
  <c r="Y274" i="2"/>
  <c r="Y273" i="2"/>
  <c r="Y272" i="2"/>
  <c r="Y271" i="2"/>
  <c r="AH268" i="2"/>
  <c r="AH264" i="2"/>
  <c r="AH260" i="2"/>
  <c r="AH256" i="2"/>
  <c r="AH278" i="2"/>
  <c r="AH276" i="2"/>
  <c r="AH274" i="2"/>
  <c r="AH270" i="2"/>
  <c r="Y267" i="2"/>
  <c r="Y263" i="2"/>
  <c r="Y259" i="2"/>
  <c r="Y255" i="2"/>
  <c r="AH280" i="2"/>
  <c r="AH277" i="2"/>
  <c r="AH275" i="2"/>
  <c r="AH272" i="2"/>
  <c r="AH271" i="2"/>
  <c r="AH266" i="2"/>
  <c r="AH262" i="2"/>
  <c r="AH269" i="2"/>
  <c r="AH265" i="2"/>
  <c r="AH261" i="2"/>
  <c r="AH257" i="2"/>
  <c r="AI281" i="2"/>
  <c r="AJ281" i="2" s="1"/>
  <c r="Z281" i="2"/>
  <c r="AA281" i="2" s="1"/>
  <c r="AI280" i="2"/>
  <c r="AJ280" i="2" s="1"/>
  <c r="Z280" i="2"/>
  <c r="AA280" i="2" s="1"/>
  <c r="AI279" i="2"/>
  <c r="AJ279" i="2" s="1"/>
  <c r="Z279" i="2"/>
  <c r="AA279" i="2" s="1"/>
  <c r="AI278" i="2"/>
  <c r="AJ278" i="2" s="1"/>
  <c r="Z278" i="2"/>
  <c r="AA278" i="2" s="1"/>
  <c r="AI277" i="2"/>
  <c r="AJ277" i="2" s="1"/>
  <c r="Z277" i="2"/>
  <c r="AA277" i="2" s="1"/>
  <c r="AI276" i="2"/>
  <c r="AJ276" i="2" s="1"/>
  <c r="Z276" i="2"/>
  <c r="AA276" i="2" s="1"/>
  <c r="AI275" i="2"/>
  <c r="AJ275" i="2" s="1"/>
  <c r="Z275" i="2"/>
  <c r="AA275" i="2" s="1"/>
  <c r="AI274" i="2"/>
  <c r="AJ274" i="2" s="1"/>
  <c r="Z274" i="2"/>
  <c r="AA274" i="2" s="1"/>
  <c r="AI273" i="2"/>
  <c r="AJ273" i="2" s="1"/>
  <c r="Z273" i="2"/>
  <c r="AA273" i="2" s="1"/>
  <c r="AI272" i="2"/>
  <c r="AJ272" i="2" s="1"/>
  <c r="Z272" i="2"/>
  <c r="AA272" i="2" s="1"/>
  <c r="AI271" i="2"/>
  <c r="AJ271" i="2" s="1"/>
  <c r="Z271" i="2"/>
  <c r="AA271" i="2" s="1"/>
  <c r="AI270" i="2"/>
  <c r="AJ270" i="2" s="1"/>
  <c r="Z270" i="2"/>
  <c r="AA270" i="2" s="1"/>
  <c r="AI269" i="2"/>
  <c r="AJ269" i="2" s="1"/>
  <c r="Z269" i="2"/>
  <c r="AA269" i="2" s="1"/>
  <c r="AI268" i="2"/>
  <c r="AJ268" i="2" s="1"/>
  <c r="Z268" i="2"/>
  <c r="AA268" i="2" s="1"/>
  <c r="AI267" i="2"/>
  <c r="AJ267" i="2" s="1"/>
  <c r="Z267" i="2"/>
  <c r="AA267" i="2" s="1"/>
  <c r="AI266" i="2"/>
  <c r="AJ266" i="2" s="1"/>
  <c r="Z266" i="2"/>
  <c r="AA266" i="2" s="1"/>
  <c r="AI265" i="2"/>
  <c r="AJ265" i="2" s="1"/>
  <c r="Z265" i="2"/>
  <c r="AA265" i="2" s="1"/>
  <c r="AI264" i="2"/>
  <c r="AJ264" i="2" s="1"/>
  <c r="Z264" i="2"/>
  <c r="AA264" i="2" s="1"/>
  <c r="AI263" i="2"/>
  <c r="AJ263" i="2" s="1"/>
  <c r="Z263" i="2"/>
  <c r="AA263" i="2" s="1"/>
  <c r="AI262" i="2"/>
  <c r="AJ262" i="2" s="1"/>
  <c r="Z262" i="2"/>
  <c r="AA262" i="2" s="1"/>
  <c r="AI261" i="2"/>
  <c r="AJ261" i="2" s="1"/>
  <c r="Z261" i="2"/>
  <c r="AA261" i="2" s="1"/>
  <c r="AI260" i="2"/>
  <c r="AJ260" i="2" s="1"/>
  <c r="Z260" i="2"/>
  <c r="AA260" i="2" s="1"/>
  <c r="AI259" i="2"/>
  <c r="AJ259" i="2" s="1"/>
  <c r="Z259" i="2"/>
  <c r="AA259" i="2" s="1"/>
  <c r="AI258" i="2"/>
  <c r="AJ258" i="2" s="1"/>
  <c r="Z258" i="2"/>
  <c r="AA258" i="2" s="1"/>
  <c r="AI257" i="2"/>
  <c r="AJ257" i="2" s="1"/>
  <c r="Z257" i="2"/>
  <c r="AA257" i="2" s="1"/>
  <c r="AI256" i="2"/>
  <c r="AJ256" i="2" s="1"/>
  <c r="Z256" i="2"/>
  <c r="AA256" i="2" s="1"/>
  <c r="AI255" i="2"/>
  <c r="AJ255" i="2" s="1"/>
  <c r="Z255" i="2"/>
  <c r="AA255" i="2" s="1"/>
  <c r="AH247" i="2"/>
  <c r="AH243" i="2"/>
  <c r="AH240" i="2"/>
  <c r="Y238" i="2"/>
  <c r="Y234" i="2"/>
  <c r="Y230" i="2"/>
  <c r="Y226" i="2"/>
  <c r="AH227" i="2"/>
  <c r="AH236" i="2"/>
  <c r="AH232" i="2"/>
  <c r="AH228" i="2"/>
  <c r="AH224" i="2"/>
  <c r="AH250" i="2"/>
  <c r="AH246" i="2"/>
  <c r="AH242" i="2"/>
  <c r="AH235" i="2"/>
  <c r="Y227" i="2"/>
  <c r="AH248" i="2"/>
  <c r="AH244" i="2"/>
  <c r="AH239" i="2"/>
  <c r="Y250" i="2"/>
  <c r="Y249" i="2"/>
  <c r="Y248" i="2"/>
  <c r="Y247" i="2"/>
  <c r="Y246" i="2"/>
  <c r="Y245" i="2"/>
  <c r="Y244" i="2"/>
  <c r="Y243" i="2"/>
  <c r="Y242" i="2"/>
  <c r="Y241" i="2"/>
  <c r="Y240" i="2"/>
  <c r="AH237" i="2"/>
  <c r="AH233" i="2"/>
  <c r="AH229" i="2"/>
  <c r="AH225" i="2"/>
  <c r="AH249" i="2"/>
  <c r="AH245" i="2"/>
  <c r="AH241" i="2"/>
  <c r="AH231" i="2"/>
  <c r="AH238" i="2"/>
  <c r="AH234" i="2"/>
  <c r="AH230" i="2"/>
  <c r="AH226" i="2"/>
  <c r="AI250" i="2"/>
  <c r="AJ250" i="2" s="1"/>
  <c r="Z250" i="2"/>
  <c r="AA250" i="2" s="1"/>
  <c r="AI249" i="2"/>
  <c r="AJ249" i="2" s="1"/>
  <c r="Z249" i="2"/>
  <c r="AA249" i="2" s="1"/>
  <c r="AI248" i="2"/>
  <c r="AJ248" i="2" s="1"/>
  <c r="Z248" i="2"/>
  <c r="AA248" i="2" s="1"/>
  <c r="AI247" i="2"/>
  <c r="AJ247" i="2" s="1"/>
  <c r="Z247" i="2"/>
  <c r="AA247" i="2" s="1"/>
  <c r="AI246" i="2"/>
  <c r="AJ246" i="2" s="1"/>
  <c r="Z246" i="2"/>
  <c r="AA246" i="2" s="1"/>
  <c r="AI245" i="2"/>
  <c r="AJ245" i="2" s="1"/>
  <c r="Z245" i="2"/>
  <c r="AA245" i="2" s="1"/>
  <c r="AI244" i="2"/>
  <c r="AJ244" i="2" s="1"/>
  <c r="Z244" i="2"/>
  <c r="AA244" i="2" s="1"/>
  <c r="AI243" i="2"/>
  <c r="AJ243" i="2" s="1"/>
  <c r="Z243" i="2"/>
  <c r="AA243" i="2" s="1"/>
  <c r="AI242" i="2"/>
  <c r="AJ242" i="2" s="1"/>
  <c r="Z242" i="2"/>
  <c r="AA242" i="2" s="1"/>
  <c r="AI241" i="2"/>
  <c r="AJ241" i="2" s="1"/>
  <c r="Z241" i="2"/>
  <c r="AA241" i="2" s="1"/>
  <c r="AI240" i="2"/>
  <c r="AJ240" i="2" s="1"/>
  <c r="Z240" i="2"/>
  <c r="AA240" i="2" s="1"/>
  <c r="AI239" i="2"/>
  <c r="AJ239" i="2" s="1"/>
  <c r="Z239" i="2"/>
  <c r="AA239" i="2" s="1"/>
  <c r="AI238" i="2"/>
  <c r="AJ238" i="2" s="1"/>
  <c r="Z238" i="2"/>
  <c r="AA238" i="2" s="1"/>
  <c r="AI237" i="2"/>
  <c r="AJ237" i="2" s="1"/>
  <c r="Z237" i="2"/>
  <c r="AA237" i="2" s="1"/>
  <c r="AI236" i="2"/>
  <c r="AJ236" i="2" s="1"/>
  <c r="Z236" i="2"/>
  <c r="AA236" i="2" s="1"/>
  <c r="AI235" i="2"/>
  <c r="AJ235" i="2" s="1"/>
  <c r="Z235" i="2"/>
  <c r="AA235" i="2" s="1"/>
  <c r="AI234" i="2"/>
  <c r="AJ234" i="2" s="1"/>
  <c r="Z234" i="2"/>
  <c r="AA234" i="2" s="1"/>
  <c r="AI233" i="2"/>
  <c r="AJ233" i="2" s="1"/>
  <c r="Z233" i="2"/>
  <c r="AA233" i="2" s="1"/>
  <c r="AI232" i="2"/>
  <c r="AJ232" i="2" s="1"/>
  <c r="Z232" i="2"/>
  <c r="AA232" i="2" s="1"/>
  <c r="AI231" i="2"/>
  <c r="AJ231" i="2" s="1"/>
  <c r="Z231" i="2"/>
  <c r="AA231" i="2" s="1"/>
  <c r="AI230" i="2"/>
  <c r="AJ230" i="2" s="1"/>
  <c r="Z230" i="2"/>
  <c r="AA230" i="2" s="1"/>
  <c r="AI229" i="2"/>
  <c r="AJ229" i="2" s="1"/>
  <c r="Z229" i="2"/>
  <c r="AA229" i="2" s="1"/>
  <c r="AI228" i="2"/>
  <c r="AJ228" i="2" s="1"/>
  <c r="Z228" i="2"/>
  <c r="AA228" i="2" s="1"/>
  <c r="AI227" i="2"/>
  <c r="AJ227" i="2" s="1"/>
  <c r="Z227" i="2"/>
  <c r="AA227" i="2" s="1"/>
  <c r="AI226" i="2"/>
  <c r="AJ226" i="2" s="1"/>
  <c r="Z226" i="2"/>
  <c r="AA226" i="2" s="1"/>
  <c r="AI225" i="2"/>
  <c r="AJ225" i="2" s="1"/>
  <c r="Z225" i="2"/>
  <c r="AA225" i="2" s="1"/>
  <c r="AI224" i="2"/>
  <c r="AJ224" i="2" s="1"/>
  <c r="Z224" i="2"/>
  <c r="AA224" i="2" s="1"/>
  <c r="AH217" i="2"/>
  <c r="AH209" i="2"/>
  <c r="AH197" i="2"/>
  <c r="Y215" i="2"/>
  <c r="Y207" i="2"/>
  <c r="Y203" i="2"/>
  <c r="AH216" i="2"/>
  <c r="AH212" i="2"/>
  <c r="AH208" i="2"/>
  <c r="AH204" i="2"/>
  <c r="AH200" i="2"/>
  <c r="AH196" i="2"/>
  <c r="AH213" i="2"/>
  <c r="AH205" i="2"/>
  <c r="AH201" i="2"/>
  <c r="AH193" i="2"/>
  <c r="Y219" i="2"/>
  <c r="Y211" i="2"/>
  <c r="Y199" i="2"/>
  <c r="Y195" i="2"/>
  <c r="AH219" i="2"/>
  <c r="AH215" i="2"/>
  <c r="AH207" i="2"/>
  <c r="AH203" i="2"/>
  <c r="AH195" i="2"/>
  <c r="AH218" i="2"/>
  <c r="AH214" i="2"/>
  <c r="AH210" i="2"/>
  <c r="AH202" i="2"/>
  <c r="AH198" i="2"/>
  <c r="AH194" i="2"/>
  <c r="AH155" i="2"/>
  <c r="AH147" i="2"/>
  <c r="AH154" i="2"/>
  <c r="AH150" i="2"/>
  <c r="AH142" i="2"/>
  <c r="AH138" i="2"/>
  <c r="AH134" i="2"/>
  <c r="Y136" i="2"/>
  <c r="Y132" i="2"/>
  <c r="AH157" i="2"/>
  <c r="AH153" i="2"/>
  <c r="AH149" i="2"/>
  <c r="AH145" i="2"/>
  <c r="AH141" i="2"/>
  <c r="AH133" i="2"/>
  <c r="AH156" i="2"/>
  <c r="AH152" i="2"/>
  <c r="AH148" i="2"/>
  <c r="AH144" i="2"/>
  <c r="AH140" i="2"/>
  <c r="AH136" i="2"/>
  <c r="AH132" i="2"/>
  <c r="AH120" i="2"/>
  <c r="AH108" i="2"/>
  <c r="AH100" i="2"/>
  <c r="Y126" i="2"/>
  <c r="Y122" i="2"/>
  <c r="Y118" i="2"/>
  <c r="Y114" i="2"/>
  <c r="Y110" i="2"/>
  <c r="Y106" i="2"/>
  <c r="Y102" i="2"/>
  <c r="AH124" i="2"/>
  <c r="Y125" i="2"/>
  <c r="Y121" i="2"/>
  <c r="Y117" i="2"/>
  <c r="Y113" i="2"/>
  <c r="Y105" i="2"/>
  <c r="Y101" i="2"/>
  <c r="AH126" i="2"/>
  <c r="AH122" i="2"/>
  <c r="AH118" i="2"/>
  <c r="AH114" i="2"/>
  <c r="AH102" i="2"/>
  <c r="AH116" i="2"/>
  <c r="AH112" i="2"/>
  <c r="AH104" i="2"/>
  <c r="AH121" i="2"/>
  <c r="AH113" i="2"/>
  <c r="AH109" i="2"/>
  <c r="AC70" i="2"/>
  <c r="AI94" i="2"/>
  <c r="AJ94" i="2" s="1"/>
  <c r="AI92" i="2"/>
  <c r="AJ92" i="2" s="1"/>
  <c r="AI90" i="2"/>
  <c r="AJ90" i="2" s="1"/>
  <c r="AI88" i="2"/>
  <c r="AJ88" i="2" s="1"/>
  <c r="AI86" i="2"/>
  <c r="AJ86" i="2" s="1"/>
  <c r="AI84" i="2"/>
  <c r="AJ84" i="2" s="1"/>
  <c r="AI82" i="2"/>
  <c r="AJ82" i="2" s="1"/>
  <c r="AI80" i="2"/>
  <c r="AJ80" i="2" s="1"/>
  <c r="AI78" i="2"/>
  <c r="AJ78" i="2" s="1"/>
  <c r="AI76" i="2"/>
  <c r="AJ76" i="2" s="1"/>
  <c r="AI74" i="2"/>
  <c r="AJ74" i="2" s="1"/>
  <c r="AI72" i="2"/>
  <c r="AJ72" i="2" s="1"/>
  <c r="Z95" i="2"/>
  <c r="AA95" i="2" s="1"/>
  <c r="Z93" i="2"/>
  <c r="AA93" i="2" s="1"/>
  <c r="Z91" i="2"/>
  <c r="AA91" i="2" s="1"/>
  <c r="Z89" i="2"/>
  <c r="AA89" i="2" s="1"/>
  <c r="Z87" i="2"/>
  <c r="AA87" i="2" s="1"/>
  <c r="Z85" i="2"/>
  <c r="AA85" i="2" s="1"/>
  <c r="Z83" i="2"/>
  <c r="AA83" i="2" s="1"/>
  <c r="Z81" i="2"/>
  <c r="AA81" i="2" s="1"/>
  <c r="Z79" i="2"/>
  <c r="AA79" i="2" s="1"/>
  <c r="Z77" i="2"/>
  <c r="AA77" i="2" s="1"/>
  <c r="Z75" i="2"/>
  <c r="AA75" i="2" s="1"/>
  <c r="Z73" i="2"/>
  <c r="AA73" i="2" s="1"/>
  <c r="Z71" i="2"/>
  <c r="AA71" i="2" s="1"/>
  <c r="Z69" i="2"/>
  <c r="AA69" i="2" s="1"/>
  <c r="AI95" i="2"/>
  <c r="AJ95" i="2" s="1"/>
  <c r="AI93" i="2"/>
  <c r="AJ93" i="2" s="1"/>
  <c r="AI91" i="2"/>
  <c r="AJ91" i="2" s="1"/>
  <c r="AI89" i="2"/>
  <c r="AJ89" i="2" s="1"/>
  <c r="AI87" i="2"/>
  <c r="AJ87" i="2" s="1"/>
  <c r="AI85" i="2"/>
  <c r="AJ85" i="2" s="1"/>
  <c r="AI83" i="2"/>
  <c r="AJ83" i="2" s="1"/>
  <c r="AI81" i="2"/>
  <c r="AJ81" i="2" s="1"/>
  <c r="AI79" i="2"/>
  <c r="AJ79" i="2" s="1"/>
  <c r="AI77" i="2"/>
  <c r="AJ77" i="2" s="1"/>
  <c r="AI75" i="2"/>
  <c r="AJ75" i="2" s="1"/>
  <c r="AI73" i="2"/>
  <c r="AJ73" i="2" s="1"/>
  <c r="AI71" i="2"/>
  <c r="AJ71" i="2" s="1"/>
  <c r="AI69" i="2"/>
  <c r="AJ69" i="2" s="1"/>
  <c r="Z94" i="2"/>
  <c r="AA94" i="2" s="1"/>
  <c r="Z92" i="2"/>
  <c r="AA92" i="2" s="1"/>
  <c r="Z90" i="2"/>
  <c r="AA90" i="2" s="1"/>
  <c r="Z88" i="2"/>
  <c r="AA88" i="2" s="1"/>
  <c r="Z86" i="2"/>
  <c r="AA86" i="2" s="1"/>
  <c r="Z84" i="2"/>
  <c r="AA84" i="2" s="1"/>
  <c r="Z82" i="2"/>
  <c r="AA82" i="2" s="1"/>
  <c r="Z80" i="2"/>
  <c r="AA80" i="2" s="1"/>
  <c r="Z78" i="2"/>
  <c r="AA78" i="2" s="1"/>
  <c r="Z76" i="2"/>
  <c r="AA76" i="2" s="1"/>
  <c r="Z74" i="2"/>
  <c r="AA74" i="2" s="1"/>
  <c r="Z72" i="2"/>
  <c r="AA72" i="2" s="1"/>
  <c r="Z70" i="2"/>
  <c r="AA70" i="2" s="1"/>
  <c r="AH64" i="2"/>
  <c r="AH61" i="2"/>
  <c r="AC61" i="2" s="1"/>
  <c r="AH58" i="2"/>
  <c r="AC58" i="2" s="1"/>
  <c r="AH55" i="2"/>
  <c r="AC55" i="2" s="1"/>
  <c r="AH54" i="2"/>
  <c r="AC54" i="2" s="1"/>
  <c r="AH51" i="2"/>
  <c r="AC51" i="2" s="1"/>
  <c r="AH50" i="2"/>
  <c r="AC50" i="2" s="1"/>
  <c r="AH49" i="2"/>
  <c r="AC49" i="2" s="1"/>
  <c r="AH39" i="2"/>
  <c r="AC39" i="2" s="1"/>
  <c r="AH63" i="2"/>
  <c r="AC63" i="2" s="1"/>
  <c r="AH60" i="2"/>
  <c r="AH57" i="2"/>
  <c r="AH53" i="2"/>
  <c r="AC53" i="2" s="1"/>
  <c r="AH41" i="2"/>
  <c r="AC41" i="2" s="1"/>
  <c r="AH62" i="2"/>
  <c r="AC62" i="2" s="1"/>
  <c r="AH59" i="2"/>
  <c r="AC59" i="2" s="1"/>
  <c r="AH56" i="2"/>
  <c r="AC56" i="2" s="1"/>
  <c r="AH52" i="2"/>
  <c r="AH40" i="2"/>
  <c r="AC40" i="2" s="1"/>
  <c r="Y38" i="2"/>
  <c r="AI68" i="2"/>
  <c r="AJ68" i="2" s="1"/>
  <c r="U565" i="2"/>
  <c r="Y565" i="2" s="1"/>
  <c r="AI565" i="2"/>
  <c r="AJ565" i="2" s="1"/>
  <c r="Z99" i="2"/>
  <c r="AA99" i="2" s="1"/>
  <c r="N216" i="2"/>
  <c r="I57" i="6" s="1"/>
  <c r="N122" i="2"/>
  <c r="F56" i="6" s="1"/>
  <c r="N390" i="2"/>
  <c r="O44" i="6" s="1"/>
  <c r="AH472" i="2"/>
  <c r="N569" i="2"/>
  <c r="U37" i="6" s="1"/>
  <c r="AD596" i="2"/>
  <c r="AH596" i="2" s="1"/>
  <c r="N596" i="2" s="1"/>
  <c r="V33" i="6" s="1"/>
  <c r="Y99" i="2"/>
  <c r="N389" i="2"/>
  <c r="O43" i="6" s="1"/>
  <c r="Z68" i="2"/>
  <c r="AA68" i="2" s="1"/>
  <c r="AH99" i="2"/>
  <c r="N118" i="2"/>
  <c r="F52" i="6" s="1"/>
  <c r="U130" i="2"/>
  <c r="Y130" i="2" s="1"/>
  <c r="N188" i="2"/>
  <c r="H60" i="6" s="1"/>
  <c r="N396" i="2"/>
  <c r="O50" i="6" s="1"/>
  <c r="AD565" i="2"/>
  <c r="AH565" i="2" s="1"/>
  <c r="N565" i="2" s="1"/>
  <c r="U33" i="6" s="1"/>
  <c r="U627" i="2"/>
  <c r="Y627" i="2" s="1"/>
  <c r="Z627" i="2"/>
  <c r="AA627" i="2" s="1"/>
  <c r="U223" i="2"/>
  <c r="Z223" i="2"/>
  <c r="AA223" i="2" s="1"/>
  <c r="AD285" i="2"/>
  <c r="AH285" i="2" s="1"/>
  <c r="N285" i="2" s="1"/>
  <c r="L33" i="6" s="1"/>
  <c r="AI285" i="2"/>
  <c r="AJ285" i="2" s="1"/>
  <c r="AH130" i="2"/>
  <c r="N135" i="2"/>
  <c r="G38" i="6" s="1"/>
  <c r="N296" i="2"/>
  <c r="L44" i="6" s="1"/>
  <c r="U316" i="2"/>
  <c r="Y316" i="2" s="1"/>
  <c r="Z689" i="2"/>
  <c r="AA689" i="2" s="1"/>
  <c r="AI223" i="2"/>
  <c r="AJ223" i="2" s="1"/>
  <c r="AD223" i="2"/>
  <c r="AH223" i="2" s="1"/>
  <c r="N223" i="2" s="1"/>
  <c r="J33" i="6" s="1"/>
  <c r="Z596" i="2"/>
  <c r="AA596" i="2" s="1"/>
  <c r="N155" i="2"/>
  <c r="G58" i="6" s="1"/>
  <c r="N165" i="2"/>
  <c r="H37" i="6" s="1"/>
  <c r="N585" i="2"/>
  <c r="U53" i="6" s="1"/>
  <c r="Y347" i="2"/>
  <c r="N383" i="2"/>
  <c r="O37" i="6" s="1"/>
  <c r="N388" i="2"/>
  <c r="O42" i="6" s="1"/>
  <c r="Y689" i="2"/>
  <c r="N110" i="2"/>
  <c r="F44" i="6" s="1"/>
  <c r="AD68" i="2"/>
  <c r="AH68" i="2" s="1"/>
  <c r="N106" i="2"/>
  <c r="F40" i="6" s="1"/>
  <c r="AI130" i="2"/>
  <c r="AJ130" i="2" s="1"/>
  <c r="AI161" i="2"/>
  <c r="AJ161" i="2" s="1"/>
  <c r="N186" i="2"/>
  <c r="H58" i="6" s="1"/>
  <c r="N240" i="2"/>
  <c r="J50" i="6" s="1"/>
  <c r="Y161" i="2"/>
  <c r="AI99" i="2"/>
  <c r="AJ99" i="2" s="1"/>
  <c r="N164" i="2"/>
  <c r="H36" i="6" s="1"/>
  <c r="N180" i="2"/>
  <c r="H52" i="6" s="1"/>
  <c r="N182" i="2"/>
  <c r="H54" i="6" s="1"/>
  <c r="AD192" i="2"/>
  <c r="AH192" i="2" s="1"/>
  <c r="AI192" i="2"/>
  <c r="AJ192" i="2" s="1"/>
  <c r="AD254" i="2"/>
  <c r="AI254" i="2"/>
  <c r="AJ254" i="2" s="1"/>
  <c r="Y68" i="2"/>
  <c r="N131" i="2"/>
  <c r="G34" i="6" s="1"/>
  <c r="N139" i="2"/>
  <c r="G42" i="6" s="1"/>
  <c r="Z161" i="2"/>
  <c r="AA161" i="2" s="1"/>
  <c r="N166" i="2"/>
  <c r="H38" i="6" s="1"/>
  <c r="N104" i="2"/>
  <c r="F38" i="6" s="1"/>
  <c r="N115" i="2"/>
  <c r="F49" i="6" s="1"/>
  <c r="AH161" i="2"/>
  <c r="N177" i="2"/>
  <c r="H49" i="6" s="1"/>
  <c r="AD347" i="2"/>
  <c r="AH347" i="2" s="1"/>
  <c r="AI347" i="2"/>
  <c r="AJ347" i="2" s="1"/>
  <c r="N204" i="2"/>
  <c r="I45" i="6" s="1"/>
  <c r="N239" i="2"/>
  <c r="J49" i="6" s="1"/>
  <c r="N328" i="2"/>
  <c r="M45" i="6" s="1"/>
  <c r="U658" i="2"/>
  <c r="Y658" i="2" s="1"/>
  <c r="Z658" i="2"/>
  <c r="AA658" i="2" s="1"/>
  <c r="AI379" i="2"/>
  <c r="AJ379" i="2" s="1"/>
  <c r="N386" i="2"/>
  <c r="O40" i="6" s="1"/>
  <c r="N682" i="2"/>
  <c r="X57" i="6" s="1"/>
  <c r="Y379" i="2"/>
  <c r="AI316" i="2"/>
  <c r="AJ316" i="2" s="1"/>
  <c r="AD720" i="2"/>
  <c r="AH720" i="2" s="1"/>
  <c r="AI720" i="2"/>
  <c r="AJ720" i="2" s="1"/>
  <c r="Y254" i="2"/>
  <c r="Z285" i="2"/>
  <c r="AA285" i="2" s="1"/>
  <c r="Z192" i="2"/>
  <c r="AA192" i="2" s="1"/>
  <c r="Z379" i="2"/>
  <c r="AA379" i="2" s="1"/>
  <c r="Z254" i="2"/>
  <c r="AA254" i="2" s="1"/>
  <c r="Z347" i="2"/>
  <c r="AA347" i="2" s="1"/>
  <c r="AH379" i="2"/>
  <c r="N484" i="2"/>
  <c r="R45" i="6" s="1"/>
  <c r="N724" i="2"/>
  <c r="Z37" i="6" s="1"/>
  <c r="AI410" i="2"/>
  <c r="AJ410" i="2" s="1"/>
  <c r="AI441" i="2"/>
  <c r="AJ441" i="2" s="1"/>
  <c r="AI503" i="2"/>
  <c r="AJ503" i="2" s="1"/>
  <c r="AI534" i="2"/>
  <c r="AJ534" i="2" s="1"/>
  <c r="N557" i="2"/>
  <c r="T56" i="6" s="1"/>
  <c r="N559" i="2"/>
  <c r="T58" i="6" s="1"/>
  <c r="Y410" i="2"/>
  <c r="Y534" i="2"/>
  <c r="Y596" i="2"/>
  <c r="N418" i="2"/>
  <c r="P41" i="6" s="1"/>
  <c r="N537" i="2"/>
  <c r="T36" i="6" s="1"/>
  <c r="N539" i="2"/>
  <c r="T38" i="6" s="1"/>
  <c r="N553" i="2"/>
  <c r="T52" i="6" s="1"/>
  <c r="AI689" i="2"/>
  <c r="AJ689" i="2" s="1"/>
  <c r="N402" i="2"/>
  <c r="O56" i="6" s="1"/>
  <c r="N430" i="2"/>
  <c r="P53" i="6" s="1"/>
  <c r="Y441" i="2"/>
  <c r="Y503" i="2"/>
  <c r="Y720" i="2"/>
  <c r="Z410" i="2"/>
  <c r="AA410" i="2" s="1"/>
  <c r="N414" i="2"/>
  <c r="P37" i="6" s="1"/>
  <c r="Z534" i="2"/>
  <c r="AA534" i="2" s="1"/>
  <c r="N555" i="2"/>
  <c r="T54" i="6" s="1"/>
  <c r="AI658" i="2"/>
  <c r="AJ658" i="2" s="1"/>
  <c r="N744" i="2"/>
  <c r="Z57" i="6" s="1"/>
  <c r="N406" i="2"/>
  <c r="O60" i="6" s="1"/>
  <c r="AH410" i="2"/>
  <c r="Z441" i="2"/>
  <c r="AA441" i="2" s="1"/>
  <c r="Z503" i="2"/>
  <c r="AA503" i="2" s="1"/>
  <c r="AH534" i="2"/>
  <c r="N534" i="2" s="1"/>
  <c r="T33" i="6" s="1"/>
  <c r="N492" i="2"/>
  <c r="R53" i="6" s="1"/>
  <c r="AI627" i="2"/>
  <c r="AJ627" i="2" s="1"/>
  <c r="Z720" i="2"/>
  <c r="AA720" i="2" s="1"/>
  <c r="N723" i="2"/>
  <c r="Z36" i="6" s="1"/>
  <c r="N727" i="2"/>
  <c r="Z40" i="6" s="1"/>
  <c r="N743" i="2"/>
  <c r="Z56" i="6" s="1"/>
  <c r="N747" i="2"/>
  <c r="Z60" i="6" s="1"/>
  <c r="AH689" i="2"/>
  <c r="N705" i="2"/>
  <c r="Y49" i="6" s="1"/>
  <c r="N692" i="2"/>
  <c r="Y36" i="6" s="1"/>
  <c r="N696" i="2"/>
  <c r="Y40" i="6" s="1"/>
  <c r="N708" i="2"/>
  <c r="Y52" i="6" s="1"/>
  <c r="N712" i="2"/>
  <c r="Y56" i="6" s="1"/>
  <c r="N716" i="2"/>
  <c r="Y60" i="6" s="1"/>
  <c r="N668" i="2"/>
  <c r="X43" i="6" s="1"/>
  <c r="N670" i="2"/>
  <c r="X45" i="6" s="1"/>
  <c r="AH658" i="2"/>
  <c r="N674" i="2"/>
  <c r="X49" i="6" s="1"/>
  <c r="N673" i="2"/>
  <c r="X48" i="6" s="1"/>
  <c r="N681" i="2"/>
  <c r="X56" i="6" s="1"/>
  <c r="N685" i="2"/>
  <c r="X60" i="6" s="1"/>
  <c r="N639" i="2"/>
  <c r="W45" i="6" s="1"/>
  <c r="AH627" i="2"/>
  <c r="N631" i="2"/>
  <c r="W37" i="6" s="1"/>
  <c r="N630" i="2"/>
  <c r="W36" i="6" s="1"/>
  <c r="N634" i="2"/>
  <c r="W40" i="6" s="1"/>
  <c r="N642" i="2"/>
  <c r="W48" i="6" s="1"/>
  <c r="N650" i="2"/>
  <c r="W56" i="6" s="1"/>
  <c r="N597" i="2"/>
  <c r="V34" i="6" s="1"/>
  <c r="N601" i="2"/>
  <c r="V38" i="6" s="1"/>
  <c r="N613" i="2"/>
  <c r="V50" i="6" s="1"/>
  <c r="N620" i="2"/>
  <c r="V57" i="6" s="1"/>
  <c r="N599" i="2"/>
  <c r="V36" i="6" s="1"/>
  <c r="N607" i="2"/>
  <c r="V44" i="6" s="1"/>
  <c r="N571" i="2"/>
  <c r="U39" i="6" s="1"/>
  <c r="N573" i="2"/>
  <c r="U41" i="6" s="1"/>
  <c r="N589" i="2"/>
  <c r="U57" i="6" s="1"/>
  <c r="N587" i="2"/>
  <c r="U55" i="6" s="1"/>
  <c r="N568" i="2"/>
  <c r="U36" i="6" s="1"/>
  <c r="N572" i="2"/>
  <c r="U40" i="6" s="1"/>
  <c r="N580" i="2"/>
  <c r="U48" i="6" s="1"/>
  <c r="N592" i="2"/>
  <c r="U60" i="6" s="1"/>
  <c r="N543" i="2"/>
  <c r="T42" i="6" s="1"/>
  <c r="N549" i="2"/>
  <c r="T48" i="6" s="1"/>
  <c r="N561" i="2"/>
  <c r="T60" i="6" s="1"/>
  <c r="N527" i="2"/>
  <c r="S57" i="6" s="1"/>
  <c r="AH503" i="2"/>
  <c r="N507" i="2"/>
  <c r="S37" i="6" s="1"/>
  <c r="N510" i="2"/>
  <c r="S40" i="6" s="1"/>
  <c r="N514" i="2"/>
  <c r="S44" i="6" s="1"/>
  <c r="N530" i="2"/>
  <c r="S60" i="6" s="1"/>
  <c r="N493" i="2"/>
  <c r="R54" i="6" s="1"/>
  <c r="N480" i="2"/>
  <c r="R41" i="6" s="1"/>
  <c r="Z472" i="2"/>
  <c r="AA472" i="2" s="1"/>
  <c r="AI472" i="2"/>
  <c r="AJ472" i="2" s="1"/>
  <c r="N474" i="2"/>
  <c r="R35" i="6" s="1"/>
  <c r="N475" i="2"/>
  <c r="R36" i="6" s="1"/>
  <c r="N479" i="2"/>
  <c r="R40" i="6" s="1"/>
  <c r="N483" i="2"/>
  <c r="R44" i="6" s="1"/>
  <c r="N487" i="2"/>
  <c r="R48" i="6" s="1"/>
  <c r="N491" i="2"/>
  <c r="R52" i="6" s="1"/>
  <c r="N495" i="2"/>
  <c r="R56" i="6" s="1"/>
  <c r="N499" i="2"/>
  <c r="R60" i="6" s="1"/>
  <c r="AH441" i="2"/>
  <c r="N444" i="2"/>
  <c r="Q36" i="6" s="1"/>
  <c r="N460" i="2"/>
  <c r="Q52" i="6" s="1"/>
  <c r="N464" i="2"/>
  <c r="Q56" i="6" s="1"/>
  <c r="N468" i="2"/>
  <c r="Q60" i="6" s="1"/>
  <c r="N434" i="2"/>
  <c r="P57" i="6" s="1"/>
  <c r="N413" i="2"/>
  <c r="P36" i="6" s="1"/>
  <c r="N417" i="2"/>
  <c r="P40" i="6" s="1"/>
  <c r="N425" i="2"/>
  <c r="P48" i="6" s="1"/>
  <c r="N433" i="2"/>
  <c r="P56" i="6" s="1"/>
  <c r="N437" i="2"/>
  <c r="P60" i="6" s="1"/>
  <c r="N379" i="2"/>
  <c r="O33" i="6" s="1"/>
  <c r="N404" i="2"/>
  <c r="O58" i="6" s="1"/>
  <c r="N387" i="2"/>
  <c r="O41" i="6" s="1"/>
  <c r="N350" i="2"/>
  <c r="N36" i="6" s="1"/>
  <c r="N366" i="2"/>
  <c r="N52" i="6" s="1"/>
  <c r="AH316" i="2"/>
  <c r="N324" i="2"/>
  <c r="M41" i="6" s="1"/>
  <c r="N332" i="2"/>
  <c r="M49" i="6" s="1"/>
  <c r="N336" i="2"/>
  <c r="M53" i="6" s="1"/>
  <c r="N340" i="2"/>
  <c r="M57" i="6" s="1"/>
  <c r="N319" i="2"/>
  <c r="M36" i="6" s="1"/>
  <c r="N323" i="2"/>
  <c r="M40" i="6" s="1"/>
  <c r="N327" i="2"/>
  <c r="M44" i="6" s="1"/>
  <c r="N331" i="2"/>
  <c r="M48" i="6" s="1"/>
  <c r="N335" i="2"/>
  <c r="M52" i="6" s="1"/>
  <c r="N339" i="2"/>
  <c r="M56" i="6" s="1"/>
  <c r="N343" i="2"/>
  <c r="M60" i="6" s="1"/>
  <c r="N309" i="2"/>
  <c r="L57" i="6" s="1"/>
  <c r="N312" i="2"/>
  <c r="L60" i="6" s="1"/>
  <c r="Y285" i="2"/>
  <c r="N289" i="2"/>
  <c r="L37" i="6" s="1"/>
  <c r="N292" i="2"/>
  <c r="L40" i="6" s="1"/>
  <c r="N305" i="2"/>
  <c r="L53" i="6" s="1"/>
  <c r="N308" i="2"/>
  <c r="L56" i="6" s="1"/>
  <c r="AH254" i="2"/>
  <c r="N270" i="2"/>
  <c r="K49" i="6" s="1"/>
  <c r="N257" i="2"/>
  <c r="K36" i="6" s="1"/>
  <c r="N265" i="2"/>
  <c r="K44" i="6" s="1"/>
  <c r="N269" i="2"/>
  <c r="K48" i="6" s="1"/>
  <c r="N281" i="2"/>
  <c r="Y223" i="2"/>
  <c r="N243" i="2"/>
  <c r="J53" i="6" s="1"/>
  <c r="N226" i="2"/>
  <c r="J36" i="6" s="1"/>
  <c r="N230" i="2"/>
  <c r="J40" i="6" s="1"/>
  <c r="N250" i="2"/>
  <c r="J60" i="6" s="1"/>
  <c r="N196" i="2"/>
  <c r="I37" i="6" s="1"/>
  <c r="N212" i="2"/>
  <c r="I53" i="6" s="1"/>
  <c r="Y192" i="2"/>
  <c r="N195" i="2"/>
  <c r="I36" i="6" s="1"/>
  <c r="N199" i="2"/>
  <c r="I40" i="6" s="1"/>
  <c r="N207" i="2"/>
  <c r="I48" i="6" s="1"/>
  <c r="N211" i="2"/>
  <c r="I52" i="6" s="1"/>
  <c r="N215" i="2"/>
  <c r="I56" i="6" s="1"/>
  <c r="N168" i="2"/>
  <c r="H40" i="6" s="1"/>
  <c r="N184" i="2"/>
  <c r="H56" i="6" s="1"/>
  <c r="N162" i="2"/>
  <c r="H34" i="6" s="1"/>
  <c r="N133" i="2"/>
  <c r="G36" i="6" s="1"/>
  <c r="N141" i="2"/>
  <c r="G44" i="6" s="1"/>
  <c r="N145" i="2"/>
  <c r="G48" i="6" s="1"/>
  <c r="N149" i="2"/>
  <c r="G52" i="6" s="1"/>
  <c r="N157" i="2"/>
  <c r="G60" i="6" s="1"/>
  <c r="N105" i="2"/>
  <c r="F39" i="6" s="1"/>
  <c r="N123" i="2"/>
  <c r="F57" i="6" s="1"/>
  <c r="N107" i="2"/>
  <c r="F41" i="6" s="1"/>
  <c r="Y37" i="2"/>
  <c r="Z10" i="2"/>
  <c r="AA10" i="2" s="1"/>
  <c r="AI13" i="2"/>
  <c r="AJ13" i="2" s="1"/>
  <c r="AI37" i="2"/>
  <c r="AJ37" i="2" s="1"/>
  <c r="AI22" i="2"/>
  <c r="AJ22" i="2" s="1"/>
  <c r="Z26" i="2"/>
  <c r="AA26" i="2" s="1"/>
  <c r="AI14" i="2"/>
  <c r="AJ14" i="2" s="1"/>
  <c r="Z18" i="2"/>
  <c r="AA18" i="2" s="1"/>
  <c r="Z37" i="2"/>
  <c r="AA37" i="2" s="1"/>
  <c r="AI21" i="2"/>
  <c r="AJ21" i="2" s="1"/>
  <c r="AI10" i="2"/>
  <c r="AJ10" i="2" s="1"/>
  <c r="Z9" i="2"/>
  <c r="AA9" i="2" s="1"/>
  <c r="AI32" i="2"/>
  <c r="AJ32" i="2" s="1"/>
  <c r="AH37" i="2"/>
  <c r="Z27" i="2"/>
  <c r="AA27" i="2" s="1"/>
  <c r="AI25" i="2"/>
  <c r="AJ25" i="2" s="1"/>
  <c r="AI28" i="2"/>
  <c r="AJ28" i="2" s="1"/>
  <c r="Z19" i="2"/>
  <c r="AA19" i="2" s="1"/>
  <c r="AI17" i="2"/>
  <c r="AJ17" i="2" s="1"/>
  <c r="Z22" i="2"/>
  <c r="AA22" i="2" s="1"/>
  <c r="AI20" i="2"/>
  <c r="AJ20" i="2" s="1"/>
  <c r="Z11" i="2"/>
  <c r="AA11" i="2" s="1"/>
  <c r="Z25" i="2"/>
  <c r="AA25" i="2" s="1"/>
  <c r="Z14" i="2"/>
  <c r="AA14" i="2" s="1"/>
  <c r="AI12" i="2"/>
  <c r="AJ12" i="2" s="1"/>
  <c r="AI9" i="2"/>
  <c r="AJ9" i="2" s="1"/>
  <c r="AI31" i="2"/>
  <c r="AJ31" i="2" s="1"/>
  <c r="Z17" i="2"/>
  <c r="AA17" i="2" s="1"/>
  <c r="AI23" i="2"/>
  <c r="AJ23" i="2" s="1"/>
  <c r="Z20" i="2"/>
  <c r="AA20" i="2" s="1"/>
  <c r="AI15" i="2"/>
  <c r="AJ15" i="2" s="1"/>
  <c r="Z12" i="2"/>
  <c r="AA12" i="2" s="1"/>
  <c r="AI7" i="2"/>
  <c r="AJ7" i="2" s="1"/>
  <c r="AI29" i="2"/>
  <c r="AJ29" i="2" s="1"/>
  <c r="AI24" i="2"/>
  <c r="AJ24" i="2" s="1"/>
  <c r="Z21" i="2"/>
  <c r="AA21" i="2" s="1"/>
  <c r="AI16" i="2"/>
  <c r="AJ16" i="2" s="1"/>
  <c r="Z13" i="2"/>
  <c r="AA13" i="2" s="1"/>
  <c r="AI8" i="2"/>
  <c r="AJ8" i="2" s="1"/>
  <c r="AI26" i="2"/>
  <c r="AJ26" i="2" s="1"/>
  <c r="Z23" i="2"/>
  <c r="AA23" i="2" s="1"/>
  <c r="AI18" i="2"/>
  <c r="AJ18" i="2" s="1"/>
  <c r="Z15" i="2"/>
  <c r="AA15" i="2" s="1"/>
  <c r="Z7" i="2"/>
  <c r="AA7" i="2" s="1"/>
  <c r="AI30" i="2"/>
  <c r="AJ30" i="2" s="1"/>
  <c r="AI27" i="2"/>
  <c r="AJ27" i="2" s="1"/>
  <c r="Z24" i="2"/>
  <c r="AA24" i="2" s="1"/>
  <c r="AI19" i="2"/>
  <c r="AJ19" i="2" s="1"/>
  <c r="Z16" i="2"/>
  <c r="AA16" i="2" s="1"/>
  <c r="AI11" i="2"/>
  <c r="AJ11" i="2" s="1"/>
  <c r="Z8" i="2"/>
  <c r="AA8" i="2" s="1"/>
  <c r="Z32" i="2"/>
  <c r="AA32" i="2" s="1"/>
  <c r="Z31" i="2"/>
  <c r="AA31" i="2" s="1"/>
  <c r="Z30" i="2"/>
  <c r="AA30" i="2" s="1"/>
  <c r="Z29" i="2"/>
  <c r="AA29" i="2" s="1"/>
  <c r="AI33" i="2"/>
  <c r="AJ33" i="2" s="1"/>
  <c r="Z33" i="2"/>
  <c r="AA33" i="2" s="1"/>
  <c r="Z28" i="2"/>
  <c r="AA28" i="2" s="1"/>
  <c r="Y33" i="2"/>
  <c r="Y32" i="2"/>
  <c r="Y31" i="2"/>
  <c r="Y30" i="2"/>
  <c r="Y29" i="2"/>
  <c r="T29" i="2" s="1"/>
  <c r="H29" i="2" s="1"/>
  <c r="C28" i="6" s="1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T12" i="2" s="1"/>
  <c r="H12" i="2" s="1"/>
  <c r="C11" i="6" s="1"/>
  <c r="C12" i="17" s="1"/>
  <c r="T9" i="8" s="1"/>
  <c r="Y11" i="2"/>
  <c r="Y10" i="2"/>
  <c r="Y9" i="2"/>
  <c r="Y8" i="2"/>
  <c r="AH33" i="2"/>
  <c r="AH30" i="2"/>
  <c r="AH27" i="2"/>
  <c r="AH24" i="2"/>
  <c r="AH19" i="2"/>
  <c r="AH14" i="2"/>
  <c r="AH7" i="2"/>
  <c r="AH32" i="2"/>
  <c r="AH29" i="2"/>
  <c r="AH26" i="2"/>
  <c r="AH23" i="2"/>
  <c r="AH21" i="2"/>
  <c r="AH17" i="2"/>
  <c r="AH15" i="2"/>
  <c r="AH12" i="2"/>
  <c r="AH9" i="2"/>
  <c r="AH31" i="2"/>
  <c r="AH28" i="2"/>
  <c r="AH25" i="2"/>
  <c r="AH22" i="2"/>
  <c r="AH20" i="2"/>
  <c r="AH18" i="2"/>
  <c r="AC18" i="2" s="1"/>
  <c r="N18" i="2" s="1"/>
  <c r="C45" i="6" s="1"/>
  <c r="C46" i="17" s="1"/>
  <c r="T43" i="8" s="1"/>
  <c r="AH16" i="2"/>
  <c r="AH13" i="2"/>
  <c r="AH11" i="2"/>
  <c r="AH10" i="2"/>
  <c r="AH8" i="2"/>
  <c r="AC8" i="2" s="1"/>
  <c r="N8" i="2" s="1"/>
  <c r="C35" i="6" s="1"/>
  <c r="C36" i="17" s="1"/>
  <c r="T33" i="8" s="1"/>
  <c r="Y7" i="2"/>
  <c r="AI53" i="23"/>
  <c r="AI44" i="23"/>
  <c r="AI41" i="23"/>
  <c r="AI26" i="23"/>
  <c r="AI55" i="23"/>
  <c r="AI46" i="23"/>
  <c r="AI28" i="23"/>
  <c r="AI43" i="23"/>
  <c r="AI37" i="23"/>
  <c r="AI18" i="23"/>
  <c r="AB3" i="8"/>
  <c r="Y3" i="8"/>
  <c r="V3" i="8"/>
  <c r="S3" i="8"/>
  <c r="AG6" i="2"/>
  <c r="AF6" i="2" s="1"/>
  <c r="AE6" i="2"/>
  <c r="AD6" i="2" s="1"/>
  <c r="V6" i="2"/>
  <c r="X6" i="2"/>
  <c r="W6" i="2" s="1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L31" i="4"/>
  <c r="AL22" i="4"/>
  <c r="AL13" i="4"/>
  <c r="AL4" i="4"/>
  <c r="AB31" i="4"/>
  <c r="AB22" i="4"/>
  <c r="AB13" i="4"/>
  <c r="AB4" i="4"/>
  <c r="AC14" i="2" l="1"/>
  <c r="N14" i="2" s="1"/>
  <c r="C41" i="6" s="1"/>
  <c r="C42" i="17" s="1"/>
  <c r="T39" i="8" s="1"/>
  <c r="AB28" i="6"/>
  <c r="S26" i="22" s="1"/>
  <c r="C29" i="17"/>
  <c r="T26" i="8" s="1"/>
  <c r="AC37" i="2"/>
  <c r="AC48" i="2"/>
  <c r="N48" i="2" s="1"/>
  <c r="D44" i="6" s="1"/>
  <c r="AC47" i="2"/>
  <c r="AC57" i="2"/>
  <c r="AC43" i="2"/>
  <c r="N43" i="2" s="1"/>
  <c r="D39" i="6" s="1"/>
  <c r="AC42" i="2"/>
  <c r="N42" i="2" s="1"/>
  <c r="D38" i="6" s="1"/>
  <c r="AC60" i="2"/>
  <c r="AC45" i="2"/>
  <c r="N45" i="2" s="1"/>
  <c r="D41" i="6" s="1"/>
  <c r="T49" i="2"/>
  <c r="T51" i="2"/>
  <c r="T46" i="2"/>
  <c r="T57" i="2"/>
  <c r="AC44" i="2"/>
  <c r="N44" i="2" s="1"/>
  <c r="D40" i="6" s="1"/>
  <c r="AC38" i="2"/>
  <c r="N38" i="2" s="1"/>
  <c r="D34" i="6" s="1"/>
  <c r="T38" i="2"/>
  <c r="T42" i="2"/>
  <c r="T50" i="2"/>
  <c r="AC52" i="2"/>
  <c r="N52" i="2" s="1"/>
  <c r="D48" i="6" s="1"/>
  <c r="T81" i="2"/>
  <c r="T9" i="2"/>
  <c r="H9" i="2" s="1"/>
  <c r="C8" i="6" s="1"/>
  <c r="AB8" i="6" s="1"/>
  <c r="N647" i="2"/>
  <c r="W53" i="6" s="1"/>
  <c r="N678" i="2"/>
  <c r="X53" i="6" s="1"/>
  <c r="AC72" i="2"/>
  <c r="N72" i="2" s="1"/>
  <c r="E37" i="6" s="1"/>
  <c r="N651" i="2"/>
  <c r="W57" i="6" s="1"/>
  <c r="T77" i="2"/>
  <c r="T37" i="2"/>
  <c r="N600" i="2"/>
  <c r="V37" i="6" s="1"/>
  <c r="N704" i="2"/>
  <c r="Y48" i="6" s="1"/>
  <c r="AC64" i="2"/>
  <c r="N64" i="2" s="1"/>
  <c r="D60" i="6" s="1"/>
  <c r="AC84" i="2"/>
  <c r="N84" i="2" s="1"/>
  <c r="E49" i="6" s="1"/>
  <c r="T41" i="2"/>
  <c r="AC86" i="2"/>
  <c r="N86" i="2" s="1"/>
  <c r="E51" i="6" s="1"/>
  <c r="AC69" i="2"/>
  <c r="N69" i="2" s="1"/>
  <c r="E34" i="6" s="1"/>
  <c r="T59" i="2"/>
  <c r="AC82" i="2"/>
  <c r="N82" i="2" s="1"/>
  <c r="E47" i="6" s="1"/>
  <c r="T61" i="2"/>
  <c r="T53" i="2"/>
  <c r="T88" i="2"/>
  <c r="T87" i="2"/>
  <c r="T95" i="2"/>
  <c r="AC77" i="2"/>
  <c r="N77" i="2" s="1"/>
  <c r="E42" i="6" s="1"/>
  <c r="AC89" i="2"/>
  <c r="N89" i="2" s="1"/>
  <c r="E54" i="6" s="1"/>
  <c r="T94" i="2"/>
  <c r="T72" i="2"/>
  <c r="AC93" i="2"/>
  <c r="N93" i="2" s="1"/>
  <c r="E58" i="6" s="1"/>
  <c r="AC75" i="2"/>
  <c r="N75" i="2" s="1"/>
  <c r="E40" i="6" s="1"/>
  <c r="T76" i="2"/>
  <c r="T79" i="2"/>
  <c r="AC95" i="2"/>
  <c r="N95" i="2" s="1"/>
  <c r="E60" i="6" s="1"/>
  <c r="T84" i="2"/>
  <c r="T90" i="2"/>
  <c r="AC68" i="2"/>
  <c r="N68" i="2" s="1"/>
  <c r="E33" i="6" s="1"/>
  <c r="T68" i="2"/>
  <c r="AC71" i="2"/>
  <c r="N71" i="2" s="1"/>
  <c r="E36" i="6" s="1"/>
  <c r="T73" i="2"/>
  <c r="AC78" i="2"/>
  <c r="N78" i="2" s="1"/>
  <c r="E43" i="6" s="1"/>
  <c r="T80" i="2"/>
  <c r="T70" i="2"/>
  <c r="T69" i="2"/>
  <c r="AC92" i="2"/>
  <c r="N92" i="2" s="1"/>
  <c r="E57" i="6" s="1"/>
  <c r="T74" i="2"/>
  <c r="AC79" i="2"/>
  <c r="N79" i="2" s="1"/>
  <c r="E44" i="6" s="1"/>
  <c r="AC73" i="2"/>
  <c r="N73" i="2" s="1"/>
  <c r="E38" i="6" s="1"/>
  <c r="T83" i="2"/>
  <c r="T78" i="2"/>
  <c r="AC83" i="2"/>
  <c r="N83" i="2" s="1"/>
  <c r="E48" i="6" s="1"/>
  <c r="T85" i="2"/>
  <c r="AC90" i="2"/>
  <c r="N90" i="2" s="1"/>
  <c r="E55" i="6" s="1"/>
  <c r="T92" i="2"/>
  <c r="T91" i="2"/>
  <c r="T82" i="2"/>
  <c r="AC87" i="2"/>
  <c r="N87" i="2" s="1"/>
  <c r="E52" i="6" s="1"/>
  <c r="T89" i="2"/>
  <c r="AC94" i="2"/>
  <c r="N94" i="2" s="1"/>
  <c r="E59" i="6" s="1"/>
  <c r="T71" i="2"/>
  <c r="AC81" i="2"/>
  <c r="N81" i="2" s="1"/>
  <c r="E46" i="6" s="1"/>
  <c r="AC80" i="2"/>
  <c r="N80" i="2" s="1"/>
  <c r="E45" i="6" s="1"/>
  <c r="AC74" i="2"/>
  <c r="N74" i="2" s="1"/>
  <c r="E39" i="6" s="1"/>
  <c r="T86" i="2"/>
  <c r="AC91" i="2"/>
  <c r="N91" i="2" s="1"/>
  <c r="E56" i="6" s="1"/>
  <c r="T93" i="2"/>
  <c r="AC76" i="2"/>
  <c r="N76" i="2" s="1"/>
  <c r="E41" i="6" s="1"/>
  <c r="T75" i="2"/>
  <c r="AC85" i="2"/>
  <c r="N85" i="2" s="1"/>
  <c r="E50" i="6" s="1"/>
  <c r="AC88" i="2"/>
  <c r="N88" i="2" s="1"/>
  <c r="E53" i="6" s="1"/>
  <c r="N235" i="2"/>
  <c r="J45" i="6" s="1"/>
  <c r="N638" i="2"/>
  <c r="W44" i="6" s="1"/>
  <c r="N395" i="2"/>
  <c r="O49" i="6" s="1"/>
  <c r="N229" i="2"/>
  <c r="J39" i="6" s="1"/>
  <c r="N358" i="2"/>
  <c r="N44" i="6" s="1"/>
  <c r="N511" i="2"/>
  <c r="S41" i="6" s="1"/>
  <c r="N603" i="2"/>
  <c r="V40" i="6" s="1"/>
  <c r="N643" i="2"/>
  <c r="W49" i="6" s="1"/>
  <c r="N669" i="2"/>
  <c r="X44" i="6" s="1"/>
  <c r="N403" i="2"/>
  <c r="O57" i="6" s="1"/>
  <c r="N254" i="2"/>
  <c r="K33" i="6" s="1"/>
  <c r="N103" i="2"/>
  <c r="F37" i="6" s="1"/>
  <c r="N200" i="2"/>
  <c r="I41" i="6" s="1"/>
  <c r="N227" i="2"/>
  <c r="J37" i="6" s="1"/>
  <c r="N297" i="2"/>
  <c r="L45" i="6" s="1"/>
  <c r="N274" i="2"/>
  <c r="K53" i="6" s="1"/>
  <c r="N137" i="2"/>
  <c r="G40" i="6" s="1"/>
  <c r="N485" i="2"/>
  <c r="R46" i="6" s="1"/>
  <c r="N576" i="2"/>
  <c r="U44" i="6" s="1"/>
  <c r="N399" i="2"/>
  <c r="O53" i="6" s="1"/>
  <c r="N151" i="2"/>
  <c r="G54" i="6" s="1"/>
  <c r="N154" i="2"/>
  <c r="G57" i="6" s="1"/>
  <c r="N258" i="2"/>
  <c r="K37" i="6" s="1"/>
  <c r="N362" i="2"/>
  <c r="N48" i="6" s="1"/>
  <c r="N422" i="2"/>
  <c r="P45" i="6" s="1"/>
  <c r="N111" i="2"/>
  <c r="F45" i="6" s="1"/>
  <c r="N234" i="2"/>
  <c r="J44" i="6" s="1"/>
  <c r="N359" i="2"/>
  <c r="N45" i="6" s="1"/>
  <c r="N619" i="2"/>
  <c r="V56" i="6" s="1"/>
  <c r="N697" i="2"/>
  <c r="Y41" i="6" s="1"/>
  <c r="N181" i="2"/>
  <c r="H53" i="6" s="1"/>
  <c r="N138" i="2"/>
  <c r="G41" i="6" s="1"/>
  <c r="N617" i="2"/>
  <c r="V54" i="6" s="1"/>
  <c r="N660" i="2"/>
  <c r="X35" i="6" s="1"/>
  <c r="N116" i="2"/>
  <c r="F50" i="6" s="1"/>
  <c r="N300" i="2"/>
  <c r="L48" i="6" s="1"/>
  <c r="N380" i="2"/>
  <c r="O34" i="6" s="1"/>
  <c r="O61" i="6" s="1"/>
  <c r="N461" i="2"/>
  <c r="Q53" i="6" s="1"/>
  <c r="N615" i="2"/>
  <c r="V52" i="6" s="1"/>
  <c r="N627" i="2"/>
  <c r="W33" i="6" s="1"/>
  <c r="W61" i="6" s="1"/>
  <c r="N683" i="2"/>
  <c r="X58" i="6" s="1"/>
  <c r="N739" i="2"/>
  <c r="Z52" i="6" s="1"/>
  <c r="N476" i="2"/>
  <c r="R37" i="6" s="1"/>
  <c r="N535" i="2"/>
  <c r="T34" i="6" s="1"/>
  <c r="N228" i="2"/>
  <c r="J38" i="6" s="1"/>
  <c r="N526" i="2"/>
  <c r="S56" i="6" s="1"/>
  <c r="N536" i="2"/>
  <c r="T35" i="6" s="1"/>
  <c r="N588" i="2"/>
  <c r="U56" i="6" s="1"/>
  <c r="N632" i="2"/>
  <c r="W38" i="6" s="1"/>
  <c r="N266" i="2"/>
  <c r="K45" i="6" s="1"/>
  <c r="N161" i="2"/>
  <c r="H33" i="6" s="1"/>
  <c r="N174" i="2"/>
  <c r="H46" i="6" s="1"/>
  <c r="N153" i="2"/>
  <c r="G56" i="6" s="1"/>
  <c r="N570" i="2"/>
  <c r="U38" i="6" s="1"/>
  <c r="N646" i="2"/>
  <c r="W52" i="6" s="1"/>
  <c r="N666" i="2"/>
  <c r="X41" i="6" s="1"/>
  <c r="N398" i="2"/>
  <c r="O52" i="6" s="1"/>
  <c r="N577" i="2"/>
  <c r="U45" i="6" s="1"/>
  <c r="N144" i="2"/>
  <c r="G47" i="6" s="1"/>
  <c r="N219" i="2"/>
  <c r="I60" i="6" s="1"/>
  <c r="N203" i="2"/>
  <c r="I44" i="6" s="1"/>
  <c r="N363" i="2"/>
  <c r="N49" i="6" s="1"/>
  <c r="N450" i="2"/>
  <c r="Q42" i="6" s="1"/>
  <c r="N616" i="2"/>
  <c r="V53" i="6" s="1"/>
  <c r="N693" i="2"/>
  <c r="Y37" i="6" s="1"/>
  <c r="N734" i="2"/>
  <c r="Z47" i="6" s="1"/>
  <c r="N237" i="2"/>
  <c r="J47" i="6" s="1"/>
  <c r="N426" i="2"/>
  <c r="P49" i="6" s="1"/>
  <c r="N262" i="2"/>
  <c r="K41" i="6" s="1"/>
  <c r="N317" i="2"/>
  <c r="M34" i="6" s="1"/>
  <c r="N581" i="2"/>
  <c r="U49" i="6" s="1"/>
  <c r="N326" i="2"/>
  <c r="M43" i="6" s="1"/>
  <c r="N448" i="2"/>
  <c r="Q40" i="6" s="1"/>
  <c r="N554" i="2"/>
  <c r="T53" i="6" s="1"/>
  <c r="N590" i="2"/>
  <c r="U58" i="6" s="1"/>
  <c r="N677" i="2"/>
  <c r="X52" i="6" s="1"/>
  <c r="N658" i="2"/>
  <c r="X33" i="6" s="1"/>
  <c r="N410" i="2"/>
  <c r="P33" i="6" s="1"/>
  <c r="N713" i="2"/>
  <c r="Y57" i="6" s="1"/>
  <c r="N301" i="2"/>
  <c r="L49" i="6" s="1"/>
  <c r="N545" i="2"/>
  <c r="T44" i="6" s="1"/>
  <c r="N550" i="2"/>
  <c r="T49" i="6" s="1"/>
  <c r="N147" i="2"/>
  <c r="G50" i="6" s="1"/>
  <c r="N394" i="2"/>
  <c r="O48" i="6" s="1"/>
  <c r="N621" i="2"/>
  <c r="V58" i="6" s="1"/>
  <c r="N551" i="2"/>
  <c r="T50" i="6" s="1"/>
  <c r="N605" i="2"/>
  <c r="V42" i="6" s="1"/>
  <c r="N333" i="2"/>
  <c r="M50" i="6" s="1"/>
  <c r="N109" i="2"/>
  <c r="F43" i="6" s="1"/>
  <c r="N231" i="2"/>
  <c r="J41" i="6" s="1"/>
  <c r="N457" i="2"/>
  <c r="Q49" i="6" s="1"/>
  <c r="N689" i="2"/>
  <c r="Y33" i="6" s="1"/>
  <c r="N341" i="2"/>
  <c r="M58" i="6" s="1"/>
  <c r="N465" i="2"/>
  <c r="Q57" i="6" s="1"/>
  <c r="N242" i="2"/>
  <c r="J52" i="6" s="1"/>
  <c r="N277" i="2"/>
  <c r="K56" i="6" s="1"/>
  <c r="N261" i="2"/>
  <c r="K40" i="6" s="1"/>
  <c r="N286" i="2"/>
  <c r="L34" i="6" s="1"/>
  <c r="L61" i="6" s="1"/>
  <c r="N367" i="2"/>
  <c r="N53" i="6" s="1"/>
  <c r="N371" i="2"/>
  <c r="N57" i="6" s="1"/>
  <c r="N382" i="2"/>
  <c r="O36" i="6" s="1"/>
  <c r="N384" i="2"/>
  <c r="O38" i="6" s="1"/>
  <c r="N441" i="2"/>
  <c r="Q33" i="6" s="1"/>
  <c r="N496" i="2"/>
  <c r="R57" i="6" s="1"/>
  <c r="N522" i="2"/>
  <c r="S52" i="6" s="1"/>
  <c r="N506" i="2"/>
  <c r="S36" i="6" s="1"/>
  <c r="N661" i="2"/>
  <c r="X36" i="6" s="1"/>
  <c r="N694" i="2"/>
  <c r="Y38" i="6" s="1"/>
  <c r="N612" i="2"/>
  <c r="V49" i="6" s="1"/>
  <c r="N337" i="2"/>
  <c r="M54" i="6" s="1"/>
  <c r="N665" i="2"/>
  <c r="X40" i="6" s="1"/>
  <c r="N736" i="2"/>
  <c r="Z49" i="6" s="1"/>
  <c r="N608" i="2"/>
  <c r="V45" i="6" s="1"/>
  <c r="N170" i="2"/>
  <c r="H42" i="6" s="1"/>
  <c r="N477" i="2"/>
  <c r="R38" i="6" s="1"/>
  <c r="N224" i="2"/>
  <c r="J34" i="6" s="1"/>
  <c r="N291" i="2"/>
  <c r="L39" i="6" s="1"/>
  <c r="N351" i="2"/>
  <c r="N37" i="6" s="1"/>
  <c r="N488" i="2"/>
  <c r="R49" i="6" s="1"/>
  <c r="N538" i="2"/>
  <c r="T37" i="6" s="1"/>
  <c r="N541" i="2"/>
  <c r="T40" i="6" s="1"/>
  <c r="N644" i="2"/>
  <c r="W50" i="6" s="1"/>
  <c r="N709" i="2"/>
  <c r="Y53" i="6" s="1"/>
  <c r="N701" i="2"/>
  <c r="Y45" i="6" s="1"/>
  <c r="N405" i="2"/>
  <c r="O59" i="6" s="1"/>
  <c r="N304" i="2"/>
  <c r="L52" i="6" s="1"/>
  <c r="N114" i="2"/>
  <c r="F48" i="6" s="1"/>
  <c r="N178" i="2"/>
  <c r="H50" i="6" s="1"/>
  <c r="N194" i="2"/>
  <c r="I35" i="6" s="1"/>
  <c r="N238" i="2"/>
  <c r="J48" i="6" s="1"/>
  <c r="N273" i="2"/>
  <c r="K52" i="6" s="1"/>
  <c r="N280" i="2"/>
  <c r="K59" i="6" s="1"/>
  <c r="N374" i="2"/>
  <c r="N60" i="6" s="1"/>
  <c r="N445" i="2"/>
  <c r="Q37" i="6" s="1"/>
  <c r="N523" i="2"/>
  <c r="S53" i="6" s="1"/>
  <c r="N611" i="2"/>
  <c r="V48" i="6" s="1"/>
  <c r="N609" i="2"/>
  <c r="V46" i="6" s="1"/>
  <c r="N654" i="2"/>
  <c r="W60" i="6" s="1"/>
  <c r="N652" i="2"/>
  <c r="W58" i="6" s="1"/>
  <c r="N102" i="2"/>
  <c r="F36" i="6" s="1"/>
  <c r="N690" i="2"/>
  <c r="Y34" i="6" s="1"/>
  <c r="N119" i="2"/>
  <c r="F53" i="6" s="1"/>
  <c r="N112" i="2"/>
  <c r="F46" i="6" s="1"/>
  <c r="N320" i="2"/>
  <c r="M37" i="6" s="1"/>
  <c r="N452" i="2"/>
  <c r="Q44" i="6" s="1"/>
  <c r="N458" i="2"/>
  <c r="Q50" i="6" s="1"/>
  <c r="N524" i="2"/>
  <c r="S54" i="6" s="1"/>
  <c r="N584" i="2"/>
  <c r="U52" i="6" s="1"/>
  <c r="N662" i="2"/>
  <c r="X37" i="6" s="1"/>
  <c r="N700" i="2"/>
  <c r="Y44" i="6" s="1"/>
  <c r="N740" i="2"/>
  <c r="Z53" i="6" s="1"/>
  <c r="N732" i="2"/>
  <c r="Z45" i="6" s="1"/>
  <c r="N143" i="2"/>
  <c r="G46" i="6" s="1"/>
  <c r="N134" i="2"/>
  <c r="G37" i="6" s="1"/>
  <c r="N370" i="2"/>
  <c r="N56" i="6" s="1"/>
  <c r="N354" i="2"/>
  <c r="N40" i="6" s="1"/>
  <c r="N623" i="2"/>
  <c r="V60" i="6" s="1"/>
  <c r="N735" i="2"/>
  <c r="Z48" i="6" s="1"/>
  <c r="N737" i="2"/>
  <c r="Z50" i="6" s="1"/>
  <c r="N473" i="2"/>
  <c r="R34" i="6" s="1"/>
  <c r="N547" i="2"/>
  <c r="T46" i="6" s="1"/>
  <c r="N392" i="2"/>
  <c r="O46" i="6" s="1"/>
  <c r="N126" i="2"/>
  <c r="F60" i="6" s="1"/>
  <c r="N412" i="2"/>
  <c r="P35" i="6" s="1"/>
  <c r="N136" i="2"/>
  <c r="G39" i="6" s="1"/>
  <c r="N172" i="2"/>
  <c r="H44" i="6" s="1"/>
  <c r="N201" i="2"/>
  <c r="I42" i="6" s="1"/>
  <c r="N276" i="2"/>
  <c r="K55" i="6" s="1"/>
  <c r="N310" i="2"/>
  <c r="L58" i="6" s="1"/>
  <c r="N391" i="2"/>
  <c r="O45" i="6" s="1"/>
  <c r="N431" i="2"/>
  <c r="P54" i="6" s="1"/>
  <c r="N456" i="2"/>
  <c r="Q48" i="6" s="1"/>
  <c r="N443" i="2"/>
  <c r="Q35" i="6" s="1"/>
  <c r="N519" i="2"/>
  <c r="S49" i="6" s="1"/>
  <c r="N606" i="2"/>
  <c r="V43" i="6" s="1"/>
  <c r="N671" i="2"/>
  <c r="X46" i="6" s="1"/>
  <c r="N684" i="2"/>
  <c r="X59" i="6" s="1"/>
  <c r="N702" i="2"/>
  <c r="Y46" i="6" s="1"/>
  <c r="N453" i="2"/>
  <c r="Q45" i="6" s="1"/>
  <c r="N497" i="2"/>
  <c r="R58" i="6" s="1"/>
  <c r="N321" i="2"/>
  <c r="M38" i="6" s="1"/>
  <c r="N329" i="2"/>
  <c r="M46" i="6" s="1"/>
  <c r="N173" i="2"/>
  <c r="H45" i="6" s="1"/>
  <c r="N70" i="2"/>
  <c r="E35" i="6" s="1"/>
  <c r="N279" i="2"/>
  <c r="K58" i="6" s="1"/>
  <c r="N373" i="2"/>
  <c r="N59" i="6" s="1"/>
  <c r="N415" i="2"/>
  <c r="P38" i="6" s="1"/>
  <c r="N486" i="2"/>
  <c r="R47" i="6" s="1"/>
  <c r="N503" i="2"/>
  <c r="S33" i="6" s="1"/>
  <c r="N675" i="2"/>
  <c r="X50" i="6" s="1"/>
  <c r="N400" i="2"/>
  <c r="O54" i="6" s="1"/>
  <c r="N449" i="2"/>
  <c r="Q41" i="6" s="1"/>
  <c r="N542" i="2"/>
  <c r="T41" i="6" s="1"/>
  <c r="N489" i="2"/>
  <c r="R50" i="6" s="1"/>
  <c r="N142" i="2"/>
  <c r="G45" i="6" s="1"/>
  <c r="N100" i="2"/>
  <c r="F34" i="6" s="1"/>
  <c r="N311" i="2"/>
  <c r="L59" i="6" s="1"/>
  <c r="N421" i="2"/>
  <c r="P44" i="6" s="1"/>
  <c r="N435" i="2"/>
  <c r="P58" i="6" s="1"/>
  <c r="N482" i="2"/>
  <c r="R43" i="6" s="1"/>
  <c r="N518" i="2"/>
  <c r="S48" i="6" s="1"/>
  <c r="N509" i="2"/>
  <c r="S39" i="6" s="1"/>
  <c r="N699" i="2"/>
  <c r="Y43" i="6" s="1"/>
  <c r="N481" i="2"/>
  <c r="R42" i="6" s="1"/>
  <c r="N169" i="2"/>
  <c r="H41" i="6" s="1"/>
  <c r="N140" i="2"/>
  <c r="G43" i="6" s="1"/>
  <c r="N175" i="2"/>
  <c r="H47" i="6" s="1"/>
  <c r="N249" i="2"/>
  <c r="J59" i="6" s="1"/>
  <c r="N355" i="2"/>
  <c r="N41" i="6" s="1"/>
  <c r="N419" i="2"/>
  <c r="P42" i="6" s="1"/>
  <c r="N442" i="2"/>
  <c r="Q34" i="6" s="1"/>
  <c r="N447" i="2"/>
  <c r="Q39" i="6" s="1"/>
  <c r="N525" i="2"/>
  <c r="S55" i="6" s="1"/>
  <c r="N582" i="2"/>
  <c r="U50" i="6" s="1"/>
  <c r="N546" i="2"/>
  <c r="T45" i="6" s="1"/>
  <c r="N248" i="2"/>
  <c r="J58" i="6" s="1"/>
  <c r="N232" i="2"/>
  <c r="J42" i="6" s="1"/>
  <c r="N130" i="2"/>
  <c r="G33" i="6" s="1"/>
  <c r="G61" i="6" s="1"/>
  <c r="N698" i="2"/>
  <c r="Y42" i="6" s="1"/>
  <c r="N247" i="2"/>
  <c r="J57" i="6" s="1"/>
  <c r="N303" i="2"/>
  <c r="L51" i="6" s="1"/>
  <c r="N316" i="2"/>
  <c r="M33" i="6" s="1"/>
  <c r="N369" i="2"/>
  <c r="N55" i="6" s="1"/>
  <c r="N515" i="2"/>
  <c r="S45" i="6" s="1"/>
  <c r="N676" i="2"/>
  <c r="X51" i="6" s="1"/>
  <c r="N742" i="2"/>
  <c r="Z55" i="6" s="1"/>
  <c r="N635" i="2"/>
  <c r="W41" i="6" s="1"/>
  <c r="N720" i="2"/>
  <c r="Z33" i="6" s="1"/>
  <c r="N278" i="2"/>
  <c r="K57" i="6" s="1"/>
  <c r="N236" i="2"/>
  <c r="J46" i="6" s="1"/>
  <c r="N244" i="2"/>
  <c r="J54" i="6" s="1"/>
  <c r="N208" i="2"/>
  <c r="I49" i="6" s="1"/>
  <c r="N325" i="2"/>
  <c r="M42" i="6" s="1"/>
  <c r="N192" i="2"/>
  <c r="I33" i="6" s="1"/>
  <c r="N185" i="2"/>
  <c r="H57" i="6" s="1"/>
  <c r="N146" i="2"/>
  <c r="G49" i="6" s="1"/>
  <c r="N176" i="2"/>
  <c r="H48" i="6" s="1"/>
  <c r="N214" i="2"/>
  <c r="I55" i="6" s="1"/>
  <c r="N347" i="2"/>
  <c r="N33" i="6" s="1"/>
  <c r="N416" i="2"/>
  <c r="P39" i="6" s="1"/>
  <c r="N629" i="2"/>
  <c r="W35" i="6" s="1"/>
  <c r="N707" i="2"/>
  <c r="Y51" i="6" s="1"/>
  <c r="N731" i="2"/>
  <c r="Z44" i="6" s="1"/>
  <c r="N746" i="2"/>
  <c r="Z59" i="6" s="1"/>
  <c r="N558" i="2"/>
  <c r="T57" i="6" s="1"/>
  <c r="N288" i="2"/>
  <c r="L36" i="6" s="1"/>
  <c r="N99" i="2"/>
  <c r="F33" i="6" s="1"/>
  <c r="N156" i="2"/>
  <c r="G59" i="6" s="1"/>
  <c r="N246" i="2"/>
  <c r="J56" i="6" s="1"/>
  <c r="N267" i="2"/>
  <c r="K46" i="6" s="1"/>
  <c r="N429" i="2"/>
  <c r="P52" i="6" s="1"/>
  <c r="N604" i="2"/>
  <c r="V41" i="6" s="1"/>
  <c r="N710" i="2"/>
  <c r="Y54" i="6" s="1"/>
  <c r="N728" i="2"/>
  <c r="Z41" i="6" s="1"/>
  <c r="N293" i="2"/>
  <c r="L41" i="6" s="1"/>
  <c r="N150" i="2"/>
  <c r="G53" i="6" s="1"/>
  <c r="N725" i="2"/>
  <c r="Z38" i="6" s="1"/>
  <c r="N721" i="2"/>
  <c r="Z34" i="6" s="1"/>
  <c r="N722" i="2"/>
  <c r="Z35" i="6" s="1"/>
  <c r="N733" i="2"/>
  <c r="Z46" i="6" s="1"/>
  <c r="N738" i="2"/>
  <c r="Z51" i="6" s="1"/>
  <c r="N726" i="2"/>
  <c r="Z39" i="6" s="1"/>
  <c r="N730" i="2"/>
  <c r="Z43" i="6" s="1"/>
  <c r="N745" i="2"/>
  <c r="Z58" i="6" s="1"/>
  <c r="N741" i="2"/>
  <c r="Z54" i="6" s="1"/>
  <c r="N729" i="2"/>
  <c r="Z42" i="6" s="1"/>
  <c r="N695" i="2"/>
  <c r="Y39" i="6" s="1"/>
  <c r="N711" i="2"/>
  <c r="Y55" i="6" s="1"/>
  <c r="N714" i="2"/>
  <c r="Y58" i="6" s="1"/>
  <c r="N691" i="2"/>
  <c r="Y35" i="6" s="1"/>
  <c r="N715" i="2"/>
  <c r="Y59" i="6" s="1"/>
  <c r="N703" i="2"/>
  <c r="Y47" i="6" s="1"/>
  <c r="N706" i="2"/>
  <c r="Y50" i="6" s="1"/>
  <c r="N664" i="2"/>
  <c r="X39" i="6" s="1"/>
  <c r="N679" i="2"/>
  <c r="X54" i="6" s="1"/>
  <c r="N667" i="2"/>
  <c r="X42" i="6" s="1"/>
  <c r="N663" i="2"/>
  <c r="X38" i="6" s="1"/>
  <c r="N659" i="2"/>
  <c r="X34" i="6" s="1"/>
  <c r="N672" i="2"/>
  <c r="X47" i="6" s="1"/>
  <c r="N680" i="2"/>
  <c r="X55" i="6" s="1"/>
  <c r="N645" i="2"/>
  <c r="W51" i="6" s="1"/>
  <c r="N637" i="2"/>
  <c r="W43" i="6" s="1"/>
  <c r="N636" i="2"/>
  <c r="W42" i="6" s="1"/>
  <c r="N648" i="2"/>
  <c r="W54" i="6" s="1"/>
  <c r="N649" i="2"/>
  <c r="W55" i="6" s="1"/>
  <c r="N628" i="2"/>
  <c r="W34" i="6" s="1"/>
  <c r="N633" i="2"/>
  <c r="W39" i="6" s="1"/>
  <c r="N641" i="2"/>
  <c r="W47" i="6" s="1"/>
  <c r="N653" i="2"/>
  <c r="W59" i="6" s="1"/>
  <c r="N640" i="2"/>
  <c r="W46" i="6" s="1"/>
  <c r="N602" i="2"/>
  <c r="V39" i="6" s="1"/>
  <c r="N614" i="2"/>
  <c r="V51" i="6" s="1"/>
  <c r="N618" i="2"/>
  <c r="V55" i="6" s="1"/>
  <c r="N598" i="2"/>
  <c r="V35" i="6" s="1"/>
  <c r="V61" i="6" s="1"/>
  <c r="N622" i="2"/>
  <c r="V59" i="6" s="1"/>
  <c r="N610" i="2"/>
  <c r="V47" i="6" s="1"/>
  <c r="N578" i="2"/>
  <c r="U46" i="6" s="1"/>
  <c r="N586" i="2"/>
  <c r="U54" i="6" s="1"/>
  <c r="N574" i="2"/>
  <c r="U42" i="6" s="1"/>
  <c r="N583" i="2"/>
  <c r="U51" i="6" s="1"/>
  <c r="N567" i="2"/>
  <c r="U35" i="6" s="1"/>
  <c r="N575" i="2"/>
  <c r="U43" i="6" s="1"/>
  <c r="N591" i="2"/>
  <c r="U59" i="6" s="1"/>
  <c r="N579" i="2"/>
  <c r="U47" i="6" s="1"/>
  <c r="N566" i="2"/>
  <c r="U34" i="6" s="1"/>
  <c r="U61" i="6" s="1"/>
  <c r="N548" i="2"/>
  <c r="T47" i="6" s="1"/>
  <c r="N556" i="2"/>
  <c r="T55" i="6" s="1"/>
  <c r="N552" i="2"/>
  <c r="T51" i="6" s="1"/>
  <c r="N560" i="2"/>
  <c r="T59" i="6" s="1"/>
  <c r="N540" i="2"/>
  <c r="T39" i="6" s="1"/>
  <c r="N544" i="2"/>
  <c r="T43" i="6" s="1"/>
  <c r="N512" i="2"/>
  <c r="S42" i="6" s="1"/>
  <c r="N504" i="2"/>
  <c r="S34" i="6" s="1"/>
  <c r="N516" i="2"/>
  <c r="S46" i="6" s="1"/>
  <c r="N517" i="2"/>
  <c r="S47" i="6" s="1"/>
  <c r="N529" i="2"/>
  <c r="S59" i="6" s="1"/>
  <c r="N528" i="2"/>
  <c r="S58" i="6" s="1"/>
  <c r="N505" i="2"/>
  <c r="S35" i="6" s="1"/>
  <c r="N508" i="2"/>
  <c r="S38" i="6" s="1"/>
  <c r="N520" i="2"/>
  <c r="S50" i="6" s="1"/>
  <c r="N521" i="2"/>
  <c r="S51" i="6" s="1"/>
  <c r="N513" i="2"/>
  <c r="S43" i="6" s="1"/>
  <c r="N494" i="2"/>
  <c r="R55" i="6" s="1"/>
  <c r="N478" i="2"/>
  <c r="R39" i="6" s="1"/>
  <c r="N498" i="2"/>
  <c r="R59" i="6" s="1"/>
  <c r="N490" i="2"/>
  <c r="R51" i="6" s="1"/>
  <c r="N472" i="2"/>
  <c r="R33" i="6" s="1"/>
  <c r="R61" i="6" s="1"/>
  <c r="N462" i="2"/>
  <c r="Q54" i="6" s="1"/>
  <c r="N455" i="2"/>
  <c r="Q47" i="6" s="1"/>
  <c r="N466" i="2"/>
  <c r="Q58" i="6" s="1"/>
  <c r="N454" i="2"/>
  <c r="Q46" i="6" s="1"/>
  <c r="N467" i="2"/>
  <c r="Q59" i="6" s="1"/>
  <c r="N446" i="2"/>
  <c r="Q38" i="6" s="1"/>
  <c r="N451" i="2"/>
  <c r="Q43" i="6" s="1"/>
  <c r="N459" i="2"/>
  <c r="Q51" i="6" s="1"/>
  <c r="N463" i="2"/>
  <c r="Q55" i="6" s="1"/>
  <c r="N427" i="2"/>
  <c r="P50" i="6" s="1"/>
  <c r="N411" i="2"/>
  <c r="P34" i="6" s="1"/>
  <c r="N423" i="2"/>
  <c r="P46" i="6" s="1"/>
  <c r="N424" i="2"/>
  <c r="P47" i="6" s="1"/>
  <c r="N436" i="2"/>
  <c r="P59" i="6" s="1"/>
  <c r="N432" i="2"/>
  <c r="P55" i="6" s="1"/>
  <c r="N420" i="2"/>
  <c r="P43" i="6" s="1"/>
  <c r="N428" i="2"/>
  <c r="P51" i="6" s="1"/>
  <c r="N397" i="2"/>
  <c r="O51" i="6" s="1"/>
  <c r="N393" i="2"/>
  <c r="O47" i="6" s="1"/>
  <c r="N381" i="2"/>
  <c r="O35" i="6" s="1"/>
  <c r="N401" i="2"/>
  <c r="O55" i="6" s="1"/>
  <c r="N385" i="2"/>
  <c r="O39" i="6" s="1"/>
  <c r="N365" i="2"/>
  <c r="N51" i="6" s="1"/>
  <c r="N348" i="2"/>
  <c r="N34" i="6" s="1"/>
  <c r="N356" i="2"/>
  <c r="N42" i="6" s="1"/>
  <c r="N368" i="2"/>
  <c r="N54" i="6" s="1"/>
  <c r="N364" i="2"/>
  <c r="N50" i="6" s="1"/>
  <c r="N360" i="2"/>
  <c r="N46" i="6" s="1"/>
  <c r="N361" i="2"/>
  <c r="N47" i="6" s="1"/>
  <c r="N357" i="2"/>
  <c r="N43" i="6" s="1"/>
  <c r="N372" i="2"/>
  <c r="N58" i="6" s="1"/>
  <c r="N349" i="2"/>
  <c r="N35" i="6" s="1"/>
  <c r="N353" i="2"/>
  <c r="N39" i="6" s="1"/>
  <c r="N352" i="2"/>
  <c r="N38" i="6" s="1"/>
  <c r="N338" i="2"/>
  <c r="M55" i="6" s="1"/>
  <c r="N330" i="2"/>
  <c r="M47" i="6" s="1"/>
  <c r="N318" i="2"/>
  <c r="M35" i="6" s="1"/>
  <c r="N322" i="2"/>
  <c r="M39" i="6" s="1"/>
  <c r="N334" i="2"/>
  <c r="M51" i="6" s="1"/>
  <c r="N342" i="2"/>
  <c r="M59" i="6" s="1"/>
  <c r="N298" i="2"/>
  <c r="L46" i="6" s="1"/>
  <c r="N306" i="2"/>
  <c r="L54" i="6" s="1"/>
  <c r="N302" i="2"/>
  <c r="L50" i="6" s="1"/>
  <c r="N294" i="2"/>
  <c r="L42" i="6" s="1"/>
  <c r="N299" i="2"/>
  <c r="L47" i="6" s="1"/>
  <c r="N290" i="2"/>
  <c r="L38" i="6" s="1"/>
  <c r="N307" i="2"/>
  <c r="L55" i="6" s="1"/>
  <c r="N295" i="2"/>
  <c r="L43" i="6" s="1"/>
  <c r="N287" i="2"/>
  <c r="L35" i="6" s="1"/>
  <c r="N275" i="2"/>
  <c r="K54" i="6" s="1"/>
  <c r="N256" i="2"/>
  <c r="K35" i="6" s="1"/>
  <c r="N268" i="2"/>
  <c r="K47" i="6" s="1"/>
  <c r="N271" i="2"/>
  <c r="K50" i="6" s="1"/>
  <c r="N272" i="2"/>
  <c r="K51" i="6" s="1"/>
  <c r="N259" i="2"/>
  <c r="K38" i="6" s="1"/>
  <c r="N263" i="2"/>
  <c r="K42" i="6" s="1"/>
  <c r="N260" i="2"/>
  <c r="K39" i="6" s="1"/>
  <c r="N255" i="2"/>
  <c r="K34" i="6" s="1"/>
  <c r="N264" i="2"/>
  <c r="K43" i="6" s="1"/>
  <c r="N241" i="2"/>
  <c r="J51" i="6" s="1"/>
  <c r="N225" i="2"/>
  <c r="J35" i="6" s="1"/>
  <c r="N245" i="2"/>
  <c r="J55" i="6" s="1"/>
  <c r="N233" i="2"/>
  <c r="J43" i="6" s="1"/>
  <c r="N205" i="2"/>
  <c r="I46" i="6" s="1"/>
  <c r="N217" i="2"/>
  <c r="I58" i="6" s="1"/>
  <c r="N202" i="2"/>
  <c r="I43" i="6" s="1"/>
  <c r="N209" i="2"/>
  <c r="I50" i="6" s="1"/>
  <c r="N197" i="2"/>
  <c r="I38" i="6" s="1"/>
  <c r="N198" i="2"/>
  <c r="I39" i="6" s="1"/>
  <c r="N210" i="2"/>
  <c r="I51" i="6" s="1"/>
  <c r="N218" i="2"/>
  <c r="I59" i="6" s="1"/>
  <c r="N206" i="2"/>
  <c r="I47" i="6" s="1"/>
  <c r="N213" i="2"/>
  <c r="I54" i="6" s="1"/>
  <c r="N193" i="2"/>
  <c r="I34" i="6" s="1"/>
  <c r="N171" i="2"/>
  <c r="H43" i="6" s="1"/>
  <c r="N183" i="2"/>
  <c r="H55" i="6" s="1"/>
  <c r="N163" i="2"/>
  <c r="H35" i="6" s="1"/>
  <c r="N167" i="2"/>
  <c r="H39" i="6" s="1"/>
  <c r="N187" i="2"/>
  <c r="H59" i="6" s="1"/>
  <c r="N179" i="2"/>
  <c r="H51" i="6" s="1"/>
  <c r="N152" i="2"/>
  <c r="G55" i="6" s="1"/>
  <c r="N132" i="2"/>
  <c r="G35" i="6" s="1"/>
  <c r="N148" i="2"/>
  <c r="G51" i="6" s="1"/>
  <c r="N101" i="2"/>
  <c r="F35" i="6" s="1"/>
  <c r="N124" i="2"/>
  <c r="F58" i="6" s="1"/>
  <c r="N125" i="2"/>
  <c r="F59" i="6" s="1"/>
  <c r="N120" i="2"/>
  <c r="F54" i="6" s="1"/>
  <c r="N121" i="2"/>
  <c r="F55" i="6" s="1"/>
  <c r="N113" i="2"/>
  <c r="F47" i="6" s="1"/>
  <c r="N108" i="2"/>
  <c r="F42" i="6" s="1"/>
  <c r="N117" i="2"/>
  <c r="F51" i="6" s="1"/>
  <c r="T17" i="2"/>
  <c r="H17" i="2" s="1"/>
  <c r="C16" i="6" s="1"/>
  <c r="N55" i="2"/>
  <c r="D51" i="6" s="1"/>
  <c r="AC22" i="2"/>
  <c r="N22" i="2" s="1"/>
  <c r="C49" i="6" s="1"/>
  <c r="N41" i="2"/>
  <c r="D37" i="6" s="1"/>
  <c r="AC10" i="2"/>
  <c r="N10" i="2" s="1"/>
  <c r="C37" i="6" s="1"/>
  <c r="AC30" i="2"/>
  <c r="N30" i="2" s="1"/>
  <c r="C57" i="6" s="1"/>
  <c r="T31" i="2"/>
  <c r="H31" i="2" s="1"/>
  <c r="C30" i="6" s="1"/>
  <c r="AC32" i="2"/>
  <c r="N32" i="2" s="1"/>
  <c r="C59" i="6" s="1"/>
  <c r="T26" i="2"/>
  <c r="H26" i="2" s="1"/>
  <c r="C25" i="6" s="1"/>
  <c r="N56" i="2"/>
  <c r="D52" i="6" s="1"/>
  <c r="AC13" i="2"/>
  <c r="N13" i="2" s="1"/>
  <c r="C40" i="6" s="1"/>
  <c r="AC24" i="2"/>
  <c r="N24" i="2" s="1"/>
  <c r="C51" i="6" s="1"/>
  <c r="AC21" i="2"/>
  <c r="N21" i="2" s="1"/>
  <c r="C48" i="6" s="1"/>
  <c r="N60" i="2"/>
  <c r="D56" i="6" s="1"/>
  <c r="AC28" i="2"/>
  <c r="N28" i="2" s="1"/>
  <c r="C55" i="6" s="1"/>
  <c r="N40" i="2"/>
  <c r="D36" i="6" s="1"/>
  <c r="T23" i="2"/>
  <c r="H23" i="2" s="1"/>
  <c r="C22" i="6" s="1"/>
  <c r="AC9" i="2"/>
  <c r="N9" i="2" s="1"/>
  <c r="C36" i="6" s="1"/>
  <c r="N53" i="2"/>
  <c r="D49" i="6" s="1"/>
  <c r="T10" i="2"/>
  <c r="H10" i="2" s="1"/>
  <c r="C9" i="6" s="1"/>
  <c r="N37" i="2"/>
  <c r="D33" i="6" s="1"/>
  <c r="T14" i="2"/>
  <c r="H14" i="2" s="1"/>
  <c r="C13" i="6" s="1"/>
  <c r="T22" i="2"/>
  <c r="H22" i="2" s="1"/>
  <c r="C21" i="6" s="1"/>
  <c r="AC26" i="2"/>
  <c r="N26" i="2" s="1"/>
  <c r="C53" i="6" s="1"/>
  <c r="N61" i="2"/>
  <c r="D57" i="6" s="1"/>
  <c r="T19" i="2"/>
  <c r="H19" i="2" s="1"/>
  <c r="C18" i="6" s="1"/>
  <c r="AC25" i="2"/>
  <c r="N25" i="2" s="1"/>
  <c r="C52" i="6" s="1"/>
  <c r="AC23" i="2"/>
  <c r="N23" i="2" s="1"/>
  <c r="C50" i="6" s="1"/>
  <c r="N46" i="2"/>
  <c r="D42" i="6" s="1"/>
  <c r="N49" i="2"/>
  <c r="D45" i="6" s="1"/>
  <c r="N62" i="2"/>
  <c r="D58" i="6" s="1"/>
  <c r="T15" i="2"/>
  <c r="H15" i="2" s="1"/>
  <c r="C14" i="6" s="1"/>
  <c r="AC31" i="2"/>
  <c r="N31" i="2" s="1"/>
  <c r="C58" i="6" s="1"/>
  <c r="T8" i="2"/>
  <c r="H8" i="2" s="1"/>
  <c r="C7" i="6" s="1"/>
  <c r="T16" i="2"/>
  <c r="H16" i="2" s="1"/>
  <c r="C15" i="6" s="1"/>
  <c r="N57" i="2"/>
  <c r="D53" i="6" s="1"/>
  <c r="AC33" i="2"/>
  <c r="N33" i="2" s="1"/>
  <c r="C60" i="6" s="1"/>
  <c r="N47" i="2"/>
  <c r="D43" i="6" s="1"/>
  <c r="AC12" i="2"/>
  <c r="N12" i="2" s="1"/>
  <c r="C39" i="6" s="1"/>
  <c r="T25" i="2"/>
  <c r="H25" i="2" s="1"/>
  <c r="C24" i="6" s="1"/>
  <c r="T18" i="2"/>
  <c r="H18" i="2" s="1"/>
  <c r="C17" i="6" s="1"/>
  <c r="AC20" i="2"/>
  <c r="N20" i="2" s="1"/>
  <c r="C47" i="6" s="1"/>
  <c r="AC17" i="2"/>
  <c r="N17" i="2" s="1"/>
  <c r="C44" i="6" s="1"/>
  <c r="AC19" i="2"/>
  <c r="N19" i="2" s="1"/>
  <c r="C46" i="6" s="1"/>
  <c r="T27" i="2"/>
  <c r="H27" i="2" s="1"/>
  <c r="C26" i="6" s="1"/>
  <c r="N63" i="2"/>
  <c r="D59" i="6" s="1"/>
  <c r="AC27" i="2"/>
  <c r="N27" i="2" s="1"/>
  <c r="C54" i="6" s="1"/>
  <c r="T13" i="2"/>
  <c r="H13" i="2" s="1"/>
  <c r="C12" i="6" s="1"/>
  <c r="T21" i="2"/>
  <c r="H21" i="2" s="1"/>
  <c r="C20" i="6" s="1"/>
  <c r="N59" i="2"/>
  <c r="D55" i="6" s="1"/>
  <c r="N58" i="2"/>
  <c r="D54" i="6" s="1"/>
  <c r="N39" i="2"/>
  <c r="D35" i="6" s="1"/>
  <c r="N54" i="2"/>
  <c r="D50" i="6" s="1"/>
  <c r="N51" i="2"/>
  <c r="D47" i="6" s="1"/>
  <c r="N50" i="2"/>
  <c r="D46" i="6" s="1"/>
  <c r="T11" i="2"/>
  <c r="H11" i="2" s="1"/>
  <c r="C10" i="6" s="1"/>
  <c r="C11" i="17" s="1"/>
  <c r="T8" i="8" s="1"/>
  <c r="AE11" i="6" a="1"/>
  <c r="AE11" i="6" s="1"/>
  <c r="AC9" i="8" s="1"/>
  <c r="AB11" i="6"/>
  <c r="AC11" i="6"/>
  <c r="AD11" i="6"/>
  <c r="T28" i="2"/>
  <c r="H28" i="2" s="1"/>
  <c r="C27" i="6" s="1"/>
  <c r="C28" i="17" s="1"/>
  <c r="T25" i="8" s="1"/>
  <c r="AC11" i="2"/>
  <c r="N11" i="2" s="1"/>
  <c r="C38" i="6" s="1"/>
  <c r="C39" i="17" s="1"/>
  <c r="T36" i="8" s="1"/>
  <c r="AC29" i="2"/>
  <c r="N29" i="2" s="1"/>
  <c r="C56" i="6" s="1"/>
  <c r="C57" i="17" s="1"/>
  <c r="T54" i="8" s="1"/>
  <c r="AE9" i="6" a="1"/>
  <c r="AE9" i="6" s="1"/>
  <c r="AC7" i="8" s="1"/>
  <c r="AD28" i="6"/>
  <c r="AF33" i="4" s="1"/>
  <c r="AC28" i="6"/>
  <c r="T26" i="22" s="1"/>
  <c r="AE28" i="6" a="1"/>
  <c r="AE28" i="6" s="1"/>
  <c r="AC26" i="8" s="1"/>
  <c r="T30" i="2"/>
  <c r="H30" i="2" s="1"/>
  <c r="C29" i="6" s="1"/>
  <c r="C30" i="17" s="1"/>
  <c r="T27" i="8" s="1"/>
  <c r="T24" i="2"/>
  <c r="H24" i="2" s="1"/>
  <c r="C23" i="6" s="1"/>
  <c r="C24" i="17" s="1"/>
  <c r="T21" i="8" s="1"/>
  <c r="AC16" i="2"/>
  <c r="N16" i="2" s="1"/>
  <c r="C43" i="6" s="1"/>
  <c r="C44" i="17" s="1"/>
  <c r="T41" i="8" s="1"/>
  <c r="AC7" i="2"/>
  <c r="N7" i="2" s="1"/>
  <c r="C34" i="6" s="1"/>
  <c r="C35" i="17" s="1"/>
  <c r="T32" i="8" s="1"/>
  <c r="T32" i="2"/>
  <c r="H32" i="2" s="1"/>
  <c r="C31" i="6" s="1"/>
  <c r="C32" i="17" s="1"/>
  <c r="T29" i="8" s="1"/>
  <c r="AC15" i="2"/>
  <c r="N15" i="2" s="1"/>
  <c r="C42" i="6" s="1"/>
  <c r="C43" i="17" s="1"/>
  <c r="T40" i="8" s="1"/>
  <c r="T7" i="2"/>
  <c r="H7" i="2" s="1"/>
  <c r="C6" i="6" s="1"/>
  <c r="C7" i="17" s="1"/>
  <c r="T4" i="8" s="1"/>
  <c r="T20" i="2"/>
  <c r="H20" i="2" s="1"/>
  <c r="C19" i="6" s="1"/>
  <c r="C20" i="17" s="1"/>
  <c r="T17" i="8" s="1"/>
  <c r="T33" i="2"/>
  <c r="H33" i="2" s="1"/>
  <c r="C32" i="6" s="1"/>
  <c r="C33" i="17" s="1"/>
  <c r="T30" i="8" s="1"/>
  <c r="AI6" i="2"/>
  <c r="AJ6" i="2" s="1"/>
  <c r="AH6" i="2"/>
  <c r="Z6" i="2"/>
  <c r="AA6" i="2" s="1"/>
  <c r="U6" i="2"/>
  <c r="Y6" i="2" s="1"/>
  <c r="AD33" i="4" l="1"/>
  <c r="Z61" i="6"/>
  <c r="Y61" i="6"/>
  <c r="X61" i="6"/>
  <c r="T61" i="6"/>
  <c r="S61" i="6"/>
  <c r="Q61" i="6"/>
  <c r="AE55" i="6" a="1"/>
  <c r="AE55" i="6" s="1"/>
  <c r="AC53" i="8" s="1"/>
  <c r="P61" i="6"/>
  <c r="N61" i="6"/>
  <c r="M61" i="6"/>
  <c r="K61" i="6"/>
  <c r="J61" i="6"/>
  <c r="I61" i="6"/>
  <c r="H61" i="6"/>
  <c r="AD45" i="6"/>
  <c r="AP18" i="4" s="1"/>
  <c r="AC45" i="6"/>
  <c r="T43" i="22" s="1"/>
  <c r="AB41" i="6"/>
  <c r="AN14" i="4" s="1"/>
  <c r="AE45" i="6" a="1"/>
  <c r="AE45" i="6" s="1"/>
  <c r="AC43" i="8" s="1"/>
  <c r="AC35" i="6"/>
  <c r="AO6" i="4" s="1"/>
  <c r="AD41" i="6"/>
  <c r="U39" i="22" s="1"/>
  <c r="W39" i="8" s="1"/>
  <c r="AE59" i="6" a="1"/>
  <c r="AE59" i="6" s="1"/>
  <c r="AC57" i="8" s="1"/>
  <c r="F61" i="6"/>
  <c r="AB45" i="6"/>
  <c r="AN18" i="4" s="1"/>
  <c r="E61" i="6"/>
  <c r="AE41" i="6" a="1"/>
  <c r="AE41" i="6" s="1"/>
  <c r="AC39" i="8" s="1"/>
  <c r="AE35" i="6" a="1"/>
  <c r="AE35" i="6" s="1"/>
  <c r="AC33" i="8" s="1"/>
  <c r="AD35" i="6"/>
  <c r="AP6" i="4" s="1"/>
  <c r="AC41" i="6"/>
  <c r="T39" i="22" s="1"/>
  <c r="D61" i="6"/>
  <c r="AB35" i="6"/>
  <c r="AN6" i="4" s="1"/>
  <c r="AB46" i="6"/>
  <c r="AN19" i="4" s="1"/>
  <c r="C47" i="17"/>
  <c r="T44" i="8" s="1"/>
  <c r="AE44" i="6" a="1"/>
  <c r="AE44" i="6" s="1"/>
  <c r="AC42" i="8" s="1"/>
  <c r="C45" i="17"/>
  <c r="T42" i="8" s="1"/>
  <c r="AE48" i="6" a="1"/>
  <c r="AE48" i="6" s="1"/>
  <c r="AC46" i="8" s="1"/>
  <c r="C49" i="17"/>
  <c r="T46" i="8" s="1"/>
  <c r="AD52" i="6"/>
  <c r="U50" i="22" s="1"/>
  <c r="W50" i="8" s="1"/>
  <c r="C53" i="17"/>
  <c r="T50" i="8" s="1"/>
  <c r="AB58" i="6"/>
  <c r="AN35" i="4" s="1"/>
  <c r="C59" i="17"/>
  <c r="T56" i="8" s="1"/>
  <c r="AE36" i="6" a="1"/>
  <c r="AE36" i="6" s="1"/>
  <c r="AC34" i="8" s="1"/>
  <c r="C37" i="17"/>
  <c r="T34" i="8" s="1"/>
  <c r="AE40" i="6" a="1"/>
  <c r="AE40" i="6" s="1"/>
  <c r="AC38" i="8" s="1"/>
  <c r="C41" i="17"/>
  <c r="T38" i="8" s="1"/>
  <c r="AC49" i="6"/>
  <c r="T47" i="22" s="1"/>
  <c r="C50" i="17"/>
  <c r="T47" i="8" s="1"/>
  <c r="AE57" i="6" a="1"/>
  <c r="AE57" i="6" s="1"/>
  <c r="AC55" i="8" s="1"/>
  <c r="C58" i="17"/>
  <c r="T55" i="8" s="1"/>
  <c r="AE50" i="6" a="1"/>
  <c r="AE50" i="6" s="1"/>
  <c r="AC48" i="8" s="1"/>
  <c r="C51" i="17"/>
  <c r="T48" i="8" s="1"/>
  <c r="AB57" i="6"/>
  <c r="AN34" i="4" s="1"/>
  <c r="AE47" i="6" a="1"/>
  <c r="AE47" i="6" s="1"/>
  <c r="AC45" i="8" s="1"/>
  <c r="C48" i="17"/>
  <c r="T45" i="8" s="1"/>
  <c r="AD51" i="6"/>
  <c r="AP26" i="4" s="1"/>
  <c r="C52" i="17"/>
  <c r="T49" i="8" s="1"/>
  <c r="AB54" i="6"/>
  <c r="AN31" i="4" s="1"/>
  <c r="C55" i="17"/>
  <c r="T52" i="8" s="1"/>
  <c r="AE39" i="6" a="1"/>
  <c r="AE39" i="6" s="1"/>
  <c r="AC37" i="8" s="1"/>
  <c r="C40" i="17"/>
  <c r="T37" i="8" s="1"/>
  <c r="AE53" i="6" a="1"/>
  <c r="AE53" i="6" s="1"/>
  <c r="AC51" i="8" s="1"/>
  <c r="C54" i="17"/>
  <c r="T51" i="8" s="1"/>
  <c r="AB55" i="6"/>
  <c r="S53" i="22" s="1"/>
  <c r="C56" i="17"/>
  <c r="T53" i="8" s="1"/>
  <c r="AB59" i="6"/>
  <c r="S57" i="22" s="1"/>
  <c r="C60" i="17"/>
  <c r="T57" i="8" s="1"/>
  <c r="AB37" i="6"/>
  <c r="S35" i="22" s="1"/>
  <c r="C38" i="17"/>
  <c r="T35" i="8" s="1"/>
  <c r="AB60" i="6"/>
  <c r="AN37" i="4" s="1"/>
  <c r="C61" i="17"/>
  <c r="T58" i="8" s="1"/>
  <c r="AC9" i="6"/>
  <c r="T7" i="22" s="1"/>
  <c r="C10" i="17"/>
  <c r="T7" i="8" s="1"/>
  <c r="AB20" i="6"/>
  <c r="AD23" i="4" s="1"/>
  <c r="C21" i="17"/>
  <c r="T18" i="8" s="1"/>
  <c r="AC7" i="6"/>
  <c r="T5" i="22" s="1"/>
  <c r="C8" i="17"/>
  <c r="T5" i="8" s="1"/>
  <c r="AC8" i="6"/>
  <c r="T6" i="22" s="1"/>
  <c r="C9" i="17"/>
  <c r="T6" i="8" s="1"/>
  <c r="AC15" i="6"/>
  <c r="C16" i="17"/>
  <c r="T13" i="8" s="1"/>
  <c r="AB12" i="6"/>
  <c r="S10" i="22" s="1"/>
  <c r="C13" i="17"/>
  <c r="T10" i="8" s="1"/>
  <c r="AC17" i="6"/>
  <c r="C18" i="17"/>
  <c r="T15" i="8" s="1"/>
  <c r="AE18" i="6" a="1"/>
  <c r="AE18" i="6" s="1"/>
  <c r="AC16" i="8" s="1"/>
  <c r="C19" i="17"/>
  <c r="T16" i="8" s="1"/>
  <c r="AB14" i="6"/>
  <c r="AD15" i="4" s="1"/>
  <c r="C15" i="17"/>
  <c r="T12" i="8" s="1"/>
  <c r="AD25" i="6"/>
  <c r="AF28" i="4" s="1"/>
  <c r="C26" i="17"/>
  <c r="T23" i="8" s="1"/>
  <c r="AC21" i="6"/>
  <c r="AE24" i="4" s="1"/>
  <c r="C22" i="17"/>
  <c r="T19" i="8" s="1"/>
  <c r="AC24" i="6"/>
  <c r="C25" i="17"/>
  <c r="T22" i="8" s="1"/>
  <c r="AC22" i="6"/>
  <c r="T20" i="22" s="1"/>
  <c r="C23" i="17"/>
  <c r="T20" i="8" s="1"/>
  <c r="AC16" i="6"/>
  <c r="AE17" i="4" s="1"/>
  <c r="C17" i="17"/>
  <c r="T14" i="8" s="1"/>
  <c r="AB26" i="6"/>
  <c r="AD31" i="4" s="1"/>
  <c r="C27" i="17"/>
  <c r="T24" i="8" s="1"/>
  <c r="AC13" i="6"/>
  <c r="T11" i="22" s="1"/>
  <c r="C14" i="17"/>
  <c r="T11" i="8" s="1"/>
  <c r="AB30" i="6"/>
  <c r="S28" i="22" s="1"/>
  <c r="C31" i="17"/>
  <c r="T28" i="8" s="1"/>
  <c r="AE8" i="6" a="1"/>
  <c r="AE8" i="6" s="1"/>
  <c r="AC6" i="8" s="1"/>
  <c r="AD8" i="6"/>
  <c r="U6" i="22" s="1"/>
  <c r="W6" i="8" s="1"/>
  <c r="AB48" i="6"/>
  <c r="AN23" i="4" s="1"/>
  <c r="AE49" i="6" a="1"/>
  <c r="AE49" i="6" s="1"/>
  <c r="AC47" i="8" s="1"/>
  <c r="AD49" i="6"/>
  <c r="AP24" i="4" s="1"/>
  <c r="AB49" i="6"/>
  <c r="S47" i="22" s="1"/>
  <c r="AD9" i="6"/>
  <c r="U7" i="22" s="1"/>
  <c r="W7" i="8" s="1"/>
  <c r="AB16" i="6"/>
  <c r="AD17" i="4" s="1"/>
  <c r="AE16" i="6" a="1"/>
  <c r="AE16" i="6" s="1"/>
  <c r="AC14" i="8" s="1"/>
  <c r="AD16" i="6"/>
  <c r="U14" i="22" s="1"/>
  <c r="W14" i="8" s="1"/>
  <c r="AD59" i="6"/>
  <c r="AP36" i="4" s="1"/>
  <c r="AD55" i="6"/>
  <c r="U53" i="22" s="1"/>
  <c r="W53" i="8" s="1"/>
  <c r="AC59" i="6"/>
  <c r="AO36" i="4" s="1"/>
  <c r="AB9" i="6"/>
  <c r="S7" i="22" s="1"/>
  <c r="AC55" i="6"/>
  <c r="AO32" i="4" s="1"/>
  <c r="AC40" i="6"/>
  <c r="T38" i="22" s="1"/>
  <c r="AB40" i="6"/>
  <c r="AN13" i="4" s="1"/>
  <c r="AD40" i="6"/>
  <c r="U38" i="22" s="1"/>
  <c r="W38" i="8" s="1"/>
  <c r="AD57" i="6"/>
  <c r="AP34" i="4" s="1"/>
  <c r="AB15" i="6"/>
  <c r="AD16" i="4" s="1"/>
  <c r="AD37" i="6"/>
  <c r="U35" i="22" s="1"/>
  <c r="W35" i="8" s="1"/>
  <c r="AE30" i="6" a="1"/>
  <c r="AE30" i="6" s="1"/>
  <c r="AC28" i="8" s="1"/>
  <c r="AC30" i="6"/>
  <c r="T28" i="22" s="1"/>
  <c r="AE7" i="6" a="1"/>
  <c r="AE7" i="6" s="1"/>
  <c r="AC5" i="8" s="1"/>
  <c r="AD7" i="6"/>
  <c r="U5" i="22" s="1"/>
  <c r="W5" i="8" s="1"/>
  <c r="AC54" i="6"/>
  <c r="T52" i="22" s="1"/>
  <c r="AB7" i="6"/>
  <c r="S5" i="22" s="1"/>
  <c r="AD30" i="6"/>
  <c r="U28" i="22" s="1"/>
  <c r="W28" i="8" s="1"/>
  <c r="AE37" i="6" a="1"/>
  <c r="AE37" i="6" s="1"/>
  <c r="AC35" i="8" s="1"/>
  <c r="AC37" i="6"/>
  <c r="AO8" i="4" s="1"/>
  <c r="AD54" i="6"/>
  <c r="AD50" i="6"/>
  <c r="U48" i="22" s="1"/>
  <c r="W48" i="8" s="1"/>
  <c r="AD48" i="6"/>
  <c r="U46" i="22" s="1"/>
  <c r="W46" i="8" s="1"/>
  <c r="AC48" i="6"/>
  <c r="T46" i="22" s="1"/>
  <c r="AD17" i="6"/>
  <c r="U15" i="22" s="1"/>
  <c r="W15" i="8" s="1"/>
  <c r="AE25" i="6" a="1"/>
  <c r="AE25" i="6" s="1"/>
  <c r="AC23" i="8" s="1"/>
  <c r="AC57" i="6"/>
  <c r="AO34" i="4" s="1"/>
  <c r="AC25" i="6"/>
  <c r="AB25" i="6"/>
  <c r="AD28" i="4" s="1"/>
  <c r="AD18" i="6"/>
  <c r="AF19" i="4" s="1"/>
  <c r="AE15" i="6" a="1"/>
  <c r="AE15" i="6" s="1"/>
  <c r="AC13" i="8" s="1"/>
  <c r="AC58" i="6"/>
  <c r="AO35" i="4" s="1"/>
  <c r="AD15" i="6"/>
  <c r="AF16" i="4" s="1"/>
  <c r="AD60" i="6"/>
  <c r="U58" i="22" s="1"/>
  <c r="W58" i="8" s="1"/>
  <c r="AD21" i="6"/>
  <c r="AF24" i="4" s="1"/>
  <c r="AD58" i="6"/>
  <c r="U56" i="22" s="1"/>
  <c r="W56" i="8" s="1"/>
  <c r="AB50" i="6"/>
  <c r="S48" i="22" s="1"/>
  <c r="AC51" i="6"/>
  <c r="AO26" i="4" s="1"/>
  <c r="AD47" i="6"/>
  <c r="AE58" i="6" a="1"/>
  <c r="AE58" i="6" s="1"/>
  <c r="AC56" i="8" s="1"/>
  <c r="AB51" i="6"/>
  <c r="AN26" i="4" s="1"/>
  <c r="AB18" i="6"/>
  <c r="AD19" i="4" s="1"/>
  <c r="AE14" i="6" a="1"/>
  <c r="AE14" i="6" s="1"/>
  <c r="AC12" i="8" s="1"/>
  <c r="AE51" i="6" a="1"/>
  <c r="AE51" i="6" s="1"/>
  <c r="AC49" i="8" s="1"/>
  <c r="AB36" i="6"/>
  <c r="AN7" i="4" s="1"/>
  <c r="AE24" i="6" a="1"/>
  <c r="AE24" i="6" s="1"/>
  <c r="AC22" i="8" s="1"/>
  <c r="AD24" i="6"/>
  <c r="U22" i="22" s="1"/>
  <c r="W22" i="8" s="1"/>
  <c r="AD36" i="6"/>
  <c r="AP7" i="4" s="1"/>
  <c r="AC36" i="6"/>
  <c r="T34" i="22" s="1"/>
  <c r="AC50" i="6"/>
  <c r="T48" i="22" s="1"/>
  <c r="AE26" i="6" a="1"/>
  <c r="AE26" i="6" s="1"/>
  <c r="AC24" i="8" s="1"/>
  <c r="AE60" i="6" a="1"/>
  <c r="AE60" i="6" s="1"/>
  <c r="AC58" i="8" s="1"/>
  <c r="AD26" i="6"/>
  <c r="AF31" i="4" s="1"/>
  <c r="AE21" i="6" a="1"/>
  <c r="AE21" i="6" s="1"/>
  <c r="AC19" i="8" s="1"/>
  <c r="AD14" i="6"/>
  <c r="AF15" i="4" s="1"/>
  <c r="AC52" i="6"/>
  <c r="T50" i="22" s="1"/>
  <c r="AE14" i="4"/>
  <c r="AB22" i="6"/>
  <c r="S20" i="22" s="1"/>
  <c r="AD53" i="6"/>
  <c r="U51" i="22" s="1"/>
  <c r="W51" i="8" s="1"/>
  <c r="AB52" i="6"/>
  <c r="AN27" i="4" s="1"/>
  <c r="AE22" i="6" a="1"/>
  <c r="AE22" i="6" s="1"/>
  <c r="AC20" i="8" s="1"/>
  <c r="AC53" i="6"/>
  <c r="AO28" i="4" s="1"/>
  <c r="AE52" i="6" a="1"/>
  <c r="AE52" i="6" s="1"/>
  <c r="AC50" i="8" s="1"/>
  <c r="AB13" i="6"/>
  <c r="AC14" i="6"/>
  <c r="AE15" i="4" s="1"/>
  <c r="AD22" i="6"/>
  <c r="U20" i="22" s="1"/>
  <c r="W20" i="8" s="1"/>
  <c r="AB53" i="6"/>
  <c r="S51" i="22" s="1"/>
  <c r="AD13" i="6"/>
  <c r="AF14" i="4" s="1"/>
  <c r="AE13" i="6" a="1"/>
  <c r="AE13" i="6" s="1"/>
  <c r="AC11" i="8" s="1"/>
  <c r="AC12" i="6"/>
  <c r="AE13" i="4" s="1"/>
  <c r="AC60" i="6"/>
  <c r="T58" i="22" s="1"/>
  <c r="AB17" i="6"/>
  <c r="S15" i="22" s="1"/>
  <c r="AC18" i="6"/>
  <c r="AE19" i="4" s="1"/>
  <c r="AC26" i="6"/>
  <c r="T24" i="22" s="1"/>
  <c r="AC20" i="6"/>
  <c r="AE54" i="6" a="1"/>
  <c r="AE54" i="6" s="1"/>
  <c r="AC52" i="8" s="1"/>
  <c r="AB21" i="6"/>
  <c r="AD20" i="6"/>
  <c r="AF23" i="4" s="1"/>
  <c r="AB39" i="6"/>
  <c r="S37" i="22" s="1"/>
  <c r="AC39" i="6"/>
  <c r="T37" i="22" s="1"/>
  <c r="AD39" i="6"/>
  <c r="AB24" i="6"/>
  <c r="AD27" i="4" s="1"/>
  <c r="AD46" i="6"/>
  <c r="AP19" i="4" s="1"/>
  <c r="AE46" i="6" a="1"/>
  <c r="AE46" i="6" s="1"/>
  <c r="AC44" i="8" s="1"/>
  <c r="AC46" i="6"/>
  <c r="T44" i="22" s="1"/>
  <c r="AE12" i="6" a="1"/>
  <c r="AE12" i="6" s="1"/>
  <c r="AC10" i="8" s="1"/>
  <c r="AB44" i="6"/>
  <c r="AN17" i="4" s="1"/>
  <c r="AE33" i="4"/>
  <c r="AE20" i="6" a="1"/>
  <c r="AE20" i="6" s="1"/>
  <c r="AC18" i="8" s="1"/>
  <c r="AD12" i="6"/>
  <c r="U10" i="22" s="1"/>
  <c r="W10" i="8" s="1"/>
  <c r="AD44" i="6"/>
  <c r="AP17" i="4" s="1"/>
  <c r="AB47" i="6"/>
  <c r="S45" i="22" s="1"/>
  <c r="AC47" i="6"/>
  <c r="U26" i="22"/>
  <c r="W26" i="8" s="1"/>
  <c r="AE17" i="6" a="1"/>
  <c r="AE17" i="6" s="1"/>
  <c r="AC15" i="8" s="1"/>
  <c r="AC44" i="6"/>
  <c r="T42" i="22" s="1"/>
  <c r="AE19" i="6" a="1"/>
  <c r="AE19" i="6" s="1"/>
  <c r="AC17" i="8" s="1"/>
  <c r="AB19" i="6"/>
  <c r="AC19" i="6"/>
  <c r="AD19" i="6"/>
  <c r="AB6" i="6"/>
  <c r="AC6" i="6"/>
  <c r="AD6" i="6"/>
  <c r="AE6" i="6" a="1"/>
  <c r="AE6" i="6" s="1"/>
  <c r="AC4" i="8" s="1"/>
  <c r="AA28" i="6"/>
  <c r="AB56" i="6"/>
  <c r="AC56" i="6"/>
  <c r="AD56" i="6"/>
  <c r="AE56" i="6" a="1"/>
  <c r="AE56" i="6" s="1"/>
  <c r="AC54" i="8" s="1"/>
  <c r="AE10" i="4"/>
  <c r="T9" i="22"/>
  <c r="AE42" i="6" a="1"/>
  <c r="AE42" i="6" s="1"/>
  <c r="AC40" i="8" s="1"/>
  <c r="AD42" i="6"/>
  <c r="AB42" i="6"/>
  <c r="AC42" i="6"/>
  <c r="AD10" i="4"/>
  <c r="S9" i="22"/>
  <c r="AA11" i="6"/>
  <c r="AE31" i="6" a="1"/>
  <c r="AE31" i="6" s="1"/>
  <c r="AC29" i="8" s="1"/>
  <c r="AB31" i="6"/>
  <c r="AC31" i="6"/>
  <c r="AD31" i="6"/>
  <c r="AE6" i="4"/>
  <c r="AE8" i="4"/>
  <c r="AF10" i="4"/>
  <c r="U9" i="22"/>
  <c r="W9" i="8" s="1"/>
  <c r="AE34" i="6" a="1"/>
  <c r="AE34" i="6" s="1"/>
  <c r="AC32" i="8" s="1"/>
  <c r="AB34" i="6"/>
  <c r="AC34" i="6"/>
  <c r="AD34" i="6"/>
  <c r="AE7" i="4"/>
  <c r="T15" i="22"/>
  <c r="AE18" i="4"/>
  <c r="AB10" i="6"/>
  <c r="AE10" i="6" a="1"/>
  <c r="AE10" i="6" s="1"/>
  <c r="AC8" i="8" s="1"/>
  <c r="AC10" i="6"/>
  <c r="AD10" i="6"/>
  <c r="AB43" i="6"/>
  <c r="AC43" i="6"/>
  <c r="AD43" i="6"/>
  <c r="AE43" i="6" a="1"/>
  <c r="AE43" i="6" s="1"/>
  <c r="AC41" i="8" s="1"/>
  <c r="AD7" i="4"/>
  <c r="S6" i="22"/>
  <c r="AB23" i="6"/>
  <c r="AC23" i="6"/>
  <c r="AD23" i="6"/>
  <c r="AE23" i="6" a="1"/>
  <c r="AE23" i="6" s="1"/>
  <c r="AC21" i="8" s="1"/>
  <c r="AE16" i="4"/>
  <c r="T13" i="22"/>
  <c r="AB38" i="6"/>
  <c r="AC38" i="6"/>
  <c r="AD38" i="6"/>
  <c r="AE38" i="6" a="1"/>
  <c r="AE38" i="6" s="1"/>
  <c r="AC36" i="8" s="1"/>
  <c r="AE27" i="4"/>
  <c r="T22" i="22"/>
  <c r="AB32" i="6"/>
  <c r="AC32" i="6"/>
  <c r="AD32" i="6"/>
  <c r="AE32" i="6" a="1"/>
  <c r="AE32" i="6" s="1"/>
  <c r="AC30" i="8" s="1"/>
  <c r="AE29" i="6" a="1"/>
  <c r="AE29" i="6" s="1"/>
  <c r="AC27" i="8" s="1"/>
  <c r="AD29" i="6"/>
  <c r="AB29" i="6"/>
  <c r="AC29" i="6"/>
  <c r="AB27" i="6"/>
  <c r="AC27" i="6"/>
  <c r="AD27" i="6"/>
  <c r="AE27" i="6" a="1"/>
  <c r="AE27" i="6" s="1"/>
  <c r="AC25" i="8" s="1"/>
  <c r="AC6" i="2"/>
  <c r="N6" i="2" s="1"/>
  <c r="C33" i="6" s="1"/>
  <c r="T6" i="2"/>
  <c r="H6" i="2" s="1"/>
  <c r="C5" i="6" s="1"/>
  <c r="C6" i="17" s="1"/>
  <c r="AD35" i="4" l="1"/>
  <c r="S12" i="22"/>
  <c r="T19" i="22"/>
  <c r="S24" i="22"/>
  <c r="AE25" i="4"/>
  <c r="T14" i="22"/>
  <c r="U43" i="22"/>
  <c r="W43" i="8" s="1"/>
  <c r="S52" i="22"/>
  <c r="AN36" i="4"/>
  <c r="S39" i="22"/>
  <c r="AO18" i="4"/>
  <c r="T33" i="22"/>
  <c r="AA45" i="6"/>
  <c r="AR18" i="4" s="1"/>
  <c r="AM18" i="4" s="1"/>
  <c r="U33" i="22"/>
  <c r="W33" i="8" s="1"/>
  <c r="S58" i="22"/>
  <c r="AP14" i="4"/>
  <c r="S43" i="22"/>
  <c r="AA41" i="6"/>
  <c r="X39" i="22" s="1"/>
  <c r="R39" i="22" s="1"/>
  <c r="S33" i="22"/>
  <c r="S46" i="22"/>
  <c r="AN8" i="4"/>
  <c r="AP27" i="4"/>
  <c r="AO24" i="4"/>
  <c r="AO14" i="4"/>
  <c r="S44" i="22"/>
  <c r="S56" i="22"/>
  <c r="AA35" i="6"/>
  <c r="X33" i="22" s="1"/>
  <c r="R33" i="22" s="1"/>
  <c r="S55" i="22"/>
  <c r="U49" i="22"/>
  <c r="W49" i="8" s="1"/>
  <c r="AN32" i="4"/>
  <c r="AE33" i="6" a="1"/>
  <c r="AE33" i="6" s="1"/>
  <c r="AC31" i="8" s="1"/>
  <c r="C34" i="17"/>
  <c r="T31" i="8" s="1"/>
  <c r="T3" i="8"/>
  <c r="U23" i="22"/>
  <c r="W23" i="8" s="1"/>
  <c r="AD13" i="4"/>
  <c r="S18" i="22"/>
  <c r="U13" i="22"/>
  <c r="W13" i="8" s="1"/>
  <c r="AF18" i="4"/>
  <c r="AF35" i="4"/>
  <c r="AN10" i="4"/>
  <c r="AA15" i="6"/>
  <c r="AH16" i="4" s="1"/>
  <c r="AC16" i="4" s="1"/>
  <c r="S13" i="22"/>
  <c r="AD6" i="4"/>
  <c r="AA17" i="6"/>
  <c r="AH18" i="4" s="1"/>
  <c r="AC18" i="4" s="1"/>
  <c r="AF17" i="4"/>
  <c r="AF7" i="4"/>
  <c r="T57" i="22"/>
  <c r="AP37" i="4"/>
  <c r="AA8" i="6"/>
  <c r="X6" i="22" s="1"/>
  <c r="R6" i="22" s="1"/>
  <c r="AP13" i="4"/>
  <c r="AD18" i="4"/>
  <c r="S49" i="22"/>
  <c r="U47" i="22"/>
  <c r="W47" i="8" s="1"/>
  <c r="S38" i="22"/>
  <c r="AO7" i="4"/>
  <c r="AA49" i="6"/>
  <c r="AR24" i="4" s="1"/>
  <c r="AM24" i="4" s="1"/>
  <c r="AA55" i="6"/>
  <c r="AR32" i="4" s="1"/>
  <c r="AM32" i="4" s="1"/>
  <c r="AA16" i="6"/>
  <c r="AH17" i="4" s="1"/>
  <c r="AC17" i="4" s="1"/>
  <c r="S14" i="22"/>
  <c r="AP8" i="4"/>
  <c r="AN24" i="4"/>
  <c r="AO13" i="4"/>
  <c r="T53" i="22"/>
  <c r="U16" i="22"/>
  <c r="W16" i="8" s="1"/>
  <c r="AF8" i="4"/>
  <c r="S23" i="22"/>
  <c r="AP32" i="4"/>
  <c r="AA59" i="6"/>
  <c r="X57" i="22" s="1"/>
  <c r="R57" i="22" s="1"/>
  <c r="U57" i="22"/>
  <c r="W57" i="8" s="1"/>
  <c r="AA40" i="6"/>
  <c r="X38" i="22" s="1"/>
  <c r="R38" i="22" s="1"/>
  <c r="AA9" i="6"/>
  <c r="AH8" i="4" s="1"/>
  <c r="AC8" i="4" s="1"/>
  <c r="AD8" i="4"/>
  <c r="U19" i="22"/>
  <c r="W19" i="8" s="1"/>
  <c r="AP28" i="4"/>
  <c r="AA30" i="6"/>
  <c r="AH35" i="4" s="1"/>
  <c r="AC35" i="4" s="1"/>
  <c r="AE35" i="4"/>
  <c r="AP35" i="4"/>
  <c r="AA7" i="6"/>
  <c r="X5" i="22" s="1"/>
  <c r="R5" i="22" s="1"/>
  <c r="AA25" i="6"/>
  <c r="AH28" i="4" s="1"/>
  <c r="AC28" i="4" s="1"/>
  <c r="AP25" i="4"/>
  <c r="U55" i="22"/>
  <c r="W55" i="8" s="1"/>
  <c r="T16" i="22"/>
  <c r="AF6" i="4"/>
  <c r="AA37" i="6"/>
  <c r="AR8" i="4" s="1"/>
  <c r="AM8" i="4" s="1"/>
  <c r="T35" i="22"/>
  <c r="T23" i="22"/>
  <c r="AE28" i="4"/>
  <c r="AA21" i="6"/>
  <c r="AH24" i="4" s="1"/>
  <c r="AC24" i="4" s="1"/>
  <c r="T12" i="22"/>
  <c r="AO23" i="4"/>
  <c r="AA48" i="6"/>
  <c r="AR23" i="4" s="1"/>
  <c r="AM23" i="4" s="1"/>
  <c r="AP23" i="4"/>
  <c r="AA51" i="6"/>
  <c r="X49" i="22" s="1"/>
  <c r="R49" i="22" s="1"/>
  <c r="T49" i="22"/>
  <c r="AA54" i="6"/>
  <c r="X52" i="22" s="1"/>
  <c r="R52" i="22" s="1"/>
  <c r="AO27" i="4"/>
  <c r="AA57" i="6"/>
  <c r="X55" i="22" s="1"/>
  <c r="R55" i="22" s="1"/>
  <c r="AA18" i="6"/>
  <c r="AH19" i="4" s="1"/>
  <c r="AC19" i="4" s="1"/>
  <c r="T55" i="22"/>
  <c r="U34" i="22"/>
  <c r="W34" i="8" s="1"/>
  <c r="AO31" i="4"/>
  <c r="U52" i="22"/>
  <c r="W52" i="8" s="1"/>
  <c r="AP31" i="4"/>
  <c r="T56" i="22"/>
  <c r="AA58" i="6"/>
  <c r="AR35" i="4" s="1"/>
  <c r="AM35" i="4" s="1"/>
  <c r="AN25" i="4"/>
  <c r="AF27" i="4"/>
  <c r="AN22" i="4"/>
  <c r="T10" i="22"/>
  <c r="AO37" i="4"/>
  <c r="AA60" i="6"/>
  <c r="X58" i="22" s="1"/>
  <c r="R58" i="22" s="1"/>
  <c r="AD25" i="4"/>
  <c r="S16" i="22"/>
  <c r="AA50" i="6"/>
  <c r="AR25" i="4" s="1"/>
  <c r="AM25" i="4" s="1"/>
  <c r="AA22" i="6"/>
  <c r="AH25" i="4" s="1"/>
  <c r="AC25" i="4" s="1"/>
  <c r="AF25" i="4"/>
  <c r="AO25" i="4"/>
  <c r="AA36" i="6"/>
  <c r="AR7" i="4" s="1"/>
  <c r="AM7" i="4" s="1"/>
  <c r="S34" i="22"/>
  <c r="AN28" i="4"/>
  <c r="U45" i="22"/>
  <c r="W45" i="8" s="1"/>
  <c r="AP22" i="4"/>
  <c r="AA24" i="6"/>
  <c r="X22" i="22" s="1"/>
  <c r="R22" i="22" s="1"/>
  <c r="AA13" i="6"/>
  <c r="AH14" i="4" s="1"/>
  <c r="AC14" i="4" s="1"/>
  <c r="AA14" i="6"/>
  <c r="AH15" i="4" s="1"/>
  <c r="AC15" i="4" s="1"/>
  <c r="AA47" i="6"/>
  <c r="X45" i="22" s="1"/>
  <c r="R45" i="22" s="1"/>
  <c r="T51" i="22"/>
  <c r="U24" i="22"/>
  <c r="W24" i="8" s="1"/>
  <c r="U44" i="22"/>
  <c r="W44" i="8" s="1"/>
  <c r="AA26" i="6"/>
  <c r="X24" i="22" s="1"/>
  <c r="R24" i="22" s="1"/>
  <c r="AE31" i="4"/>
  <c r="AA46" i="6"/>
  <c r="X44" i="22" s="1"/>
  <c r="R44" i="22" s="1"/>
  <c r="U12" i="22"/>
  <c r="W12" i="8" s="1"/>
  <c r="AO19" i="4"/>
  <c r="S22" i="22"/>
  <c r="U42" i="22"/>
  <c r="W42" i="8" s="1"/>
  <c r="AA52" i="6"/>
  <c r="AR27" i="4" s="1"/>
  <c r="AM27" i="4" s="1"/>
  <c r="U11" i="22"/>
  <c r="W11" i="8" s="1"/>
  <c r="S50" i="22"/>
  <c r="AA53" i="6"/>
  <c r="AR28" i="4" s="1"/>
  <c r="AM28" i="4" s="1"/>
  <c r="AD14" i="4"/>
  <c r="S11" i="22"/>
  <c r="AA20" i="6"/>
  <c r="X18" i="22" s="1"/>
  <c r="R18" i="22" s="1"/>
  <c r="AA12" i="6"/>
  <c r="X10" i="22" s="1"/>
  <c r="R10" i="22" s="1"/>
  <c r="U18" i="22"/>
  <c r="W18" i="8" s="1"/>
  <c r="AF13" i="4"/>
  <c r="AA39" i="6"/>
  <c r="X37" i="22" s="1"/>
  <c r="R37" i="22" s="1"/>
  <c r="AO10" i="4"/>
  <c r="S19" i="22"/>
  <c r="AD24" i="4"/>
  <c r="S42" i="22"/>
  <c r="AE23" i="4"/>
  <c r="T18" i="22"/>
  <c r="U37" i="22"/>
  <c r="W37" i="8" s="1"/>
  <c r="AP10" i="4"/>
  <c r="AA44" i="6"/>
  <c r="AR17" i="4" s="1"/>
  <c r="AM17" i="4" s="1"/>
  <c r="T45" i="22"/>
  <c r="AO22" i="4"/>
  <c r="AO17" i="4"/>
  <c r="T29" i="22"/>
  <c r="AE36" i="4"/>
  <c r="T40" i="22"/>
  <c r="AO15" i="4"/>
  <c r="AA29" i="6"/>
  <c r="S27" i="22"/>
  <c r="AD34" i="4"/>
  <c r="S32" i="22"/>
  <c r="AN5" i="4"/>
  <c r="AA34" i="6"/>
  <c r="S29" i="22"/>
  <c r="AD36" i="4"/>
  <c r="AA31" i="6"/>
  <c r="S40" i="22"/>
  <c r="AN15" i="4"/>
  <c r="AA42" i="6"/>
  <c r="X26" i="22"/>
  <c r="R26" i="22" s="1"/>
  <c r="AH33" i="4"/>
  <c r="AC33" i="4" s="1"/>
  <c r="AF34" i="4"/>
  <c r="U27" i="22"/>
  <c r="W27" i="8" s="1"/>
  <c r="AH10" i="4"/>
  <c r="AC10" i="4" s="1"/>
  <c r="X9" i="22"/>
  <c r="R9" i="22" s="1"/>
  <c r="AP15" i="4"/>
  <c r="U40" i="22"/>
  <c r="W40" i="8" s="1"/>
  <c r="AD9" i="4"/>
  <c r="S8" i="22"/>
  <c r="AA10" i="6"/>
  <c r="AF26" i="4"/>
  <c r="U21" i="22"/>
  <c r="W21" i="8" s="1"/>
  <c r="T41" i="22"/>
  <c r="AO16" i="4"/>
  <c r="AF5" i="4"/>
  <c r="U4" i="22"/>
  <c r="W4" i="8" s="1"/>
  <c r="U41" i="22"/>
  <c r="W41" i="8" s="1"/>
  <c r="AP16" i="4"/>
  <c r="T21" i="22"/>
  <c r="AE26" i="4"/>
  <c r="AN16" i="4"/>
  <c r="AA43" i="6"/>
  <c r="S41" i="22"/>
  <c r="U54" i="22"/>
  <c r="W54" i="8" s="1"/>
  <c r="AP33" i="4"/>
  <c r="AE5" i="4"/>
  <c r="T4" i="22"/>
  <c r="U17" i="22"/>
  <c r="W17" i="8" s="1"/>
  <c r="AF22" i="4"/>
  <c r="U30" i="22"/>
  <c r="W30" i="8" s="1"/>
  <c r="AF37" i="4"/>
  <c r="AP9" i="4"/>
  <c r="U36" i="22"/>
  <c r="W36" i="8" s="1"/>
  <c r="S21" i="22"/>
  <c r="AD26" i="4"/>
  <c r="AA23" i="6"/>
  <c r="AO33" i="4"/>
  <c r="T54" i="22"/>
  <c r="S4" i="22"/>
  <c r="AD5" i="4"/>
  <c r="AA6" i="6"/>
  <c r="T17" i="22"/>
  <c r="AE22" i="4"/>
  <c r="AD32" i="4"/>
  <c r="S25" i="22"/>
  <c r="AA27" i="6"/>
  <c r="T27" i="22"/>
  <c r="AE34" i="4"/>
  <c r="T32" i="22"/>
  <c r="AO5" i="4"/>
  <c r="U25" i="22"/>
  <c r="W25" i="8" s="1"/>
  <c r="AF32" i="4"/>
  <c r="AE37" i="4"/>
  <c r="T30" i="22"/>
  <c r="AO9" i="4"/>
  <c r="T36" i="22"/>
  <c r="AN33" i="4"/>
  <c r="S54" i="22"/>
  <c r="AA56" i="6"/>
  <c r="S17" i="22"/>
  <c r="AD22" i="4"/>
  <c r="AA19" i="6"/>
  <c r="AE9" i="4"/>
  <c r="T8" i="22"/>
  <c r="T25" i="22"/>
  <c r="AE32" i="4"/>
  <c r="AD37" i="4"/>
  <c r="S30" i="22"/>
  <c r="AA32" i="6"/>
  <c r="AA38" i="6"/>
  <c r="AN9" i="4"/>
  <c r="S36" i="22"/>
  <c r="AF9" i="4"/>
  <c r="U8" i="22"/>
  <c r="W8" i="8" s="1"/>
  <c r="AP5" i="4"/>
  <c r="U32" i="22"/>
  <c r="W32" i="8" s="1"/>
  <c r="AF36" i="4"/>
  <c r="U29" i="22"/>
  <c r="W29" i="8" s="1"/>
  <c r="AD33" i="6"/>
  <c r="U31" i="22" s="1"/>
  <c r="W31" i="8" s="1"/>
  <c r="AC33" i="6"/>
  <c r="T31" i="22" s="1"/>
  <c r="AB33" i="6"/>
  <c r="S31" i="22" s="1"/>
  <c r="AE5" i="6" a="1"/>
  <c r="AE5" i="6" s="1"/>
  <c r="AC3" i="8" s="1"/>
  <c r="C61" i="6"/>
  <c r="C3" i="8" l="1" a="1"/>
  <c r="C3" i="8" s="1"/>
  <c r="C62" i="17"/>
  <c r="X43" i="22"/>
  <c r="R43" i="22" s="1"/>
  <c r="AR14" i="4"/>
  <c r="AM14" i="4" s="1"/>
  <c r="AR6" i="4"/>
  <c r="AM6" i="4" s="1"/>
  <c r="O3" i="8" a="1"/>
  <c r="O3" i="8" s="1"/>
  <c r="X13" i="22"/>
  <c r="R13" i="22" s="1"/>
  <c r="X15" i="22"/>
  <c r="R15" i="22" s="1"/>
  <c r="AH7" i="4"/>
  <c r="AC7" i="4" s="1"/>
  <c r="AR13" i="4"/>
  <c r="AM13" i="4" s="1"/>
  <c r="X14" i="22"/>
  <c r="R14" i="22" s="1"/>
  <c r="X47" i="22"/>
  <c r="R47" i="22" s="1"/>
  <c r="X28" i="22"/>
  <c r="R28" i="22" s="1"/>
  <c r="X53" i="22"/>
  <c r="R53" i="22" s="1"/>
  <c r="AH6" i="4"/>
  <c r="AC6" i="4" s="1"/>
  <c r="X7" i="22"/>
  <c r="R7" i="22" s="1"/>
  <c r="AR36" i="4"/>
  <c r="AM36" i="4" s="1"/>
  <c r="AR26" i="4"/>
  <c r="AM26" i="4" s="1"/>
  <c r="X35" i="22"/>
  <c r="R35" i="22" s="1"/>
  <c r="X23" i="22"/>
  <c r="R23" i="22" s="1"/>
  <c r="X16" i="22"/>
  <c r="R16" i="22" s="1"/>
  <c r="X46" i="22"/>
  <c r="R46" i="22" s="1"/>
  <c r="X19" i="22"/>
  <c r="R19" i="22" s="1"/>
  <c r="X34" i="22"/>
  <c r="R34" i="22" s="1"/>
  <c r="AR31" i="4"/>
  <c r="AM31" i="4" s="1"/>
  <c r="X56" i="22"/>
  <c r="R56" i="22" s="1"/>
  <c r="AR34" i="4"/>
  <c r="AM34" i="4" s="1"/>
  <c r="X11" i="22"/>
  <c r="R11" i="22" s="1"/>
  <c r="AR19" i="4"/>
  <c r="AM19" i="4" s="1"/>
  <c r="AR22" i="4"/>
  <c r="AM22" i="4" s="1"/>
  <c r="AR37" i="4"/>
  <c r="AM37" i="4" s="1"/>
  <c r="AH23" i="4"/>
  <c r="AC23" i="4" s="1"/>
  <c r="X48" i="22"/>
  <c r="R48" i="22" s="1"/>
  <c r="X20" i="22"/>
  <c r="R20" i="22" s="1"/>
  <c r="X12" i="22"/>
  <c r="R12" i="22" s="1"/>
  <c r="AR10" i="4"/>
  <c r="AM10" i="4" s="1"/>
  <c r="AH27" i="4"/>
  <c r="AC27" i="4" s="1"/>
  <c r="X50" i="22"/>
  <c r="R50" i="22" s="1"/>
  <c r="AH31" i="4"/>
  <c r="AC31" i="4" s="1"/>
  <c r="X51" i="22"/>
  <c r="AH13" i="4"/>
  <c r="AC13" i="4" s="1"/>
  <c r="X42" i="22"/>
  <c r="R42" i="22" s="1"/>
  <c r="X8" i="22"/>
  <c r="R8" i="22" s="1"/>
  <c r="AH9" i="4"/>
  <c r="AC9" i="4" s="1"/>
  <c r="AH36" i="4"/>
  <c r="AC36" i="4" s="1"/>
  <c r="X29" i="22"/>
  <c r="R29" i="22" s="1"/>
  <c r="X30" i="22"/>
  <c r="R30" i="22" s="1"/>
  <c r="AH37" i="4"/>
  <c r="AC37" i="4" s="1"/>
  <c r="X54" i="22"/>
  <c r="R54" i="22" s="1"/>
  <c r="AR33" i="4"/>
  <c r="AM33" i="4" s="1"/>
  <c r="AR5" i="4"/>
  <c r="AM5" i="4" s="1"/>
  <c r="X32" i="22"/>
  <c r="R32" i="22" s="1"/>
  <c r="X41" i="22"/>
  <c r="R41" i="22" s="1"/>
  <c r="AR16" i="4"/>
  <c r="AM16" i="4" s="1"/>
  <c r="AH5" i="4"/>
  <c r="AC5" i="4" s="1"/>
  <c r="X4" i="22"/>
  <c r="R4" i="22" s="1"/>
  <c r="AR9" i="4"/>
  <c r="AM9" i="4" s="1"/>
  <c r="X36" i="22"/>
  <c r="R36" i="22" s="1"/>
  <c r="X40" i="22"/>
  <c r="R40" i="22" s="1"/>
  <c r="AR15" i="4"/>
  <c r="AM15" i="4" s="1"/>
  <c r="X17" i="22"/>
  <c r="R17" i="22" s="1"/>
  <c r="AH22" i="4"/>
  <c r="AC22" i="4" s="1"/>
  <c r="AH32" i="4"/>
  <c r="AC32" i="4" s="1"/>
  <c r="X25" i="22"/>
  <c r="R25" i="22" s="1"/>
  <c r="AH26" i="4"/>
  <c r="AC26" i="4" s="1"/>
  <c r="X21" i="22"/>
  <c r="R21" i="22" s="1"/>
  <c r="AH34" i="4"/>
  <c r="AC34" i="4" s="1"/>
  <c r="X27" i="22"/>
  <c r="R27" i="22" s="1"/>
  <c r="AO4" i="4"/>
  <c r="AP4" i="4"/>
  <c r="AA33" i="6"/>
  <c r="X31" i="22" s="1"/>
  <c r="R31" i="22" s="1"/>
  <c r="AN4" i="4"/>
  <c r="N1" i="22"/>
  <c r="AL47" i="23"/>
  <c r="AR4" i="4" l="1"/>
  <c r="AM4" i="4" s="1"/>
  <c r="AQ27" i="4"/>
  <c r="AQ18" i="4"/>
  <c r="AQ9" i="4"/>
  <c r="AG36" i="4"/>
  <c r="AG27" i="4"/>
  <c r="AG14" i="4"/>
  <c r="AQ17" i="4"/>
  <c r="AQ8" i="4"/>
  <c r="AG35" i="4"/>
  <c r="AG26" i="4"/>
  <c r="AG9" i="4"/>
  <c r="AQ23" i="4"/>
  <c r="AG23" i="4"/>
  <c r="AG18" i="4"/>
  <c r="AG24" i="4"/>
  <c r="AG8" i="4"/>
  <c r="AQ37" i="4"/>
  <c r="AQ26" i="4"/>
  <c r="AQ33" i="4"/>
  <c r="AG28" i="4"/>
  <c r="AQ5" i="4"/>
  <c r="AQ24" i="4"/>
  <c r="AG16" i="4"/>
  <c r="AQ32" i="4"/>
  <c r="AQ25" i="4"/>
  <c r="AQ34" i="4"/>
  <c r="AG19" i="4"/>
  <c r="AG34" i="4"/>
  <c r="AG25" i="4"/>
  <c r="AQ10" i="4"/>
  <c r="AQ6" i="4"/>
  <c r="AQ7" i="4"/>
  <c r="AQ14" i="4"/>
  <c r="AG5" i="4"/>
  <c r="AQ19" i="4"/>
  <c r="AG7" i="4"/>
  <c r="AG17" i="4"/>
  <c r="AG15" i="4"/>
  <c r="AQ28" i="4"/>
  <c r="AG6" i="4"/>
  <c r="AQ36" i="4"/>
  <c r="AQ16" i="4"/>
  <c r="AQ15" i="4"/>
  <c r="AQ35" i="4"/>
  <c r="AG37" i="4"/>
  <c r="AG10" i="4"/>
  <c r="AG32" i="4"/>
  <c r="AG33" i="4"/>
  <c r="W52" i="22"/>
  <c r="Z52" i="8" s="1"/>
  <c r="W56" i="22"/>
  <c r="Z56" i="8" s="1"/>
  <c r="W53" i="22"/>
  <c r="Z53" i="8" s="1"/>
  <c r="W54" i="22"/>
  <c r="Z54" i="8" s="1"/>
  <c r="W58" i="22"/>
  <c r="Z58" i="8" s="1"/>
  <c r="W57" i="22"/>
  <c r="Z57" i="8" s="1"/>
  <c r="W55" i="22"/>
  <c r="Z55" i="8" s="1"/>
  <c r="W12" i="22"/>
  <c r="Z12" i="8" s="1"/>
  <c r="W44" i="22"/>
  <c r="Z44" i="8" s="1"/>
  <c r="W17" i="22"/>
  <c r="Z17" i="8" s="1"/>
  <c r="W20" i="22"/>
  <c r="Z20" i="8" s="1"/>
  <c r="W25" i="22"/>
  <c r="Z25" i="8" s="1"/>
  <c r="W28" i="22"/>
  <c r="Z28" i="8" s="1"/>
  <c r="W33" i="22"/>
  <c r="Z33" i="8" s="1"/>
  <c r="W36" i="22"/>
  <c r="Z36" i="8" s="1"/>
  <c r="W9" i="22"/>
  <c r="Z9" i="8" s="1"/>
  <c r="W41" i="22"/>
  <c r="Z41" i="8" s="1"/>
  <c r="W40" i="22"/>
  <c r="Z40" i="8" s="1"/>
  <c r="W29" i="22"/>
  <c r="Z29" i="8" s="1"/>
  <c r="W23" i="22"/>
  <c r="Z23" i="8" s="1"/>
  <c r="W50" i="22"/>
  <c r="Z50" i="8" s="1"/>
  <c r="W32" i="22"/>
  <c r="Z32" i="8" s="1"/>
  <c r="W19" i="22"/>
  <c r="Z19" i="8" s="1"/>
  <c r="W30" i="22"/>
  <c r="Z30" i="8" s="1"/>
  <c r="W47" i="22"/>
  <c r="Z47" i="8" s="1"/>
  <c r="W24" i="22"/>
  <c r="Z24" i="8" s="1"/>
  <c r="W42" i="22"/>
  <c r="Z42" i="8" s="1"/>
  <c r="W16" i="22"/>
  <c r="Z16" i="8" s="1"/>
  <c r="W43" i="22"/>
  <c r="Z43" i="8" s="1"/>
  <c r="W34" i="22"/>
  <c r="Z34" i="8" s="1"/>
  <c r="W13" i="22"/>
  <c r="Z13" i="8" s="1"/>
  <c r="W31" i="22"/>
  <c r="Z31" i="8" s="1"/>
  <c r="W8" i="22"/>
  <c r="Z8" i="8" s="1"/>
  <c r="W7" i="22"/>
  <c r="Z7" i="8" s="1"/>
  <c r="W48" i="22"/>
  <c r="Z48" i="8" s="1"/>
  <c r="W5" i="22"/>
  <c r="Z5" i="8" s="1"/>
  <c r="W37" i="22"/>
  <c r="Z37" i="8" s="1"/>
  <c r="W45" i="22"/>
  <c r="Z45" i="8" s="1"/>
  <c r="W46" i="22"/>
  <c r="Z46" i="8" s="1"/>
  <c r="W4" i="22"/>
  <c r="Z4" i="8" s="1"/>
  <c r="W11" i="22"/>
  <c r="Z11" i="8" s="1"/>
  <c r="W22" i="22"/>
  <c r="Z22" i="8" s="1"/>
  <c r="W15" i="22"/>
  <c r="Z15" i="8" s="1"/>
  <c r="W6" i="22"/>
  <c r="Z6" i="8" s="1"/>
  <c r="W10" i="22"/>
  <c r="Z10" i="8" s="1"/>
  <c r="W35" i="22"/>
  <c r="Z35" i="8" s="1"/>
  <c r="W38" i="22"/>
  <c r="Z38" i="8" s="1"/>
  <c r="W18" i="22"/>
  <c r="Z18" i="8" s="1"/>
  <c r="W39" i="22"/>
  <c r="Z39" i="8" s="1"/>
  <c r="W21" i="22"/>
  <c r="Z21" i="8" s="1"/>
  <c r="W26" i="22"/>
  <c r="Z26" i="8" s="1"/>
  <c r="W49" i="22"/>
  <c r="Z49" i="8" s="1"/>
  <c r="W14" i="22"/>
  <c r="Z14" i="8" s="1"/>
  <c r="AG13" i="4"/>
  <c r="AQ31" i="4"/>
  <c r="AQ13" i="4"/>
  <c r="AG22" i="4"/>
  <c r="AQ22" i="4"/>
  <c r="AG31" i="4"/>
  <c r="AQ4" i="4"/>
  <c r="W27" i="22"/>
  <c r="Z27" i="8" s="1"/>
  <c r="AJ51" i="23"/>
  <c r="AL11" i="23"/>
  <c r="AJ17" i="23"/>
  <c r="AM56" i="23"/>
  <c r="AL38" i="23"/>
  <c r="AK31" i="23"/>
  <c r="AJ49" i="23"/>
  <c r="AK60" i="23"/>
  <c r="AM38" i="23"/>
  <c r="AM47" i="23"/>
  <c r="AK38" i="23"/>
  <c r="AJ47" i="23"/>
  <c r="AJ38" i="23"/>
  <c r="AK47" i="23"/>
  <c r="AL56" i="23"/>
  <c r="AK49" i="23"/>
  <c r="AK56" i="23"/>
  <c r="AJ56" i="23"/>
  <c r="AL57" i="23"/>
  <c r="AM57" i="23"/>
  <c r="AJ57" i="23"/>
  <c r="AK57" i="23"/>
  <c r="AK11" i="23"/>
  <c r="AM51" i="23"/>
  <c r="AM48" i="23"/>
  <c r="AJ34" i="23"/>
  <c r="AL39" i="23"/>
  <c r="AL51" i="23"/>
  <c r="AJ11" i="23"/>
  <c r="AK17" i="23"/>
  <c r="AJ15" i="23"/>
  <c r="AK50" i="23"/>
  <c r="AL21" i="23"/>
  <c r="AK32" i="23"/>
  <c r="AM35" i="23"/>
  <c r="AL17" i="23"/>
  <c r="AL7" i="23"/>
  <c r="AK51" i="23"/>
  <c r="AM11" i="23"/>
  <c r="AM17" i="23"/>
  <c r="AM14" i="23"/>
  <c r="AL25" i="23"/>
  <c r="AK27" i="23"/>
  <c r="AK12" i="23"/>
  <c r="AM13" i="23"/>
  <c r="AK58" i="23"/>
  <c r="AL29" i="23"/>
  <c r="AL10" i="23"/>
  <c r="AM42" i="23"/>
  <c r="AL52" i="23"/>
  <c r="AL45" i="23"/>
  <c r="AK9" i="23"/>
  <c r="AK40" i="23"/>
  <c r="AM36" i="23"/>
  <c r="AK45" i="23"/>
  <c r="P13" i="4" l="1" a="1"/>
  <c r="O12" i="4" s="1"/>
  <c r="C13" i="4" a="1"/>
  <c r="B12" i="4" s="1"/>
  <c r="P31" i="4" a="1"/>
  <c r="O30" i="4" s="1"/>
  <c r="P4" i="4" a="1"/>
  <c r="O3" i="4" s="1"/>
  <c r="C31" i="4" a="1"/>
  <c r="B30" i="4" s="1"/>
  <c r="P22" i="4" a="1"/>
  <c r="O21" i="4" s="1"/>
  <c r="C22" i="4" a="1"/>
  <c r="B21" i="4" s="1"/>
  <c r="AM49" i="23"/>
  <c r="AL49" i="23"/>
  <c r="AM60" i="23"/>
  <c r="AJ31" i="23"/>
  <c r="AL31" i="23"/>
  <c r="AM31" i="23"/>
  <c r="AJ60" i="23"/>
  <c r="AL60" i="23"/>
  <c r="AL9" i="23"/>
  <c r="AL58" i="23"/>
  <c r="AJ58" i="23"/>
  <c r="AL34" i="23"/>
  <c r="AJ32" i="23"/>
  <c r="AK34" i="23"/>
  <c r="AM32" i="23"/>
  <c r="AM34" i="23"/>
  <c r="AK7" i="23"/>
  <c r="AI56" i="23"/>
  <c r="AI38" i="23"/>
  <c r="AI47" i="23"/>
  <c r="AL32" i="23"/>
  <c r="AM21" i="23"/>
  <c r="AI57" i="23"/>
  <c r="AM58" i="23"/>
  <c r="AK29" i="23"/>
  <c r="AJ9" i="23"/>
  <c r="AM9" i="23"/>
  <c r="AM25" i="23"/>
  <c r="AM10" i="23"/>
  <c r="AJ42" i="23"/>
  <c r="AL15" i="23"/>
  <c r="AJ7" i="23"/>
  <c r="AM15" i="23"/>
  <c r="AK42" i="23"/>
  <c r="AL42" i="23"/>
  <c r="AJ50" i="23"/>
  <c r="AK52" i="23"/>
  <c r="AL12" i="23"/>
  <c r="AM7" i="23"/>
  <c r="AK13" i="23"/>
  <c r="AK15" i="23"/>
  <c r="AL35" i="23"/>
  <c r="AJ25" i="23"/>
  <c r="AH62" i="23"/>
  <c r="AK25" i="23"/>
  <c r="AJ13" i="23"/>
  <c r="AI11" i="23"/>
  <c r="AL13" i="23"/>
  <c r="AJ35" i="23"/>
  <c r="AL36" i="23"/>
  <c r="AJ36" i="23"/>
  <c r="AK36" i="23"/>
  <c r="AJ8" i="23"/>
  <c r="AM8" i="23"/>
  <c r="AL8" i="23"/>
  <c r="AK8" i="23"/>
  <c r="AJ10" i="23"/>
  <c r="AK10" i="23"/>
  <c r="AJ27" i="23"/>
  <c r="AM27" i="23"/>
  <c r="AL54" i="23"/>
  <c r="AJ54" i="23"/>
  <c r="AM54" i="23"/>
  <c r="AK54" i="23"/>
  <c r="AK39" i="23"/>
  <c r="AM39" i="23"/>
  <c r="AJ39" i="23"/>
  <c r="AI17" i="23"/>
  <c r="AJ40" i="23"/>
  <c r="AM40" i="23"/>
  <c r="AL40" i="23"/>
  <c r="AM24" i="23"/>
  <c r="AK24" i="23"/>
  <c r="AL24" i="23"/>
  <c r="AJ24" i="23"/>
  <c r="AL59" i="23"/>
  <c r="AJ59" i="23"/>
  <c r="AM59" i="23"/>
  <c r="AK59" i="23"/>
  <c r="AJ29" i="23"/>
  <c r="AM29" i="23"/>
  <c r="AL22" i="23"/>
  <c r="AM22" i="23"/>
  <c r="AK22" i="23"/>
  <c r="AJ22" i="23"/>
  <c r="AM20" i="23"/>
  <c r="AK20" i="23"/>
  <c r="AJ20" i="23"/>
  <c r="AL20" i="23"/>
  <c r="AM52" i="23"/>
  <c r="AJ52" i="23"/>
  <c r="AM12" i="23"/>
  <c r="AL27" i="23"/>
  <c r="AL23" i="23"/>
  <c r="AM23" i="23"/>
  <c r="AJ23" i="23"/>
  <c r="AK23" i="23"/>
  <c r="AM6" i="23"/>
  <c r="AK6" i="23"/>
  <c r="AL6" i="23"/>
  <c r="AJ6" i="23"/>
  <c r="AM61" i="23"/>
  <c r="AK61" i="23"/>
  <c r="AJ61" i="23"/>
  <c r="AL61" i="23"/>
  <c r="AJ30" i="23"/>
  <c r="AK30" i="23"/>
  <c r="AM30" i="23"/>
  <c r="AL30" i="23"/>
  <c r="AM50" i="23"/>
  <c r="AL50" i="23"/>
  <c r="AI51" i="23"/>
  <c r="AK35" i="23"/>
  <c r="AJ12" i="23"/>
  <c r="AJ45" i="23"/>
  <c r="AM45" i="23"/>
  <c r="AJ19" i="23"/>
  <c r="AK19" i="23"/>
  <c r="AL19" i="23"/>
  <c r="AM19" i="23"/>
  <c r="AL16" i="23"/>
  <c r="AM16" i="23"/>
  <c r="AJ16" i="23"/>
  <c r="AK16" i="23"/>
  <c r="AJ14" i="23"/>
  <c r="AL14" i="23"/>
  <c r="AK14" i="23"/>
  <c r="AM33" i="23"/>
  <c r="AK33" i="23"/>
  <c r="AL33" i="23"/>
  <c r="AJ33" i="23"/>
  <c r="AJ21" i="23"/>
  <c r="AK21" i="23"/>
  <c r="AJ48" i="23"/>
  <c r="AL48" i="23"/>
  <c r="AK48" i="23"/>
  <c r="P31" i="4" l="1"/>
  <c r="P22" i="4"/>
  <c r="P13" i="4"/>
  <c r="P4" i="4"/>
  <c r="C31" i="4"/>
  <c r="C22" i="4"/>
  <c r="C13" i="4"/>
  <c r="AI49" i="23"/>
  <c r="AI60" i="23"/>
  <c r="AI31" i="23"/>
  <c r="AI58" i="23"/>
  <c r="AI32" i="23"/>
  <c r="AI34" i="23"/>
  <c r="AI42" i="23"/>
  <c r="AI25" i="23"/>
  <c r="AI9" i="23"/>
  <c r="AI14" i="23"/>
  <c r="AI50" i="23"/>
  <c r="AI36" i="23"/>
  <c r="AI13" i="23"/>
  <c r="AI15" i="23"/>
  <c r="AI7" i="23"/>
  <c r="AI6" i="23"/>
  <c r="AI33" i="23"/>
  <c r="AI16" i="23"/>
  <c r="AI45" i="23"/>
  <c r="AI22" i="23"/>
  <c r="AI59" i="23"/>
  <c r="AI40" i="23"/>
  <c r="AI54" i="23"/>
  <c r="AI52" i="23"/>
  <c r="AI30" i="23"/>
  <c r="AI8" i="23"/>
  <c r="AI27" i="23"/>
  <c r="AI10" i="23"/>
  <c r="AI61" i="23"/>
  <c r="AI23" i="23"/>
  <c r="AI12" i="23"/>
  <c r="AI35" i="23"/>
  <c r="AI24" i="23"/>
  <c r="AI48" i="23"/>
  <c r="AI20" i="23"/>
  <c r="AI39" i="23"/>
  <c r="AI21" i="23"/>
  <c r="AI19" i="23"/>
  <c r="AI29" i="23"/>
  <c r="R51" i="22" l="1"/>
  <c r="W51" i="22"/>
  <c r="Z51" i="8" s="1"/>
  <c r="AC5" i="6" l="1"/>
  <c r="AB5" i="6"/>
  <c r="AD5" i="6"/>
  <c r="AD4" i="4" l="1"/>
  <c r="S3" i="22"/>
  <c r="AF4" i="4"/>
  <c r="U3" i="22"/>
  <c r="AE4" i="4"/>
  <c r="T3" i="22"/>
  <c r="AA5" i="6"/>
  <c r="X3" i="22" s="1"/>
  <c r="R3" i="22" s="1"/>
  <c r="AG4" i="4" l="1"/>
  <c r="W3" i="22"/>
  <c r="Z3" i="8" s="1"/>
  <c r="K3" i="8" s="1" a="1"/>
  <c r="K3" i="8" s="1"/>
  <c r="W3" i="8"/>
  <c r="G3" i="8" s="1" a="1"/>
  <c r="G3" i="8" s="1"/>
  <c r="AH4" i="4"/>
  <c r="AC4" i="4" s="1"/>
  <c r="C4" i="4" l="1" a="1"/>
  <c r="B3" i="4" s="1"/>
  <c r="C3" i="22" a="1"/>
  <c r="C3" i="22" s="1"/>
  <c r="C4" i="4" l="1"/>
  <c r="D40" i="4"/>
  <c r="D44" i="4"/>
  <c r="J61" i="22"/>
  <c r="Z19" i="4" l="1"/>
  <c r="Z18" i="4"/>
  <c r="Z17" i="4"/>
  <c r="Z16" i="4"/>
  <c r="Z37" i="4"/>
  <c r="Z10" i="4"/>
  <c r="M28" i="4"/>
  <c r="M10" i="4"/>
  <c r="Z36" i="4"/>
  <c r="Z9" i="4"/>
  <c r="M27" i="4"/>
  <c r="M9" i="4"/>
  <c r="Z35" i="4"/>
  <c r="Z8" i="4"/>
  <c r="M26" i="4"/>
  <c r="M8" i="4"/>
  <c r="Z34" i="4"/>
  <c r="Z7" i="4"/>
  <c r="M25" i="4"/>
  <c r="M7" i="4"/>
  <c r="M37" i="4"/>
  <c r="Z28" i="4"/>
  <c r="M34" i="4"/>
  <c r="M19" i="4"/>
  <c r="Z27" i="4"/>
  <c r="M35" i="4"/>
  <c r="M18" i="4"/>
  <c r="M16" i="4"/>
  <c r="Z26" i="4"/>
  <c r="M36" i="4"/>
  <c r="M17" i="4"/>
  <c r="Z2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<sst xmlns="http://schemas.openxmlformats.org/spreadsheetml/2006/main" count="2788" uniqueCount="226">
  <si>
    <t>pkt</t>
  </si>
  <si>
    <t>Hiszpania</t>
  </si>
  <si>
    <t>3p</t>
  </si>
  <si>
    <t>4p</t>
  </si>
  <si>
    <t>5p</t>
  </si>
  <si>
    <t>%</t>
  </si>
  <si>
    <t>grup I</t>
  </si>
  <si>
    <t>Grupa A</t>
  </si>
  <si>
    <t>Grupa B</t>
  </si>
  <si>
    <t>Grupa C</t>
  </si>
  <si>
    <t>Grupa D</t>
  </si>
  <si>
    <t>grup II</t>
  </si>
  <si>
    <t>3t</t>
  </si>
  <si>
    <t>Grupa E</t>
  </si>
  <si>
    <t>bns</t>
  </si>
  <si>
    <t>grup III</t>
  </si>
  <si>
    <t>Grupa F</t>
  </si>
  <si>
    <t>Anglia</t>
  </si>
  <si>
    <t>Holandia</t>
  </si>
  <si>
    <t>Francja</t>
  </si>
  <si>
    <t>Chorwacja</t>
  </si>
  <si>
    <t>Niemcy</t>
  </si>
  <si>
    <t>Belgia</t>
  </si>
  <si>
    <t>Szwajcaria</t>
  </si>
  <si>
    <t>Portugalia</t>
  </si>
  <si>
    <t>Grupa G</t>
  </si>
  <si>
    <t>Grupa H</t>
  </si>
  <si>
    <t xml:space="preserve">meczów: </t>
  </si>
  <si>
    <t>Szkocja</t>
  </si>
  <si>
    <t>Austria</t>
  </si>
  <si>
    <t>Turcja</t>
  </si>
  <si>
    <t>Czechy</t>
  </si>
  <si>
    <t>Dario</t>
  </si>
  <si>
    <t>Prozped</t>
  </si>
  <si>
    <t>runda grupowa</t>
  </si>
  <si>
    <t>pt</t>
  </si>
  <si>
    <t>sb</t>
  </si>
  <si>
    <t>nd</t>
  </si>
  <si>
    <t>pn</t>
  </si>
  <si>
    <t>wt</t>
  </si>
  <si>
    <t>sr</t>
  </si>
  <si>
    <t>cz</t>
  </si>
  <si>
    <t>lp</t>
  </si>
  <si>
    <t>uczestnik</t>
  </si>
  <si>
    <t>dzien po dniu</t>
  </si>
  <si>
    <t>6p</t>
  </si>
  <si>
    <t>gr I</t>
  </si>
  <si>
    <t>gr II</t>
  </si>
  <si>
    <t>gr III</t>
  </si>
  <si>
    <t>puch</t>
  </si>
  <si>
    <t>pucharowa</t>
  </si>
  <si>
    <t>grupowa</t>
  </si>
  <si>
    <t>finały</t>
  </si>
  <si>
    <t>MŚ 2026 USA - MEKSYK - KANADA - punkty mecz po meczu - runda pucharowa</t>
  </si>
  <si>
    <t>MŚ 2026 USA - MEKSYK - KANADA - Tabela Konkursu I-go</t>
  </si>
  <si>
    <t>Meksyk</t>
  </si>
  <si>
    <t>RPA</t>
  </si>
  <si>
    <t>MŚ 2026 USA - MEKSYK - KANADA - punkty mecz po meczu - I runda, tura 1</t>
  </si>
  <si>
    <t>MŚ 2026 USA - MEKSYK - KANADA - faza grupowa - I runda, tura 1</t>
  </si>
  <si>
    <t>czwartek, 11 cze godz.21.00</t>
  </si>
  <si>
    <t>Korea Płd.</t>
  </si>
  <si>
    <t>Kanada</t>
  </si>
  <si>
    <t>Bośnia i Hercegowina</t>
  </si>
  <si>
    <t>USA</t>
  </si>
  <si>
    <t>Paragwaj</t>
  </si>
  <si>
    <t>Katar</t>
  </si>
  <si>
    <t>Brazylia</t>
  </si>
  <si>
    <t>Maroko</t>
  </si>
  <si>
    <t>Haiti</t>
  </si>
  <si>
    <t>Australia</t>
  </si>
  <si>
    <t>Curacao</t>
  </si>
  <si>
    <t>Japonia</t>
  </si>
  <si>
    <t>Ekwador</t>
  </si>
  <si>
    <t>Szwecja</t>
  </si>
  <si>
    <t>Tunezja</t>
  </si>
  <si>
    <t>Rep. Ziel. Przylądka</t>
  </si>
  <si>
    <t>Egipt</t>
  </si>
  <si>
    <t>Arabia Saudyjska</t>
  </si>
  <si>
    <t>Urugwaj</t>
  </si>
  <si>
    <t>Iran</t>
  </si>
  <si>
    <t>Nowa Zelandia</t>
  </si>
  <si>
    <t>Senegal</t>
  </si>
  <si>
    <t>Irak</t>
  </si>
  <si>
    <t>Norwegia</t>
  </si>
  <si>
    <t>Argentyna</t>
  </si>
  <si>
    <t>Algieria</t>
  </si>
  <si>
    <t>Jordania</t>
  </si>
  <si>
    <t>DR Konga</t>
  </si>
  <si>
    <t>Ghana</t>
  </si>
  <si>
    <t>Panama</t>
  </si>
  <si>
    <t>Uzbekistan</t>
  </si>
  <si>
    <t>Kolumbia</t>
  </si>
  <si>
    <t>KOR-CZE</t>
  </si>
  <si>
    <t>USA-PAR</t>
  </si>
  <si>
    <t>QAT-SUI</t>
  </si>
  <si>
    <t>BRA-MOR</t>
  </si>
  <si>
    <t>HAI-SCO</t>
  </si>
  <si>
    <t>AUS-TUR</t>
  </si>
  <si>
    <t>GER-CUR</t>
  </si>
  <si>
    <t>HOL-JPN</t>
  </si>
  <si>
    <t>WKS-EQU</t>
  </si>
  <si>
    <t>SWE-TUN</t>
  </si>
  <si>
    <t>ESP-VRD</t>
  </si>
  <si>
    <t>BEL-EGY</t>
  </si>
  <si>
    <t>KSA-URU</t>
  </si>
  <si>
    <t>IRN-NZL</t>
  </si>
  <si>
    <t>FRA-SEN</t>
  </si>
  <si>
    <t>IRQ-NOR</t>
  </si>
  <si>
    <t>ARG-ALG</t>
  </si>
  <si>
    <t>AUT-JRD</t>
  </si>
  <si>
    <t>POR-CNG</t>
  </si>
  <si>
    <t>ENG-CRO</t>
  </si>
  <si>
    <t>GHA-PAN</t>
  </si>
  <si>
    <t>UZB-COL</t>
  </si>
  <si>
    <t>MEX-RSA</t>
  </si>
  <si>
    <t>CAN-BIH</t>
  </si>
  <si>
    <t>Estadio Azteca, Mexico City, MEX</t>
  </si>
  <si>
    <t>piątek, 12 cze godz. 04.00</t>
  </si>
  <si>
    <t>piątek 12 cze godz. 21.00</t>
  </si>
  <si>
    <t>sobota, 13 cze godz. 03.00</t>
  </si>
  <si>
    <t>sobota, 13 cze godz. 21.00</t>
  </si>
  <si>
    <t>niedziela, 14 cze godz. 00.00</t>
  </si>
  <si>
    <t>niedziela, 14 cze godz. 03.00</t>
  </si>
  <si>
    <t>niedziela, 14 cze godz. 06.00</t>
  </si>
  <si>
    <t>niedziela, 14 cze godz. 19.00</t>
  </si>
  <si>
    <t>niedziela, 14 cze godz. 22.00</t>
  </si>
  <si>
    <t>poniedz., 15 cze godz. 01.00</t>
  </si>
  <si>
    <t>poniedz., 15 cze godz. 04.00</t>
  </si>
  <si>
    <t>poniedz., 15 cze godz. 18.00</t>
  </si>
  <si>
    <t>poniedz., 15 cze godz. 21.00</t>
  </si>
  <si>
    <t>wtorek, 16 cze godz. 00.00</t>
  </si>
  <si>
    <t>wtorek, 16 cze godz. 03.00</t>
  </si>
  <si>
    <t>wtorek, 16 cze godz. 21.00</t>
  </si>
  <si>
    <t>środa, 17 cze godz. 00.00</t>
  </si>
  <si>
    <t>środa, 17 cze godz. 03.00</t>
  </si>
  <si>
    <t>środa, 17 cze godz. 06.00</t>
  </si>
  <si>
    <t>środa, 17 cze godz. 19.00</t>
  </si>
  <si>
    <t>środa, 17 cze godz. 22.00</t>
  </si>
  <si>
    <t>czwartek, 18 cze godz. 01.00</t>
  </si>
  <si>
    <t>czwartek, 18 cze godz. 04.00</t>
  </si>
  <si>
    <t>Wybrzeże Koś. Słon.</t>
  </si>
  <si>
    <t>czw</t>
  </si>
  <si>
    <t>półfinały</t>
  </si>
  <si>
    <t>ćwierćfinały</t>
  </si>
  <si>
    <t>last16</t>
  </si>
  <si>
    <t>last32</t>
  </si>
  <si>
    <t>max grup I</t>
  </si>
  <si>
    <t>1/16</t>
  </si>
  <si>
    <t>1/8</t>
  </si>
  <si>
    <t>1/4</t>
  </si>
  <si>
    <t>1/2</t>
  </si>
  <si>
    <t>3m</t>
  </si>
  <si>
    <t>F</t>
  </si>
  <si>
    <t>Gracz dnia</t>
  </si>
  <si>
    <t>forma</t>
  </si>
  <si>
    <t>za 3</t>
  </si>
  <si>
    <t>za 4</t>
  </si>
  <si>
    <t>za 5</t>
  </si>
  <si>
    <t>max grup II</t>
  </si>
  <si>
    <t>max grup III</t>
  </si>
  <si>
    <t>grupa ABC…</t>
  </si>
  <si>
    <t>MŚ 2026 USA - MEKSYK - KANADA - Tabele grupowe Konkursu I-go</t>
  </si>
  <si>
    <t>Forma</t>
  </si>
  <si>
    <t>skutecznosc</t>
  </si>
  <si>
    <t>trafienia za 5 pkt</t>
  </si>
  <si>
    <t>Skuteczność</t>
  </si>
  <si>
    <t>Trafienia za 5 pkt</t>
  </si>
  <si>
    <t>ile x</t>
  </si>
  <si>
    <t>Forma (5 meczów)</t>
  </si>
  <si>
    <t>x</t>
  </si>
  <si>
    <t>Wojtek</t>
  </si>
  <si>
    <t>KamUla</t>
  </si>
  <si>
    <t>MagdaS</t>
  </si>
  <si>
    <t>KasiaJ</t>
  </si>
  <si>
    <t>KrystianM</t>
  </si>
  <si>
    <t>PiotreG</t>
  </si>
  <si>
    <t>Artur</t>
  </si>
  <si>
    <t>Sokółka</t>
  </si>
  <si>
    <t>KasiaK</t>
  </si>
  <si>
    <t>Seweryn</t>
  </si>
  <si>
    <t>DarekL</t>
  </si>
  <si>
    <t>KrzysztoW</t>
  </si>
  <si>
    <t>Magiera</t>
  </si>
  <si>
    <t>Henryk</t>
  </si>
  <si>
    <t>PPP</t>
  </si>
  <si>
    <t>Cezary</t>
  </si>
  <si>
    <t>Dziobak</t>
  </si>
  <si>
    <t>MateuszKn</t>
  </si>
  <si>
    <t>Przemek</t>
  </si>
  <si>
    <t>Borys</t>
  </si>
  <si>
    <t>Turbo-Ryżu</t>
  </si>
  <si>
    <t>MagdaP</t>
  </si>
  <si>
    <t>Małgorzata</t>
  </si>
  <si>
    <t>KamilF</t>
  </si>
  <si>
    <t>MichałCz</t>
  </si>
  <si>
    <t>Talvik</t>
  </si>
  <si>
    <t>Rafał</t>
  </si>
  <si>
    <t>MarekS</t>
  </si>
  <si>
    <t>Karolina</t>
  </si>
  <si>
    <t>AndrzejO</t>
  </si>
  <si>
    <t>PiotreM</t>
  </si>
  <si>
    <t>DarekJell</t>
  </si>
  <si>
    <t>Maciej</t>
  </si>
  <si>
    <t>KSZ</t>
  </si>
  <si>
    <t>MarekP</t>
  </si>
  <si>
    <t>MichałeK</t>
  </si>
  <si>
    <t>Witek</t>
  </si>
  <si>
    <t>RobertLat</t>
  </si>
  <si>
    <t>DeDe</t>
  </si>
  <si>
    <t>Cypryjka</t>
  </si>
  <si>
    <t>Tabus</t>
  </si>
  <si>
    <t>AniaS</t>
  </si>
  <si>
    <t>Pimozid</t>
  </si>
  <si>
    <t>KrzysztoWś</t>
  </si>
  <si>
    <t>Ruslan</t>
  </si>
  <si>
    <t>PiotreK</t>
  </si>
  <si>
    <t>KaBed</t>
  </si>
  <si>
    <t>Mirella</t>
  </si>
  <si>
    <t>Maria</t>
  </si>
  <si>
    <t>Sławek</t>
  </si>
  <si>
    <t>PawełSt</t>
  </si>
  <si>
    <t>KrzysztofeR</t>
  </si>
  <si>
    <t>Żaklina</t>
  </si>
  <si>
    <t>KleoPatra</t>
  </si>
  <si>
    <t/>
  </si>
  <si>
    <t>MaciejM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</si>
</sst>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0"/>
      <name val="Arial CE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0"/>
      <name val="Arial CE"/>
      <charset val="238"/>
    </font>
    <font>
      <u/>
      <sz val="10"/>
      <color rgb="FF0000FF"/>
      <name val="Arial CE"/>
      <charset val="238"/>
    </font>
    <font>
      <u/>
      <sz val="10"/>
      <color rgb="FF800080"/>
      <name val="Arial CE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2"/>
      <color rgb="FFFFFFFF"/>
      <name val="Arial"/>
      <family val="2"/>
      <charset val="238"/>
    </font>
    <font>
      <b/>
      <sz val="12"/>
      <color rgb="FF002060"/>
      <name val="Arial"/>
      <family val="2"/>
      <charset val="238"/>
    </font>
    <font>
      <sz val="8"/>
      <name val="Arial CE"/>
      <charset val="238"/>
    </font>
    <font>
      <b/>
      <sz val="12"/>
      <color rgb="FFFF0000"/>
      <name val="Arial"/>
      <family val="2"/>
      <charset val="238"/>
    </font>
    <font>
      <b/>
      <sz val="12"/>
      <color theme="0"/>
      <name val="Arial"/>
      <family val="2"/>
      <charset val="238"/>
    </font>
    <font>
      <b/>
      <sz val="12"/>
      <color theme="0" tint="-0.499984740745262"/>
      <name val="Arial"/>
      <family val="2"/>
      <charset val="238"/>
    </font>
    <font>
      <b/>
      <sz val="10"/>
      <color rgb="FF002060"/>
      <name val="Arial"/>
      <family val="2"/>
      <charset val="238"/>
    </font>
    <font>
      <b/>
      <sz val="12"/>
      <color theme="0" tint="-0.34998626667073579"/>
      <name val="Arial"/>
      <family val="2"/>
      <charset val="238"/>
    </font>
    <font>
      <sz val="11"/>
      <name val="Arial"/>
      <family val="2"/>
      <charset val="238"/>
    </font>
    <font>
      <sz val="11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theme="0" tint="-4.9989318521683403E-2"/>
      <name val="Arial"/>
      <family val="2"/>
      <charset val="238"/>
    </font>
    <font>
      <b/>
      <sz val="11"/>
      <color theme="0"/>
      <name val="Arial CE"/>
      <charset val="238"/>
    </font>
    <font>
      <b/>
      <sz val="11"/>
      <color theme="0"/>
      <name val="Arial"/>
      <family val="2"/>
      <charset val="238"/>
    </font>
    <font>
      <b/>
      <sz val="11"/>
      <color rgb="FF002060"/>
      <name val="Arial"/>
      <family val="2"/>
      <charset val="238"/>
    </font>
    <font>
      <b/>
      <sz val="10"/>
      <color theme="0"/>
      <name val="Arial CE"/>
      <charset val="238"/>
    </font>
    <font>
      <b/>
      <sz val="11"/>
      <color rgb="FFFF0000"/>
      <name val="Arial"/>
      <family val="2"/>
      <charset val="238"/>
    </font>
    <font>
      <b/>
      <sz val="16"/>
      <color theme="0"/>
      <name val="Arial"/>
      <family val="2"/>
      <charset val="238"/>
    </font>
    <font>
      <b/>
      <sz val="18"/>
      <color theme="0"/>
      <name val="Arial"/>
      <family val="2"/>
      <charset val="238"/>
    </font>
    <font>
      <b/>
      <sz val="18"/>
      <color theme="1"/>
      <name val="Arial"/>
      <family val="2"/>
      <charset val="238"/>
    </font>
    <font>
      <b/>
      <sz val="10"/>
      <color theme="3"/>
      <name val="Arial CE"/>
      <charset val="238"/>
    </font>
    <font>
      <b/>
      <sz val="10"/>
      <color rgb="FF92D050"/>
      <name val="Arial CE"/>
      <charset val="238"/>
    </font>
    <font>
      <b/>
      <sz val="10"/>
      <color rgb="FFFF0000"/>
      <name val="Arial CE"/>
      <charset val="238"/>
    </font>
    <font>
      <b/>
      <sz val="12"/>
      <color rgb="FFFFFFFF"/>
      <name val="Arial CE"/>
      <charset val="238"/>
    </font>
    <font>
      <b/>
      <sz val="12"/>
      <color rgb="FFFFFFFF"/>
      <name val="Arial CE"/>
      <family val="2"/>
      <charset val="238"/>
    </font>
    <font>
      <sz val="12"/>
      <color rgb="FF002060"/>
      <name val="Arial"/>
      <family val="2"/>
    </font>
    <font>
      <b/>
      <sz val="12"/>
      <color rgb="FF1F497D"/>
      <name val="Arial"/>
      <family val="2"/>
      <charset val="238"/>
    </font>
    <font>
      <sz val="11"/>
      <color theme="0"/>
      <name val="Arial"/>
      <family val="2"/>
      <charset val="238"/>
    </font>
    <font>
      <sz val="12"/>
      <color theme="0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 CE"/>
      <charset val="238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/>
      </patternFill>
    </fill>
    <fill>
      <patternFill patternType="solid">
        <fgColor theme="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/>
      </patternFill>
    </fill>
    <fill>
      <patternFill patternType="solid">
        <fgColor theme="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6"/>
      </patternFill>
    </fill>
    <fill>
      <patternFill patternType="solid">
        <fgColor theme="6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/>
      </patternFill>
    </fill>
    <fill>
      <patternFill patternType="solid">
        <fgColor theme="7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/>
      </patternFill>
    </fill>
    <fill>
      <patternFill patternType="solid">
        <fgColor theme="8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/>
      </patternFill>
    </fill>
    <fill>
      <patternFill patternType="solid">
        <fgColor theme="9"/>
      </patternFill>
    </fill>
    <fill>
      <patternFill patternType="solid">
        <fgColor theme="9"/>
      </patternFill>
    </fill>
    <fill>
      <patternFill patternType="solid">
        <fgColor rgb="FF00206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1" tint="0.49998474074526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5" tint="0.39997558519241921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9" fontId="1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60">
    <xf numFmtId="0" fontId="18" fillId="0" borderId="0" xfId="0" applyFont="1"/>
    <xf numFmtId="0" fontId="22" fillId="33" borderId="0" xfId="0" applyFont="1" applyFill="1"/>
    <xf numFmtId="0" fontId="21" fillId="33" borderId="0" xfId="0" applyFont="1" applyFill="1"/>
    <xf numFmtId="0" fontId="22" fillId="33" borderId="0" xfId="0" applyFont="1" applyFill="1" applyAlignment="1">
      <alignment horizontal="center"/>
    </xf>
    <xf numFmtId="0" fontId="21" fillId="37" borderId="0" xfId="0" applyFont="1" applyFill="1" applyAlignment="1">
      <alignment horizontal="left"/>
    </xf>
    <xf numFmtId="0" fontId="23" fillId="34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/>
    </xf>
    <xf numFmtId="0" fontId="21" fillId="37" borderId="0" xfId="0" applyFont="1" applyFill="1" applyAlignment="1">
      <alignment horizontal="center"/>
    </xf>
    <xf numFmtId="0" fontId="21" fillId="35" borderId="0" xfId="0" applyFont="1" applyFill="1" applyAlignment="1">
      <alignment horizontal="left"/>
    </xf>
    <xf numFmtId="0" fontId="21" fillId="35" borderId="0" xfId="0" applyFont="1" applyFill="1"/>
    <xf numFmtId="0" fontId="21" fillId="38" borderId="0" xfId="0" applyFont="1" applyFill="1" applyAlignment="1">
      <alignment horizontal="center"/>
    </xf>
    <xf numFmtId="0" fontId="27" fillId="45" borderId="0" xfId="0" applyFont="1" applyFill="1"/>
    <xf numFmtId="0" fontId="27" fillId="44" borderId="0" xfId="0" applyFont="1" applyFill="1"/>
    <xf numFmtId="0" fontId="27" fillId="42" borderId="0" xfId="0" applyFont="1" applyFill="1"/>
    <xf numFmtId="0" fontId="27" fillId="43" borderId="0" xfId="0" applyFont="1" applyFill="1"/>
    <xf numFmtId="0" fontId="27" fillId="46" borderId="0" xfId="0" applyFont="1" applyFill="1"/>
    <xf numFmtId="0" fontId="28" fillId="47" borderId="0" xfId="0" applyFont="1" applyFill="1" applyAlignment="1">
      <alignment horizontal="center"/>
    </xf>
    <xf numFmtId="0" fontId="22" fillId="44" borderId="0" xfId="0" applyFont="1" applyFill="1"/>
    <xf numFmtId="0" fontId="27" fillId="44" borderId="0" xfId="0" applyFont="1" applyFill="1" applyAlignment="1">
      <alignment horizontal="center"/>
    </xf>
    <xf numFmtId="9" fontId="27" fillId="42" borderId="0" xfId="1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7" fillId="43" borderId="0" xfId="0" applyFont="1" applyFill="1" applyAlignment="1">
      <alignment horizontal="center"/>
    </xf>
    <xf numFmtId="0" fontId="27" fillId="45" borderId="0" xfId="0" applyFont="1" applyFill="1" applyAlignment="1">
      <alignment horizontal="center"/>
    </xf>
    <xf numFmtId="0" fontId="27" fillId="46" borderId="0" xfId="0" applyFont="1" applyFill="1" applyAlignment="1">
      <alignment horizontal="center"/>
    </xf>
    <xf numFmtId="0" fontId="27" fillId="42" borderId="0" xfId="0" applyFont="1" applyFill="1" applyAlignment="1">
      <alignment horizontal="center"/>
    </xf>
    <xf numFmtId="0" fontId="29" fillId="40" borderId="0" xfId="0" applyFont="1" applyFill="1" applyAlignment="1">
      <alignment horizontal="center"/>
    </xf>
    <xf numFmtId="9" fontId="29" fillId="40" borderId="0" xfId="1" applyFont="1" applyFill="1" applyAlignment="1">
      <alignment horizontal="center"/>
    </xf>
    <xf numFmtId="0" fontId="30" fillId="48" borderId="0" xfId="0" applyFont="1" applyFill="1" applyAlignment="1">
      <alignment horizontal="center"/>
    </xf>
    <xf numFmtId="0" fontId="27" fillId="49" borderId="0" xfId="0" applyFont="1" applyFill="1" applyAlignment="1">
      <alignment horizontal="center"/>
    </xf>
    <xf numFmtId="0" fontId="28" fillId="49" borderId="0" xfId="0" applyFont="1" applyFill="1" applyAlignment="1">
      <alignment horizontal="center"/>
    </xf>
    <xf numFmtId="0" fontId="27" fillId="50" borderId="0" xfId="0" applyFont="1" applyFill="1"/>
    <xf numFmtId="0" fontId="27" fillId="50" borderId="0" xfId="0" applyFont="1" applyFill="1" applyAlignment="1">
      <alignment horizontal="center"/>
    </xf>
    <xf numFmtId="9" fontId="27" fillId="50" borderId="0" xfId="1" applyFont="1" applyFill="1" applyAlignment="1">
      <alignment horizontal="center"/>
    </xf>
    <xf numFmtId="0" fontId="27" fillId="33" borderId="0" xfId="0" applyFont="1" applyFill="1"/>
    <xf numFmtId="1" fontId="26" fillId="36" borderId="0" xfId="0" applyNumberFormat="1" applyFont="1" applyFill="1" applyAlignment="1">
      <alignment horizontal="center"/>
    </xf>
    <xf numFmtId="0" fontId="27" fillId="51" borderId="0" xfId="0" applyFont="1" applyFill="1"/>
    <xf numFmtId="0" fontId="27" fillId="51" borderId="0" xfId="0" applyFont="1" applyFill="1" applyAlignment="1">
      <alignment horizontal="center"/>
    </xf>
    <xf numFmtId="9" fontId="27" fillId="51" borderId="0" xfId="1" applyFont="1" applyFill="1" applyAlignment="1">
      <alignment horizontal="center"/>
    </xf>
    <xf numFmtId="0" fontId="27" fillId="52" borderId="0" xfId="0" applyFont="1" applyFill="1"/>
    <xf numFmtId="0" fontId="27" fillId="52" borderId="0" xfId="0" applyFont="1" applyFill="1" applyAlignment="1">
      <alignment horizontal="center"/>
    </xf>
    <xf numFmtId="9" fontId="27" fillId="52" borderId="0" xfId="1" applyFont="1" applyFill="1" applyAlignment="1">
      <alignment horizontal="center"/>
    </xf>
    <xf numFmtId="0" fontId="27" fillId="33" borderId="0" xfId="0" applyFont="1" applyFill="1" applyAlignment="1">
      <alignment horizontal="left"/>
    </xf>
    <xf numFmtId="0" fontId="31" fillId="33" borderId="0" xfId="0" applyFont="1" applyFill="1"/>
    <xf numFmtId="0" fontId="32" fillId="33" borderId="0" xfId="0" applyFont="1" applyFill="1"/>
    <xf numFmtId="0" fontId="33" fillId="33" borderId="0" xfId="0" applyFont="1" applyFill="1"/>
    <xf numFmtId="0" fontId="36" fillId="39" borderId="0" xfId="0" applyFont="1" applyFill="1" applyAlignment="1">
      <alignment horizontal="center"/>
    </xf>
    <xf numFmtId="0" fontId="37" fillId="41" borderId="13" xfId="0" applyFont="1" applyFill="1" applyBorder="1" applyAlignment="1">
      <alignment horizontal="center"/>
    </xf>
    <xf numFmtId="0" fontId="31" fillId="42" borderId="0" xfId="0" applyFont="1" applyFill="1" applyAlignment="1">
      <alignment horizontal="center"/>
    </xf>
    <xf numFmtId="0" fontId="37" fillId="40" borderId="13" xfId="0" applyFont="1" applyFill="1" applyBorder="1" applyAlignment="1">
      <alignment horizontal="center"/>
    </xf>
    <xf numFmtId="0" fontId="34" fillId="33" borderId="0" xfId="0" applyFont="1" applyFill="1" applyAlignment="1">
      <alignment horizontal="center"/>
    </xf>
    <xf numFmtId="0" fontId="38" fillId="33" borderId="0" xfId="0" applyFont="1" applyFill="1" applyAlignment="1">
      <alignment horizontal="center" vertical="justify" wrapText="1"/>
    </xf>
    <xf numFmtId="0" fontId="39" fillId="36" borderId="0" xfId="0" applyFont="1" applyFill="1" applyAlignment="1">
      <alignment horizontal="center"/>
    </xf>
    <xf numFmtId="0" fontId="40" fillId="53" borderId="0" xfId="0" applyFont="1" applyFill="1" applyAlignment="1">
      <alignment horizontal="center"/>
    </xf>
    <xf numFmtId="9" fontId="22" fillId="33" borderId="0" xfId="1" applyFont="1" applyFill="1"/>
    <xf numFmtId="0" fontId="27" fillId="33" borderId="0" xfId="0" applyFont="1" applyFill="1" applyAlignment="1">
      <alignment horizontal="center"/>
    </xf>
    <xf numFmtId="0" fontId="41" fillId="53" borderId="0" xfId="0" applyFont="1" applyFill="1" applyAlignment="1">
      <alignment horizontal="right"/>
    </xf>
    <xf numFmtId="0" fontId="41" fillId="53" borderId="0" xfId="0" applyFont="1" applyFill="1" applyAlignment="1">
      <alignment horizontal="center"/>
    </xf>
    <xf numFmtId="0" fontId="42" fillId="36" borderId="10" xfId="0" applyFont="1" applyFill="1" applyBorder="1" applyAlignment="1">
      <alignment horizontal="center"/>
    </xf>
    <xf numFmtId="0" fontId="37" fillId="41" borderId="10" xfId="0" applyFont="1" applyFill="1" applyBorder="1" applyAlignment="1">
      <alignment horizontal="left"/>
    </xf>
    <xf numFmtId="0" fontId="37" fillId="40" borderId="10" xfId="0" applyFont="1" applyFill="1" applyBorder="1" applyAlignment="1">
      <alignment horizontal="left"/>
    </xf>
    <xf numFmtId="0" fontId="27" fillId="33" borderId="0" xfId="0" applyFont="1" applyFill="1" applyAlignment="1">
      <alignment horizontal="center" vertical="center"/>
    </xf>
    <xf numFmtId="0" fontId="35" fillId="33" borderId="10" xfId="0" applyFont="1" applyFill="1" applyBorder="1" applyAlignment="1">
      <alignment horizontal="justify" vertical="justify" wrapText="1"/>
    </xf>
    <xf numFmtId="0" fontId="38" fillId="33" borderId="10" xfId="0" applyFont="1" applyFill="1" applyBorder="1" applyAlignment="1">
      <alignment horizontal="center" vertical="justify" wrapText="1"/>
    </xf>
    <xf numFmtId="0" fontId="44" fillId="33" borderId="10" xfId="0" applyFont="1" applyFill="1" applyBorder="1" applyAlignment="1">
      <alignment horizontal="center" vertical="justify" wrapText="1"/>
    </xf>
    <xf numFmtId="0" fontId="45" fillId="33" borderId="10" xfId="0" applyFont="1" applyFill="1" applyBorder="1" applyAlignment="1">
      <alignment horizontal="center" vertical="justify" wrapText="1"/>
    </xf>
    <xf numFmtId="0" fontId="38" fillId="33" borderId="11" xfId="0" applyFont="1" applyFill="1" applyBorder="1" applyAlignment="1">
      <alignment horizontal="center" vertical="justify" wrapText="1"/>
    </xf>
    <xf numFmtId="0" fontId="44" fillId="33" borderId="15" xfId="0" applyFont="1" applyFill="1" applyBorder="1" applyAlignment="1">
      <alignment horizontal="center" vertical="justify" wrapText="1"/>
    </xf>
    <xf numFmtId="0" fontId="45" fillId="33" borderId="11" xfId="0" applyFont="1" applyFill="1" applyBorder="1" applyAlignment="1">
      <alignment horizontal="center" vertical="justify" wrapText="1"/>
    </xf>
    <xf numFmtId="0" fontId="46" fillId="54" borderId="0" xfId="0" applyFont="1" applyFill="1" applyAlignment="1">
      <alignment horizontal="center" vertical="justify" wrapText="1"/>
    </xf>
    <xf numFmtId="0" fontId="47" fillId="54" borderId="0" xfId="0" applyFont="1" applyFill="1" applyAlignment="1">
      <alignment horizontal="center" vertical="justify" wrapText="1"/>
    </xf>
    <xf numFmtId="0" fontId="47" fillId="39" borderId="0" xfId="0" applyFont="1" applyFill="1" applyAlignment="1">
      <alignment horizontal="center" vertical="justify" wrapText="1"/>
    </xf>
    <xf numFmtId="1" fontId="24" fillId="38" borderId="0" xfId="0" applyNumberFormat="1" applyFont="1" applyFill="1" applyAlignment="1">
      <alignment horizontal="center"/>
    </xf>
    <xf numFmtId="0" fontId="23" fillId="53" borderId="0" xfId="0" applyFont="1" applyFill="1" applyAlignment="1">
      <alignment horizontal="center"/>
    </xf>
    <xf numFmtId="0" fontId="48" fillId="56" borderId="0" xfId="0" applyFont="1" applyFill="1" applyAlignment="1">
      <alignment horizontal="center"/>
    </xf>
    <xf numFmtId="0" fontId="49" fillId="42" borderId="0" xfId="0" applyFont="1" applyFill="1" applyAlignment="1">
      <alignment horizontal="center"/>
    </xf>
    <xf numFmtId="0" fontId="49" fillId="49" borderId="0" xfId="0" applyFont="1" applyFill="1" applyAlignment="1">
      <alignment horizontal="center"/>
    </xf>
    <xf numFmtId="0" fontId="23" fillId="39" borderId="0" xfId="0" applyFont="1" applyFill="1" applyAlignment="1">
      <alignment horizontal="center"/>
    </xf>
    <xf numFmtId="0" fontId="49" fillId="36" borderId="0" xfId="0" applyFont="1" applyFill="1" applyAlignment="1">
      <alignment horizontal="center"/>
    </xf>
    <xf numFmtId="0" fontId="36" fillId="33" borderId="0" xfId="0" applyFont="1" applyFill="1" applyAlignment="1">
      <alignment horizontal="center"/>
    </xf>
    <xf numFmtId="49" fontId="36" fillId="33" borderId="0" xfId="0" applyNumberFormat="1" applyFont="1" applyFill="1" applyAlignment="1">
      <alignment horizontal="center"/>
    </xf>
    <xf numFmtId="9" fontId="48" fillId="56" borderId="0" xfId="1" applyFont="1" applyFill="1" applyAlignment="1">
      <alignment horizontal="center"/>
    </xf>
    <xf numFmtId="1" fontId="24" fillId="55" borderId="0" xfId="0" applyNumberFormat="1" applyFont="1" applyFill="1" applyAlignment="1">
      <alignment horizontal="center"/>
    </xf>
    <xf numFmtId="0" fontId="41" fillId="53" borderId="0" xfId="0" applyFont="1" applyFill="1" applyAlignment="1">
      <alignment horizontal="left"/>
    </xf>
    <xf numFmtId="0" fontId="38" fillId="33" borderId="15" xfId="0" applyFont="1" applyFill="1" applyBorder="1" applyAlignment="1">
      <alignment horizontal="center" vertical="justify" wrapText="1"/>
    </xf>
    <xf numFmtId="0" fontId="41" fillId="53" borderId="0" xfId="0" applyFont="1" applyFill="1"/>
    <xf numFmtId="16" fontId="38" fillId="33" borderId="0" xfId="0" applyNumberFormat="1" applyFont="1" applyFill="1" applyAlignment="1">
      <alignment horizontal="center" vertical="justify" wrapText="1"/>
    </xf>
    <xf numFmtId="16" fontId="38" fillId="57" borderId="0" xfId="0" applyNumberFormat="1" applyFont="1" applyFill="1" applyAlignment="1">
      <alignment horizontal="center" vertical="justify" wrapText="1"/>
    </xf>
    <xf numFmtId="0" fontId="27" fillId="57" borderId="0" xfId="0" applyFont="1" applyFill="1"/>
    <xf numFmtId="0" fontId="22" fillId="57" borderId="0" xfId="0" applyFont="1" applyFill="1"/>
    <xf numFmtId="0" fontId="22" fillId="57" borderId="0" xfId="0" applyFont="1" applyFill="1" applyAlignment="1">
      <alignment horizontal="center"/>
    </xf>
    <xf numFmtId="0" fontId="22" fillId="44" borderId="0" xfId="0" applyFont="1" applyFill="1" applyAlignment="1">
      <alignment horizontal="center"/>
    </xf>
    <xf numFmtId="0" fontId="27" fillId="58" borderId="0" xfId="0" applyFont="1" applyFill="1"/>
    <xf numFmtId="0" fontId="22" fillId="58" borderId="0" xfId="0" applyFont="1" applyFill="1"/>
    <xf numFmtId="0" fontId="22" fillId="58" borderId="0" xfId="0" applyFont="1" applyFill="1" applyAlignment="1">
      <alignment horizontal="center"/>
    </xf>
    <xf numFmtId="0" fontId="21" fillId="59" borderId="10" xfId="0" applyFont="1" applyFill="1" applyBorder="1"/>
    <xf numFmtId="0" fontId="21" fillId="59" borderId="10" xfId="0" applyFont="1" applyFill="1" applyBorder="1" applyAlignment="1">
      <alignment horizontal="center"/>
    </xf>
    <xf numFmtId="0" fontId="21" fillId="49" borderId="10" xfId="0" applyFont="1" applyFill="1" applyBorder="1"/>
    <xf numFmtId="0" fontId="21" fillId="49" borderId="10" xfId="0" applyFont="1" applyFill="1" applyBorder="1" applyAlignment="1">
      <alignment horizontal="center"/>
    </xf>
    <xf numFmtId="0" fontId="22" fillId="60" borderId="0" xfId="0" applyFont="1" applyFill="1"/>
    <xf numFmtId="0" fontId="21" fillId="60" borderId="0" xfId="0" applyFont="1" applyFill="1" applyAlignment="1">
      <alignment horizontal="center"/>
    </xf>
    <xf numFmtId="0" fontId="22" fillId="60" borderId="0" xfId="0" applyFont="1" applyFill="1" applyAlignment="1">
      <alignment horizontal="center"/>
    </xf>
    <xf numFmtId="0" fontId="27" fillId="43" borderId="0" xfId="0" applyFont="1" applyFill="1" applyAlignment="1">
      <alignment horizontal="left"/>
    </xf>
    <xf numFmtId="0" fontId="32" fillId="33" borderId="0" xfId="0" applyFont="1" applyFill="1" applyAlignment="1">
      <alignment horizontal="left"/>
    </xf>
    <xf numFmtId="0" fontId="35" fillId="33" borderId="0" xfId="0" applyFont="1" applyFill="1" applyAlignment="1">
      <alignment horizontal="left" vertical="justify" wrapText="1"/>
    </xf>
    <xf numFmtId="0" fontId="36" fillId="44" borderId="0" xfId="0" applyFont="1" applyFill="1" applyAlignment="1">
      <alignment horizontal="left"/>
    </xf>
    <xf numFmtId="0" fontId="36" fillId="43" borderId="0" xfId="0" applyFont="1" applyFill="1" applyAlignment="1">
      <alignment horizontal="left"/>
    </xf>
    <xf numFmtId="0" fontId="27" fillId="45" borderId="0" xfId="0" applyFont="1" applyFill="1" applyAlignment="1">
      <alignment horizontal="left"/>
    </xf>
    <xf numFmtId="0" fontId="27" fillId="46" borderId="0" xfId="0" applyFont="1" applyFill="1" applyAlignment="1">
      <alignment horizontal="left"/>
    </xf>
    <xf numFmtId="0" fontId="27" fillId="42" borderId="0" xfId="0" applyFont="1" applyFill="1" applyAlignment="1">
      <alignment horizontal="left"/>
    </xf>
    <xf numFmtId="0" fontId="27" fillId="50" borderId="0" xfId="0" applyFont="1" applyFill="1" applyAlignment="1">
      <alignment horizontal="left"/>
    </xf>
    <xf numFmtId="0" fontId="27" fillId="51" borderId="0" xfId="0" applyFont="1" applyFill="1" applyAlignment="1">
      <alignment horizontal="left"/>
    </xf>
    <xf numFmtId="0" fontId="27" fillId="52" borderId="0" xfId="0" applyFont="1" applyFill="1" applyAlignment="1">
      <alignment horizontal="left"/>
    </xf>
    <xf numFmtId="0" fontId="31" fillId="33" borderId="0" xfId="0" applyFont="1" applyFill="1" applyAlignment="1">
      <alignment horizontal="left"/>
    </xf>
    <xf numFmtId="0" fontId="22" fillId="33" borderId="0" xfId="0" applyFont="1" applyFill="1" applyAlignment="1">
      <alignment horizontal="left"/>
    </xf>
    <xf numFmtId="0" fontId="27" fillId="44" borderId="0" xfId="0" applyFont="1" applyFill="1" applyAlignment="1">
      <alignment horizontal="left"/>
    </xf>
    <xf numFmtId="0" fontId="24" fillId="40" borderId="0" xfId="0" applyFont="1" applyFill="1" applyAlignment="1">
      <alignment horizontal="left"/>
    </xf>
    <xf numFmtId="0" fontId="21" fillId="49" borderId="10" xfId="0" applyFont="1" applyFill="1" applyBorder="1" applyAlignment="1">
      <alignment horizontal="left"/>
    </xf>
    <xf numFmtId="0" fontId="22" fillId="61" borderId="0" xfId="0" applyFont="1" applyFill="1"/>
    <xf numFmtId="0" fontId="21" fillId="61" borderId="0" xfId="0" applyFont="1" applyFill="1"/>
    <xf numFmtId="0" fontId="42" fillId="36" borderId="20" xfId="0" applyFont="1" applyFill="1" applyBorder="1" applyAlignment="1">
      <alignment horizontal="center"/>
    </xf>
    <xf numFmtId="0" fontId="51" fillId="62" borderId="0" xfId="0" applyFont="1" applyFill="1" applyAlignment="1">
      <alignment horizontal="center"/>
    </xf>
    <xf numFmtId="0" fontId="27" fillId="62" borderId="0" xfId="0" applyFont="1" applyFill="1" applyAlignment="1">
      <alignment horizontal="center"/>
    </xf>
    <xf numFmtId="0" fontId="31" fillId="43" borderId="0" xfId="0" applyFont="1" applyFill="1" applyAlignment="1">
      <alignment horizontal="center"/>
    </xf>
    <xf numFmtId="0" fontId="50" fillId="33" borderId="0" xfId="0" applyFont="1" applyFill="1" applyAlignment="1">
      <alignment horizontal="center"/>
    </xf>
    <xf numFmtId="0" fontId="36" fillId="33" borderId="0" xfId="0" applyFont="1" applyFill="1"/>
    <xf numFmtId="1" fontId="24" fillId="55" borderId="0" xfId="0" applyNumberFormat="1" applyFont="1" applyFill="1" applyAlignment="1">
      <alignment horizontal="left"/>
    </xf>
    <xf numFmtId="1" fontId="24" fillId="38" borderId="0" xfId="0" applyNumberFormat="1" applyFont="1" applyFill="1" applyAlignment="1">
      <alignment horizontal="left"/>
    </xf>
    <xf numFmtId="1" fontId="24" fillId="55" borderId="13" xfId="0" applyNumberFormat="1" applyFont="1" applyFill="1" applyBorder="1" applyAlignment="1">
      <alignment horizontal="left"/>
    </xf>
    <xf numFmtId="1" fontId="24" fillId="38" borderId="13" xfId="0" applyNumberFormat="1" applyFont="1" applyFill="1" applyBorder="1" applyAlignment="1">
      <alignment horizontal="left"/>
    </xf>
    <xf numFmtId="9" fontId="21" fillId="49" borderId="10" xfId="1" applyFont="1" applyFill="1" applyBorder="1" applyAlignment="1">
      <alignment horizontal="center"/>
    </xf>
    <xf numFmtId="1" fontId="26" fillId="36" borderId="0" xfId="0" applyNumberFormat="1" applyFont="1" applyFill="1" applyAlignment="1">
      <alignment horizontal="center" vertical="center"/>
    </xf>
    <xf numFmtId="0" fontId="38" fillId="60" borderId="0" xfId="0" applyFont="1" applyFill="1"/>
    <xf numFmtId="0" fontId="18" fillId="60" borderId="0" xfId="0" applyFont="1" applyFill="1"/>
    <xf numFmtId="0" fontId="43" fillId="60" borderId="0" xfId="0" applyFont="1" applyFill="1"/>
    <xf numFmtId="0" fontId="52" fillId="59" borderId="10" xfId="0" applyFont="1" applyFill="1" applyBorder="1" applyAlignment="1">
      <alignment horizontal="left"/>
    </xf>
    <xf numFmtId="1" fontId="24" fillId="55" borderId="13" xfId="0" applyNumberFormat="1" applyFont="1" applyFill="1" applyBorder="1" applyAlignment="1">
      <alignment horizontal="center"/>
    </xf>
    <xf numFmtId="1" fontId="24" fillId="38" borderId="13" xfId="0" applyNumberFormat="1" applyFont="1" applyFill="1" applyBorder="1" applyAlignment="1">
      <alignment horizontal="center"/>
    </xf>
    <xf numFmtId="0" fontId="48" fillId="38" borderId="0" xfId="0" applyFont="1" applyFill="1" applyAlignment="1">
      <alignment horizontal="center"/>
    </xf>
    <xf numFmtId="9" fontId="48" fillId="38" borderId="0" xfId="1" applyFont="1" applyFill="1" applyAlignment="1">
      <alignment horizontal="center"/>
    </xf>
    <xf numFmtId="0" fontId="23" fillId="34" borderId="0" xfId="0" applyFont="1" applyFill="1" applyAlignment="1">
      <alignment horizontal="center"/>
    </xf>
    <xf numFmtId="0" fontId="49" fillId="40" borderId="0" xfId="0" applyFont="1" applyFill="1" applyAlignment="1">
      <alignment horizontal="center"/>
    </xf>
    <xf numFmtId="0" fontId="23" fillId="63" borderId="0" xfId="0" applyFont="1" applyFill="1" applyAlignment="1">
      <alignment horizontal="center"/>
    </xf>
    <xf numFmtId="9" fontId="23" fillId="53" borderId="0" xfId="1" applyFont="1" applyFill="1" applyAlignment="1">
      <alignment horizontal="center"/>
    </xf>
    <xf numFmtId="0" fontId="42" fillId="36" borderId="0" xfId="0" applyFont="1" applyFill="1" applyAlignment="1">
      <alignment horizontal="center"/>
    </xf>
    <xf numFmtId="0" fontId="40" fillId="53" borderId="0" xfId="0" applyFont="1" applyFill="1" applyAlignment="1">
      <alignment horizontal="right"/>
    </xf>
    <xf numFmtId="0" fontId="27" fillId="33" borderId="0" xfId="0" applyFont="1" applyFill="1" applyAlignment="1">
      <alignment horizontal="center" vertical="center"/>
    </xf>
    <xf numFmtId="0" fontId="46" fillId="54" borderId="0" xfId="0" applyFont="1" applyFill="1" applyAlignment="1">
      <alignment horizontal="center" vertical="justify" wrapText="1"/>
    </xf>
    <xf numFmtId="0" fontId="34" fillId="33" borderId="0" xfId="0" applyFont="1" applyFill="1" applyAlignment="1">
      <alignment horizontal="center"/>
    </xf>
    <xf numFmtId="0" fontId="36" fillId="34" borderId="0" xfId="0" applyFont="1" applyFill="1" applyAlignment="1">
      <alignment horizontal="center"/>
    </xf>
    <xf numFmtId="0" fontId="36" fillId="34" borderId="14" xfId="0" applyFont="1" applyFill="1" applyBorder="1" applyAlignment="1">
      <alignment horizontal="center"/>
    </xf>
    <xf numFmtId="0" fontId="36" fillId="57" borderId="16" xfId="0" applyFont="1" applyFill="1" applyBorder="1" applyAlignment="1">
      <alignment horizontal="center"/>
    </xf>
    <xf numFmtId="0" fontId="36" fillId="57" borderId="17" xfId="0" applyFont="1" applyFill="1" applyBorder="1" applyAlignment="1">
      <alignment horizontal="center"/>
    </xf>
    <xf numFmtId="0" fontId="36" fillId="57" borderId="12" xfId="0" applyFont="1" applyFill="1" applyBorder="1" applyAlignment="1">
      <alignment horizontal="center"/>
    </xf>
    <xf numFmtId="0" fontId="36" fillId="57" borderId="18" xfId="0" applyFont="1" applyFill="1" applyBorder="1" applyAlignment="1">
      <alignment horizontal="center"/>
    </xf>
    <xf numFmtId="0" fontId="36" fillId="57" borderId="0" xfId="0" applyFont="1" applyFill="1" applyAlignment="1">
      <alignment horizontal="center"/>
    </xf>
    <xf numFmtId="0" fontId="36" fillId="57" borderId="13" xfId="0" applyFont="1" applyFill="1" applyBorder="1" applyAlignment="1">
      <alignment horizontal="center"/>
    </xf>
    <xf numFmtId="0" fontId="50" fillId="57" borderId="19" xfId="0" applyFont="1" applyFill="1" applyBorder="1" applyAlignment="1">
      <alignment horizontal="center"/>
    </xf>
    <xf numFmtId="0" fontId="50" fillId="57" borderId="0" xfId="0" applyFont="1" applyFill="1" applyAlignment="1">
      <alignment horizontal="center"/>
    </xf>
    <xf numFmtId="0" fontId="50" fillId="57" borderId="13" xfId="0" applyFont="1" applyFill="1" applyBorder="1" applyAlignment="1">
      <alignment horizontal="center"/>
    </xf>
    <xf numFmtId="0" fontId="53" fillId="42" borderId="10" xfId="0" applyFont="1" applyFill="1" applyBorder="1" applyAlignment="1">
      <alignment horizontal="center" vertical="justify" wrapText="1"/>
    </xf>
  </cellXfs>
  <cellStyles count="45">
    <cellStyle name="20% — akcent 1" xfId="20" builtinId="30" customBuiltin="1"/>
    <cellStyle name="20% — akcent 2" xfId="24" builtinId="34" customBuiltin="1"/>
    <cellStyle name="20% — akcent 3" xfId="28" builtinId="38" customBuiltin="1"/>
    <cellStyle name="20% — akcent 4" xfId="32" builtinId="42" customBuiltin="1"/>
    <cellStyle name="20% — akcent 5" xfId="36" builtinId="46" customBuiltin="1"/>
    <cellStyle name="20% — akcent 6" xfId="40" builtinId="50" customBuiltin="1"/>
    <cellStyle name="40% — akcent 1" xfId="21" builtinId="31" customBuiltin="1"/>
    <cellStyle name="40% — akcent 2" xfId="25" builtinId="35" customBuiltin="1"/>
    <cellStyle name="40% — akcent 3" xfId="29" builtinId="39" customBuiltin="1"/>
    <cellStyle name="40% — akcent 4" xfId="33" builtinId="43" customBuiltin="1"/>
    <cellStyle name="40% — akcent 5" xfId="37" builtinId="47" customBuiltin="1"/>
    <cellStyle name="40% — akcent 6" xfId="41" builtinId="51" customBuiltin="1"/>
    <cellStyle name="60% — akcent 1" xfId="22" builtinId="32" customBuiltin="1"/>
    <cellStyle name="60% — akcent 2" xfId="26" builtinId="36" customBuiltin="1"/>
    <cellStyle name="60% — akcent 3" xfId="30" builtinId="40" customBuiltin="1"/>
    <cellStyle name="60% — akcent 4" xfId="34" builtinId="44" customBuiltin="1"/>
    <cellStyle name="60% — akcent 5" xfId="38" builtinId="48" customBuiltin="1"/>
    <cellStyle name="60% — akcent 6" xfId="42" builtinId="52" customBuiltin="1"/>
    <cellStyle name="Akcent 1" xfId="19" builtinId="29" customBuiltin="1"/>
    <cellStyle name="Akcent 2" xfId="23" builtinId="33" customBuiltin="1"/>
    <cellStyle name="Akcent 3" xfId="27" builtinId="37" customBuiltin="1"/>
    <cellStyle name="Akcent 4" xfId="31" builtinId="41" customBuiltin="1"/>
    <cellStyle name="Akcent 5" xfId="35" builtinId="45" customBuiltin="1"/>
    <cellStyle name="Akcent 6" xfId="39" builtinId="49" customBuiltin="1"/>
    <cellStyle name="Dane wejściowe" xfId="10" builtinId="20" customBuiltin="1"/>
    <cellStyle name="Dane wyjściowe" xfId="11" builtinId="21" customBuiltin="1"/>
    <cellStyle name="Dobry" xfId="7" builtinId="26" customBuiltin="1"/>
    <cellStyle name="Hiperłącze" xfId="43" builtinId="8" customBuiltin="1"/>
    <cellStyle name="Komórka połączona" xfId="13" builtinId="24" customBuiltin="1"/>
    <cellStyle name="Komórka zaznaczona" xfId="14" builtinId="23" customBuiltin="1"/>
    <cellStyle name="Nagłówek 1" xfId="3" builtinId="16" customBuiltin="1"/>
    <cellStyle name="Nagłówek 2" xfId="4" builtinId="17" customBuiltin="1"/>
    <cellStyle name="Nagłówek 3" xfId="5" builtinId="18" customBuiltin="1"/>
    <cellStyle name="Nagłówek 4" xfId="6" builtinId="19" customBuiltin="1"/>
    <cellStyle name="Neutralny" xfId="9" builtinId="28" customBuiltin="1"/>
    <cellStyle name="Normalny" xfId="0" builtinId="0"/>
    <cellStyle name="Obliczenia" xfId="12" builtinId="22" customBuiltin="1"/>
    <cellStyle name="Odwiedzone hiperłącze" xfId="44" builtinId="9" customBuiltin="1"/>
    <cellStyle name="Procentowy" xfId="1" builtinId="5" customBuiltin="1"/>
    <cellStyle name="Suma" xfId="18" builtinId="25" customBuiltin="1"/>
    <cellStyle name="Tekst objaśnienia" xfId="17" builtinId="53" customBuiltin="1"/>
    <cellStyle name="Tekst ostrzeżenia" xfId="15" builtinId="11" customBuiltin="1"/>
    <cellStyle name="Tytuł" xfId="2" builtinId="15" customBuiltin="1"/>
    <cellStyle name="Uwaga" xfId="16" builtinId="10" customBuiltin="1"/>
    <cellStyle name="Zły" xfId="8" builtinId="27" customBuiltin="1"/>
  </cellStyles>
  <dxfs count="31">
    <dxf>
      <fill>
        <patternFill>
          <bgColor rgb="FFFFFF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747"/>
  <sheetViews>
    <sheetView showGridLines="0" tabSelected="1" zoomScale="90" zoomScaleNormal="90" workbookViewId="0">
      <selection activeCell="B35" sqref="B35"/>
    </sheetView>
  </sheetViews>
  <sheetFormatPr defaultColWidth="9.140625" defaultRowHeight="16.5" customHeight="1"/>
  <cols>
    <col min="1" max="1" width="32.28515625" style="1" customWidth="1"/>
    <col min="2" max="2" width="34.5703125" style="1" bestFit="1" customWidth="1"/>
    <col min="3" max="3" width="11.85546875" style="2" customWidth="1"/>
    <col min="4" max="4" width="0.5703125" style="2" customWidth="1"/>
    <col min="5" max="5" width="21.42578125" style="2" customWidth="1"/>
    <col min="6" max="7" width="3.7109375" style="1" customWidth="1"/>
    <col min="8" max="10" width="3.7109375" style="3" customWidth="1"/>
    <col min="11" max="11" width="31.85546875" style="1" customWidth="1"/>
    <col min="12" max="15" width="3.7109375" style="1" customWidth="1"/>
    <col min="16" max="16" width="12.7109375" style="3" customWidth="1"/>
    <col min="17" max="17" width="12.7109375" style="1" customWidth="1"/>
    <col min="18" max="18" width="9.140625" style="1" customWidth="1"/>
    <col min="19" max="19" width="9.140625" style="1"/>
    <col min="20" max="27" width="5.7109375" style="1" hidden="1" customWidth="1"/>
    <col min="28" max="28" width="0" style="1" hidden="1" customWidth="1"/>
    <col min="29" max="36" width="5.7109375" style="1" hidden="1" customWidth="1"/>
    <col min="37" max="16384" width="9.140625" style="1"/>
  </cols>
  <sheetData>
    <row r="1" spans="2:36" ht="16.5" customHeight="1">
      <c r="C1" s="54"/>
      <c r="D1" s="54"/>
      <c r="F1" s="41"/>
      <c r="G1" s="41"/>
      <c r="H1" s="41"/>
      <c r="I1" s="41"/>
      <c r="J1" s="41"/>
      <c r="K1" s="41"/>
    </row>
    <row r="2" spans="2:36" ht="16.5" customHeight="1">
      <c r="B2" s="33"/>
      <c r="C2" s="33"/>
      <c r="D2" s="33"/>
      <c r="E2" s="41" t="s">
        <v>58</v>
      </c>
      <c r="F2" s="41"/>
      <c r="G2" s="41"/>
      <c r="H2" s="41"/>
      <c r="I2" s="41"/>
      <c r="J2" s="41"/>
      <c r="K2" s="41"/>
      <c r="S2" s="53"/>
    </row>
    <row r="3" spans="2:36" ht="16.5" customHeight="1">
      <c r="B3" s="33"/>
      <c r="C3" s="33"/>
      <c r="D3" s="33"/>
      <c r="E3" s="33"/>
      <c r="F3" s="33"/>
      <c r="G3" s="33"/>
      <c r="H3" s="33"/>
      <c r="I3" s="33"/>
      <c r="J3" s="33"/>
    </row>
    <row r="4" spans="2:36" ht="23.25">
      <c r="B4" s="33" t="s">
        <v>59</v>
      </c>
      <c r="D4" s="52"/>
      <c r="E4" s="55" t="s">
        <v>55</v>
      </c>
      <c r="F4" s="56"/>
      <c r="G4" s="57"/>
      <c r="H4" s="119"/>
      <c r="I4" s="56"/>
      <c r="J4" s="82"/>
      <c r="K4" s="56" t="s">
        <v>56</v>
      </c>
      <c r="M4" s="87" t="s">
        <v>116</v>
      </c>
      <c r="N4" s="88"/>
      <c r="O4" s="88"/>
      <c r="P4" s="89"/>
      <c r="Q4" s="88"/>
      <c r="R4" s="88"/>
    </row>
    <row r="5" spans="2:36" ht="16.5" customHeight="1">
      <c r="B5" s="33"/>
      <c r="C5" s="33"/>
      <c r="D5" s="33"/>
      <c r="E5" s="33"/>
      <c r="F5" s="33"/>
      <c r="G5" s="33"/>
      <c r="H5" s="33"/>
      <c r="I5" s="33"/>
      <c r="J5" s="33"/>
      <c r="T5" s="120">
        <v>1</v>
      </c>
      <c r="U5" s="120">
        <v>2</v>
      </c>
      <c r="V5" s="120">
        <v>3</v>
      </c>
      <c r="W5" s="120">
        <v>4</v>
      </c>
      <c r="X5" s="120">
        <v>5</v>
      </c>
      <c r="Y5" s="120">
        <v>6</v>
      </c>
      <c r="Z5" s="120">
        <v>7</v>
      </c>
      <c r="AA5" s="120">
        <v>8</v>
      </c>
      <c r="AC5" s="120">
        <v>1</v>
      </c>
      <c r="AD5" s="120">
        <v>2</v>
      </c>
      <c r="AE5" s="120">
        <v>3</v>
      </c>
      <c r="AF5" s="120">
        <v>4</v>
      </c>
      <c r="AG5" s="120">
        <v>5</v>
      </c>
      <c r="AH5" s="120">
        <v>6</v>
      </c>
      <c r="AI5" s="120">
        <v>7</v>
      </c>
      <c r="AJ5" s="120">
        <v>8</v>
      </c>
    </row>
    <row r="6" spans="2:36" ht="16.5" customHeight="1">
      <c r="B6" s="12"/>
      <c r="C6" s="12" t="s">
        <v>7</v>
      </c>
      <c r="D6" s="4"/>
      <c r="E6" s="4" t="s">
        <v>32</v>
      </c>
      <c r="F6" s="5">
        <v>1</v>
      </c>
      <c r="G6" s="6">
        <v>0</v>
      </c>
      <c r="H6" s="7" t="str">
        <f>T6</f>
        <v/>
      </c>
      <c r="I6" s="7"/>
      <c r="J6" s="4"/>
      <c r="K6" s="4" t="s">
        <v>195</v>
      </c>
      <c r="L6" s="5">
        <v>2</v>
      </c>
      <c r="M6" s="6">
        <v>0</v>
      </c>
      <c r="N6" s="7" t="str">
        <f>AC6</f>
        <v/>
      </c>
      <c r="O6" s="7"/>
      <c r="P6" s="24" t="s">
        <v>13</v>
      </c>
      <c r="Q6" s="13"/>
      <c r="T6" s="121" t="str">
        <f>IF($G$4="","",SUM(Y6:AA6))</f>
        <v/>
      </c>
      <c r="U6" s="118">
        <f t="shared" ref="U6" si="0">IF(V6&gt;0,1,IF(V6=0,0,2))</f>
        <v>0</v>
      </c>
      <c r="V6" s="117">
        <f>$G$4-$H$4</f>
        <v>0</v>
      </c>
      <c r="W6" s="117">
        <f t="shared" ref="W6" si="1">IF(X6&gt;0,1,IF(X6=0,0,2))</f>
        <v>1</v>
      </c>
      <c r="X6" s="117">
        <f>F6-G6</f>
        <v>1</v>
      </c>
      <c r="Y6" s="117">
        <f t="shared" ref="Y6" si="2">IF(U6=W6,3,0)</f>
        <v>0</v>
      </c>
      <c r="Z6" s="117">
        <f t="shared" ref="Z6" si="3">IF(V6=X6,1,0)</f>
        <v>0</v>
      </c>
      <c r="AA6" s="117">
        <f>IF(Z6=1,IF($G$4=F6,1,0),0)</f>
        <v>0</v>
      </c>
      <c r="AC6" s="121" t="str">
        <f>IF($G$4="","",SUM(AH6:AJ6))</f>
        <v/>
      </c>
      <c r="AD6" s="118">
        <f t="shared" ref="AD6" si="4">IF(AE6&gt;0,1,IF(AE6=0,0,2))</f>
        <v>0</v>
      </c>
      <c r="AE6" s="117">
        <f>$G$4-$H$4</f>
        <v>0</v>
      </c>
      <c r="AF6" s="117">
        <f t="shared" ref="AF6" si="5">IF(AG6&gt;0,1,IF(AG6=0,0,2))</f>
        <v>1</v>
      </c>
      <c r="AG6" s="117">
        <f>L6-M6</f>
        <v>2</v>
      </c>
      <c r="AH6" s="117">
        <f t="shared" ref="AH6" si="6">IF(AD6=AF6,3,0)</f>
        <v>0</v>
      </c>
      <c r="AI6" s="117">
        <f t="shared" ref="AI6" si="7">IF(AE6=AG6,1,0)</f>
        <v>0</v>
      </c>
      <c r="AJ6" s="117">
        <f>IF(AI6=1,IF($G$4=L6,1,0),0)</f>
        <v>0</v>
      </c>
    </row>
    <row r="7" spans="2:36" ht="16.5" customHeight="1">
      <c r="B7" s="12"/>
      <c r="C7" s="12"/>
      <c r="D7" s="8"/>
      <c r="E7" s="9" t="s">
        <v>170</v>
      </c>
      <c r="F7" s="5">
        <v>2</v>
      </c>
      <c r="G7" s="6">
        <v>1</v>
      </c>
      <c r="H7" s="7" t="str">
        <f t="shared" ref="H7:H33" si="8">T7</f>
        <v/>
      </c>
      <c r="I7" s="10"/>
      <c r="J7" s="8"/>
      <c r="K7" s="9" t="s">
        <v>196</v>
      </c>
      <c r="L7" s="5">
        <v>3</v>
      </c>
      <c r="M7" s="6">
        <v>0</v>
      </c>
      <c r="N7" s="7" t="str">
        <f t="shared" ref="N7:N33" si="9">AC7</f>
        <v/>
      </c>
      <c r="O7" s="10"/>
      <c r="P7" s="24"/>
      <c r="Q7" s="13"/>
      <c r="T7" s="121" t="str">
        <f t="shared" ref="T7:T33" si="10">IF($G$4="","",SUM(Y7:AA7))</f>
        <v/>
      </c>
      <c r="U7" s="118">
        <f t="shared" ref="U7:U33" si="11">IF(V7&gt;0,1,IF(V7=0,0,2))</f>
        <v>0</v>
      </c>
      <c r="V7" s="117">
        <f t="shared" ref="V7:V33" si="12">$G$4-$H$4</f>
        <v>0</v>
      </c>
      <c r="W7" s="117">
        <f t="shared" ref="W7:W33" si="13">IF(X7&gt;0,1,IF(X7=0,0,2))</f>
        <v>1</v>
      </c>
      <c r="X7" s="117">
        <f t="shared" ref="X7:X33" si="14">F7-G7</f>
        <v>1</v>
      </c>
      <c r="Y7" s="117">
        <f t="shared" ref="Y7:Y33" si="15">IF(U7=W7,3,0)</f>
        <v>0</v>
      </c>
      <c r="Z7" s="117">
        <f t="shared" ref="Z7:Z33" si="16">IF(V7=X7,1,0)</f>
        <v>0</v>
      </c>
      <c r="AA7" s="117">
        <f t="shared" ref="AA7:AA33" si="17">IF(Z7=1,IF($G$4=F7,1,0),0)</f>
        <v>0</v>
      </c>
      <c r="AC7" s="121" t="str">
        <f t="shared" ref="AC7:AC33" si="18">IF($G$4="","",SUM(AH7:AJ7))</f>
        <v/>
      </c>
      <c r="AD7" s="118">
        <f t="shared" ref="AD7:AD33" si="19">IF(AE7&gt;0,1,IF(AE7=0,0,2))</f>
        <v>0</v>
      </c>
      <c r="AE7" s="117">
        <f t="shared" ref="AE7:AE33" si="20">$G$4-$H$4</f>
        <v>0</v>
      </c>
      <c r="AF7" s="117">
        <f t="shared" ref="AF7:AF33" si="21">IF(AG7&gt;0,1,IF(AG7=0,0,2))</f>
        <v>1</v>
      </c>
      <c r="AG7" s="117">
        <f t="shared" ref="AG7:AG33" si="22">L7-M7</f>
        <v>3</v>
      </c>
      <c r="AH7" s="117">
        <f t="shared" ref="AH7:AH33" si="23">IF(AD7=AF7,3,0)</f>
        <v>0</v>
      </c>
      <c r="AI7" s="117">
        <f t="shared" ref="AI7:AI33" si="24">IF(AE7=AG7,1,0)</f>
        <v>0</v>
      </c>
      <c r="AJ7" s="117">
        <f t="shared" ref="AJ7:AJ33" si="25">IF(AI7=1,IF($G$4=L7,1,0),0)</f>
        <v>0</v>
      </c>
    </row>
    <row r="8" spans="2:36" ht="16.5" customHeight="1">
      <c r="B8" s="12"/>
      <c r="C8" s="12"/>
      <c r="D8" s="4"/>
      <c r="E8" s="4" t="s">
        <v>171</v>
      </c>
      <c r="F8" s="5">
        <v>2</v>
      </c>
      <c r="G8" s="6">
        <v>1</v>
      </c>
      <c r="H8" s="7" t="str">
        <f t="shared" si="8"/>
        <v/>
      </c>
      <c r="I8" s="7"/>
      <c r="J8" s="4"/>
      <c r="K8" s="4" t="s">
        <v>197</v>
      </c>
      <c r="L8" s="5">
        <v>2</v>
      </c>
      <c r="M8" s="6">
        <v>1</v>
      </c>
      <c r="N8" s="7" t="str">
        <f t="shared" si="9"/>
        <v/>
      </c>
      <c r="O8" s="7"/>
      <c r="P8" s="24"/>
      <c r="Q8" s="13"/>
      <c r="T8" s="121" t="str">
        <f t="shared" si="10"/>
        <v/>
      </c>
      <c r="U8" s="118">
        <f t="shared" si="11"/>
        <v>0</v>
      </c>
      <c r="V8" s="117">
        <f t="shared" si="12"/>
        <v>0</v>
      </c>
      <c r="W8" s="117">
        <f t="shared" si="13"/>
        <v>1</v>
      </c>
      <c r="X8" s="117">
        <f t="shared" si="14"/>
        <v>1</v>
      </c>
      <c r="Y8" s="117">
        <f t="shared" si="15"/>
        <v>0</v>
      </c>
      <c r="Z8" s="117">
        <f t="shared" si="16"/>
        <v>0</v>
      </c>
      <c r="AA8" s="117">
        <f t="shared" si="17"/>
        <v>0</v>
      </c>
      <c r="AC8" s="121" t="str">
        <f t="shared" si="18"/>
        <v/>
      </c>
      <c r="AD8" s="118">
        <f t="shared" si="19"/>
        <v>0</v>
      </c>
      <c r="AE8" s="117">
        <f t="shared" si="20"/>
        <v>0</v>
      </c>
      <c r="AF8" s="117">
        <f t="shared" si="21"/>
        <v>1</v>
      </c>
      <c r="AG8" s="117">
        <f t="shared" si="22"/>
        <v>1</v>
      </c>
      <c r="AH8" s="117">
        <f t="shared" si="23"/>
        <v>0</v>
      </c>
      <c r="AI8" s="117">
        <f t="shared" si="24"/>
        <v>0</v>
      </c>
      <c r="AJ8" s="117">
        <f t="shared" si="25"/>
        <v>0</v>
      </c>
    </row>
    <row r="9" spans="2:36" ht="16.5" customHeight="1">
      <c r="B9" s="12"/>
      <c r="C9" s="12"/>
      <c r="D9" s="8"/>
      <c r="E9" s="9" t="s">
        <v>172</v>
      </c>
      <c r="F9" s="5">
        <v>2</v>
      </c>
      <c r="G9" s="6">
        <v>1</v>
      </c>
      <c r="H9" s="7" t="str">
        <f t="shared" si="8"/>
        <v/>
      </c>
      <c r="I9" s="10"/>
      <c r="J9" s="8"/>
      <c r="K9" s="9" t="s">
        <v>198</v>
      </c>
      <c r="L9" s="5">
        <v>2</v>
      </c>
      <c r="M9" s="6">
        <v>0</v>
      </c>
      <c r="N9" s="7" t="str">
        <f t="shared" si="9"/>
        <v/>
      </c>
      <c r="O9" s="10"/>
      <c r="P9" s="24"/>
      <c r="Q9" s="13"/>
      <c r="T9" s="121" t="str">
        <f t="shared" si="10"/>
        <v/>
      </c>
      <c r="U9" s="118">
        <f t="shared" si="11"/>
        <v>0</v>
      </c>
      <c r="V9" s="117">
        <f t="shared" si="12"/>
        <v>0</v>
      </c>
      <c r="W9" s="117">
        <f t="shared" si="13"/>
        <v>1</v>
      </c>
      <c r="X9" s="117">
        <f t="shared" si="14"/>
        <v>1</v>
      </c>
      <c r="Y9" s="117">
        <f t="shared" si="15"/>
        <v>0</v>
      </c>
      <c r="Z9" s="117">
        <f t="shared" si="16"/>
        <v>0</v>
      </c>
      <c r="AA9" s="117">
        <f t="shared" si="17"/>
        <v>0</v>
      </c>
      <c r="AC9" s="121" t="str">
        <f t="shared" si="18"/>
        <v/>
      </c>
      <c r="AD9" s="118">
        <f t="shared" si="19"/>
        <v>0</v>
      </c>
      <c r="AE9" s="117">
        <f t="shared" si="20"/>
        <v>0</v>
      </c>
      <c r="AF9" s="117">
        <f t="shared" si="21"/>
        <v>1</v>
      </c>
      <c r="AG9" s="117">
        <f t="shared" si="22"/>
        <v>2</v>
      </c>
      <c r="AH9" s="117">
        <f t="shared" si="23"/>
        <v>0</v>
      </c>
      <c r="AI9" s="117">
        <f t="shared" si="24"/>
        <v>0</v>
      </c>
      <c r="AJ9" s="117">
        <f t="shared" si="25"/>
        <v>0</v>
      </c>
    </row>
    <row r="10" spans="2:36" ht="16.5" customHeight="1">
      <c r="B10" s="12"/>
      <c r="C10" s="12"/>
      <c r="D10" s="4"/>
      <c r="E10" s="4" t="s">
        <v>173</v>
      </c>
      <c r="F10" s="5">
        <v>2</v>
      </c>
      <c r="G10" s="6">
        <v>0</v>
      </c>
      <c r="H10" s="7" t="str">
        <f t="shared" si="8"/>
        <v/>
      </c>
      <c r="I10" s="7"/>
      <c r="J10" s="4"/>
      <c r="K10" s="4" t="s">
        <v>199</v>
      </c>
      <c r="L10" s="5">
        <v>2</v>
      </c>
      <c r="M10" s="6">
        <v>0</v>
      </c>
      <c r="N10" s="7" t="str">
        <f t="shared" si="9"/>
        <v/>
      </c>
      <c r="O10" s="7"/>
      <c r="P10" s="24"/>
      <c r="Q10" s="13"/>
      <c r="T10" s="121" t="str">
        <f t="shared" si="10"/>
        <v/>
      </c>
      <c r="U10" s="118">
        <f t="shared" si="11"/>
        <v>0</v>
      </c>
      <c r="V10" s="117">
        <f t="shared" si="12"/>
        <v>0</v>
      </c>
      <c r="W10" s="117">
        <f t="shared" si="13"/>
        <v>1</v>
      </c>
      <c r="X10" s="117">
        <f t="shared" si="14"/>
        <v>2</v>
      </c>
      <c r="Y10" s="117">
        <f t="shared" si="15"/>
        <v>0</v>
      </c>
      <c r="Z10" s="117">
        <f t="shared" si="16"/>
        <v>0</v>
      </c>
      <c r="AA10" s="117">
        <f t="shared" si="17"/>
        <v>0</v>
      </c>
      <c r="AC10" s="121" t="str">
        <f t="shared" si="18"/>
        <v/>
      </c>
      <c r="AD10" s="118">
        <f t="shared" si="19"/>
        <v>0</v>
      </c>
      <c r="AE10" s="117">
        <f t="shared" si="20"/>
        <v>0</v>
      </c>
      <c r="AF10" s="117">
        <f t="shared" si="21"/>
        <v>1</v>
      </c>
      <c r="AG10" s="117">
        <f t="shared" si="22"/>
        <v>2</v>
      </c>
      <c r="AH10" s="117">
        <f t="shared" si="23"/>
        <v>0</v>
      </c>
      <c r="AI10" s="117">
        <f t="shared" si="24"/>
        <v>0</v>
      </c>
      <c r="AJ10" s="117">
        <f t="shared" si="25"/>
        <v>0</v>
      </c>
    </row>
    <row r="11" spans="2:36" ht="16.5" customHeight="1">
      <c r="B11" s="12"/>
      <c r="C11" s="12"/>
      <c r="D11" s="8"/>
      <c r="E11" s="9" t="s">
        <v>174</v>
      </c>
      <c r="F11" s="5">
        <v>2</v>
      </c>
      <c r="G11" s="6">
        <v>0</v>
      </c>
      <c r="H11" s="7" t="str">
        <f t="shared" si="8"/>
        <v/>
      </c>
      <c r="I11" s="10"/>
      <c r="J11" s="8"/>
      <c r="K11" s="9" t="s">
        <v>200</v>
      </c>
      <c r="L11" s="5">
        <v>3</v>
      </c>
      <c r="M11" s="6">
        <v>1</v>
      </c>
      <c r="N11" s="7" t="str">
        <f t="shared" si="9"/>
        <v/>
      </c>
      <c r="O11" s="10"/>
      <c r="P11" s="24"/>
      <c r="Q11" s="13"/>
      <c r="T11" s="121" t="str">
        <f t="shared" si="10"/>
        <v/>
      </c>
      <c r="U11" s="118">
        <f t="shared" si="11"/>
        <v>0</v>
      </c>
      <c r="V11" s="117">
        <f t="shared" si="12"/>
        <v>0</v>
      </c>
      <c r="W11" s="117">
        <f t="shared" si="13"/>
        <v>1</v>
      </c>
      <c r="X11" s="117">
        <f t="shared" si="14"/>
        <v>2</v>
      </c>
      <c r="Y11" s="117">
        <f t="shared" si="15"/>
        <v>0</v>
      </c>
      <c r="Z11" s="117">
        <f t="shared" si="16"/>
        <v>0</v>
      </c>
      <c r="AA11" s="117">
        <f t="shared" si="17"/>
        <v>0</v>
      </c>
      <c r="AC11" s="121" t="str">
        <f t="shared" si="18"/>
        <v/>
      </c>
      <c r="AD11" s="118">
        <f t="shared" si="19"/>
        <v>0</v>
      </c>
      <c r="AE11" s="117">
        <f t="shared" si="20"/>
        <v>0</v>
      </c>
      <c r="AF11" s="117">
        <f t="shared" si="21"/>
        <v>1</v>
      </c>
      <c r="AG11" s="117">
        <f t="shared" si="22"/>
        <v>2</v>
      </c>
      <c r="AH11" s="117">
        <f t="shared" si="23"/>
        <v>0</v>
      </c>
      <c r="AI11" s="117">
        <f t="shared" si="24"/>
        <v>0</v>
      </c>
      <c r="AJ11" s="117">
        <f t="shared" si="25"/>
        <v>0</v>
      </c>
    </row>
    <row r="12" spans="2:36" ht="16.5" customHeight="1">
      <c r="B12" s="12"/>
      <c r="C12" s="12"/>
      <c r="D12" s="4"/>
      <c r="E12" s="4" t="s">
        <v>175</v>
      </c>
      <c r="F12" s="5">
        <v>0</v>
      </c>
      <c r="G12" s="6">
        <v>0</v>
      </c>
      <c r="H12" s="7" t="str">
        <f t="shared" si="8"/>
        <v/>
      </c>
      <c r="I12" s="7"/>
      <c r="J12" s="4"/>
      <c r="K12" s="4" t="s">
        <v>201</v>
      </c>
      <c r="L12" s="5">
        <v>2</v>
      </c>
      <c r="M12" s="6">
        <v>0</v>
      </c>
      <c r="N12" s="7" t="str">
        <f t="shared" si="9"/>
        <v/>
      </c>
      <c r="O12" s="7"/>
      <c r="P12" s="24"/>
      <c r="Q12" s="13"/>
      <c r="T12" s="121" t="str">
        <f t="shared" si="10"/>
        <v/>
      </c>
      <c r="U12" s="118">
        <f t="shared" si="11"/>
        <v>0</v>
      </c>
      <c r="V12" s="117">
        <f t="shared" si="12"/>
        <v>0</v>
      </c>
      <c r="W12" s="117">
        <f t="shared" si="13"/>
        <v>0</v>
      </c>
      <c r="X12" s="117">
        <f t="shared" si="14"/>
        <v>0</v>
      </c>
      <c r="Y12" s="117">
        <f t="shared" si="15"/>
        <v>3</v>
      </c>
      <c r="Z12" s="117">
        <f t="shared" si="16"/>
        <v>1</v>
      </c>
      <c r="AA12" s="117">
        <f t="shared" si="17"/>
        <v>1</v>
      </c>
      <c r="AC12" s="121" t="str">
        <f t="shared" si="18"/>
        <v/>
      </c>
      <c r="AD12" s="118">
        <f t="shared" si="19"/>
        <v>0</v>
      </c>
      <c r="AE12" s="117">
        <f t="shared" si="20"/>
        <v>0</v>
      </c>
      <c r="AF12" s="117">
        <f t="shared" si="21"/>
        <v>1</v>
      </c>
      <c r="AG12" s="117">
        <f t="shared" si="22"/>
        <v>2</v>
      </c>
      <c r="AH12" s="117">
        <f t="shared" si="23"/>
        <v>0</v>
      </c>
      <c r="AI12" s="117">
        <f t="shared" si="24"/>
        <v>0</v>
      </c>
      <c r="AJ12" s="117">
        <f t="shared" si="25"/>
        <v>0</v>
      </c>
    </row>
    <row r="13" spans="2:36" ht="16.5" customHeight="1">
      <c r="B13" s="14"/>
      <c r="C13" s="14" t="s">
        <v>8</v>
      </c>
      <c r="D13" s="8"/>
      <c r="E13" s="9" t="s">
        <v>33</v>
      </c>
      <c r="F13" s="5">
        <v>3</v>
      </c>
      <c r="G13" s="6">
        <v>1</v>
      </c>
      <c r="H13" s="7" t="str">
        <f t="shared" si="8"/>
        <v/>
      </c>
      <c r="I13" s="10"/>
      <c r="J13" s="8"/>
      <c r="K13" s="9" t="s">
        <v>225</v>
      </c>
      <c r="L13" s="5">
        <v>2</v>
      </c>
      <c r="M13" s="6">
        <v>0</v>
      </c>
      <c r="N13" s="7" t="str">
        <f t="shared" si="9"/>
        <v/>
      </c>
      <c r="O13" s="10"/>
      <c r="P13" s="31" t="s">
        <v>16</v>
      </c>
      <c r="Q13" s="30"/>
      <c r="T13" s="121" t="str">
        <f t="shared" si="10"/>
        <v/>
      </c>
      <c r="U13" s="118">
        <f t="shared" si="11"/>
        <v>0</v>
      </c>
      <c r="V13" s="117">
        <f t="shared" si="12"/>
        <v>0</v>
      </c>
      <c r="W13" s="117">
        <f t="shared" si="13"/>
        <v>1</v>
      </c>
      <c r="X13" s="117">
        <f t="shared" si="14"/>
        <v>2</v>
      </c>
      <c r="Y13" s="117">
        <f t="shared" si="15"/>
        <v>0</v>
      </c>
      <c r="Z13" s="117">
        <f t="shared" si="16"/>
        <v>0</v>
      </c>
      <c r="AA13" s="117">
        <f t="shared" si="17"/>
        <v>0</v>
      </c>
      <c r="AC13" s="121" t="str">
        <f t="shared" si="18"/>
        <v/>
      </c>
      <c r="AD13" s="118">
        <f t="shared" si="19"/>
        <v>0</v>
      </c>
      <c r="AE13" s="117">
        <f t="shared" si="20"/>
        <v>0</v>
      </c>
      <c r="AF13" s="117">
        <f t="shared" si="21"/>
        <v>1</v>
      </c>
      <c r="AG13" s="117">
        <f t="shared" si="22"/>
        <v>2</v>
      </c>
      <c r="AH13" s="117">
        <f t="shared" si="23"/>
        <v>0</v>
      </c>
      <c r="AI13" s="117">
        <f t="shared" si="24"/>
        <v>0</v>
      </c>
      <c r="AJ13" s="117">
        <f t="shared" si="25"/>
        <v>0</v>
      </c>
    </row>
    <row r="14" spans="2:36" ht="16.5" customHeight="1">
      <c r="B14" s="14"/>
      <c r="C14" s="14"/>
      <c r="D14" s="4"/>
      <c r="E14" s="4" t="s">
        <v>176</v>
      </c>
      <c r="F14" s="5">
        <v>2</v>
      </c>
      <c r="G14" s="6">
        <v>1</v>
      </c>
      <c r="H14" s="7" t="str">
        <f t="shared" si="8"/>
        <v/>
      </c>
      <c r="I14" s="7"/>
      <c r="J14" s="4"/>
      <c r="K14" s="4" t="s">
        <v>203</v>
      </c>
      <c r="L14" s="5">
        <v>1</v>
      </c>
      <c r="M14" s="6">
        <v>0</v>
      </c>
      <c r="N14" s="7" t="str">
        <f t="shared" si="9"/>
        <v/>
      </c>
      <c r="O14" s="7"/>
      <c r="P14" s="31"/>
      <c r="Q14" s="30"/>
      <c r="T14" s="121" t="str">
        <f t="shared" si="10"/>
        <v/>
      </c>
      <c r="U14" s="118">
        <f t="shared" si="11"/>
        <v>0</v>
      </c>
      <c r="V14" s="117">
        <f t="shared" si="12"/>
        <v>0</v>
      </c>
      <c r="W14" s="117">
        <f t="shared" si="13"/>
        <v>1</v>
      </c>
      <c r="X14" s="117">
        <f t="shared" si="14"/>
        <v>1</v>
      </c>
      <c r="Y14" s="117">
        <f t="shared" si="15"/>
        <v>0</v>
      </c>
      <c r="Z14" s="117">
        <f t="shared" si="16"/>
        <v>0</v>
      </c>
      <c r="AA14" s="117">
        <f t="shared" si="17"/>
        <v>0</v>
      </c>
      <c r="AC14" s="121" t="str">
        <f t="shared" si="18"/>
        <v/>
      </c>
      <c r="AD14" s="118">
        <f t="shared" si="19"/>
        <v>0</v>
      </c>
      <c r="AE14" s="117">
        <f t="shared" si="20"/>
        <v>0</v>
      </c>
      <c r="AF14" s="117">
        <f t="shared" si="21"/>
        <v>1</v>
      </c>
      <c r="AG14" s="117">
        <f t="shared" si="22"/>
        <v>1</v>
      </c>
      <c r="AH14" s="117">
        <f t="shared" si="23"/>
        <v>0</v>
      </c>
      <c r="AI14" s="117">
        <f t="shared" si="24"/>
        <v>0</v>
      </c>
      <c r="AJ14" s="117">
        <f t="shared" si="25"/>
        <v>0</v>
      </c>
    </row>
    <row r="15" spans="2:36" ht="16.5" customHeight="1">
      <c r="B15" s="14"/>
      <c r="C15" s="14"/>
      <c r="D15" s="8"/>
      <c r="E15" s="9" t="s">
        <v>177</v>
      </c>
      <c r="F15" s="5">
        <v>2</v>
      </c>
      <c r="G15" s="6">
        <v>1</v>
      </c>
      <c r="H15" s="7" t="str">
        <f t="shared" si="8"/>
        <v/>
      </c>
      <c r="I15" s="10"/>
      <c r="J15" s="8"/>
      <c r="K15" s="9" t="s">
        <v>204</v>
      </c>
      <c r="L15" s="5">
        <v>2</v>
      </c>
      <c r="M15" s="6">
        <v>1</v>
      </c>
      <c r="N15" s="7" t="str">
        <f t="shared" si="9"/>
        <v/>
      </c>
      <c r="O15" s="10"/>
      <c r="P15" s="31"/>
      <c r="Q15" s="30"/>
      <c r="T15" s="121" t="str">
        <f t="shared" si="10"/>
        <v/>
      </c>
      <c r="U15" s="118">
        <f t="shared" si="11"/>
        <v>0</v>
      </c>
      <c r="V15" s="117">
        <f t="shared" si="12"/>
        <v>0</v>
      </c>
      <c r="W15" s="117">
        <f t="shared" si="13"/>
        <v>1</v>
      </c>
      <c r="X15" s="117">
        <f t="shared" si="14"/>
        <v>1</v>
      </c>
      <c r="Y15" s="117">
        <f t="shared" si="15"/>
        <v>0</v>
      </c>
      <c r="Z15" s="117">
        <f t="shared" si="16"/>
        <v>0</v>
      </c>
      <c r="AA15" s="117">
        <f t="shared" si="17"/>
        <v>0</v>
      </c>
      <c r="AC15" s="121" t="str">
        <f t="shared" si="18"/>
        <v/>
      </c>
      <c r="AD15" s="118">
        <f t="shared" si="19"/>
        <v>0</v>
      </c>
      <c r="AE15" s="117">
        <f t="shared" si="20"/>
        <v>0</v>
      </c>
      <c r="AF15" s="117">
        <f t="shared" si="21"/>
        <v>1</v>
      </c>
      <c r="AG15" s="117">
        <f t="shared" si="22"/>
        <v>1</v>
      </c>
      <c r="AH15" s="117">
        <f t="shared" si="23"/>
        <v>0</v>
      </c>
      <c r="AI15" s="117">
        <f t="shared" si="24"/>
        <v>0</v>
      </c>
      <c r="AJ15" s="117">
        <f t="shared" si="25"/>
        <v>0</v>
      </c>
    </row>
    <row r="16" spans="2:36" ht="16.5" customHeight="1">
      <c r="B16" s="14"/>
      <c r="C16" s="14"/>
      <c r="D16" s="4"/>
      <c r="E16" s="4" t="s">
        <v>178</v>
      </c>
      <c r="F16" s="5">
        <v>3</v>
      </c>
      <c r="G16" s="6">
        <v>1</v>
      </c>
      <c r="H16" s="7" t="str">
        <f t="shared" si="8"/>
        <v/>
      </c>
      <c r="I16" s="7"/>
      <c r="J16" s="4"/>
      <c r="K16" s="4" t="s">
        <v>223</v>
      </c>
      <c r="L16" s="5">
        <v>2</v>
      </c>
      <c r="M16" s="6">
        <v>1</v>
      </c>
      <c r="N16" s="7" t="str">
        <f t="shared" si="9"/>
        <v/>
      </c>
      <c r="O16" s="7"/>
      <c r="P16" s="31"/>
      <c r="Q16" s="30"/>
      <c r="T16" s="121" t="str">
        <f t="shared" si="10"/>
        <v/>
      </c>
      <c r="U16" s="118">
        <f t="shared" si="11"/>
        <v>0</v>
      </c>
      <c r="V16" s="117">
        <f t="shared" si="12"/>
        <v>0</v>
      </c>
      <c r="W16" s="117">
        <f t="shared" si="13"/>
        <v>1</v>
      </c>
      <c r="X16" s="117">
        <f t="shared" si="14"/>
        <v>2</v>
      </c>
      <c r="Y16" s="117">
        <f t="shared" si="15"/>
        <v>0</v>
      </c>
      <c r="Z16" s="117">
        <f t="shared" si="16"/>
        <v>0</v>
      </c>
      <c r="AA16" s="117">
        <f t="shared" si="17"/>
        <v>0</v>
      </c>
      <c r="AC16" s="121" t="str">
        <f t="shared" si="18"/>
        <v/>
      </c>
      <c r="AD16" s="118">
        <f t="shared" si="19"/>
        <v>0</v>
      </c>
      <c r="AE16" s="117">
        <f t="shared" si="20"/>
        <v>0</v>
      </c>
      <c r="AF16" s="117">
        <f t="shared" si="21"/>
        <v>1</v>
      </c>
      <c r="AG16" s="117">
        <f t="shared" si="22"/>
        <v>1</v>
      </c>
      <c r="AH16" s="117">
        <f t="shared" si="23"/>
        <v>0</v>
      </c>
      <c r="AI16" s="117">
        <f t="shared" si="24"/>
        <v>0</v>
      </c>
      <c r="AJ16" s="117">
        <f t="shared" si="25"/>
        <v>0</v>
      </c>
    </row>
    <row r="17" spans="2:36" ht="16.5" customHeight="1">
      <c r="B17" s="14"/>
      <c r="C17" s="14"/>
      <c r="D17" s="8"/>
      <c r="E17" s="9" t="s">
        <v>179</v>
      </c>
      <c r="F17" s="5">
        <v>3</v>
      </c>
      <c r="G17" s="6">
        <v>1</v>
      </c>
      <c r="H17" s="7" t="str">
        <f t="shared" si="8"/>
        <v/>
      </c>
      <c r="I17" s="10"/>
      <c r="J17" s="8"/>
      <c r="K17" s="9" t="s">
        <v>205</v>
      </c>
      <c r="L17" s="5">
        <v>3</v>
      </c>
      <c r="M17" s="6">
        <v>0</v>
      </c>
      <c r="N17" s="7" t="str">
        <f t="shared" si="9"/>
        <v/>
      </c>
      <c r="O17" s="10"/>
      <c r="P17" s="31"/>
      <c r="Q17" s="30"/>
      <c r="T17" s="121" t="str">
        <f t="shared" si="10"/>
        <v/>
      </c>
      <c r="U17" s="118">
        <f t="shared" si="11"/>
        <v>0</v>
      </c>
      <c r="V17" s="117">
        <f t="shared" si="12"/>
        <v>0</v>
      </c>
      <c r="W17" s="117">
        <f t="shared" si="13"/>
        <v>1</v>
      </c>
      <c r="X17" s="117">
        <f t="shared" si="14"/>
        <v>2</v>
      </c>
      <c r="Y17" s="117">
        <f t="shared" si="15"/>
        <v>0</v>
      </c>
      <c r="Z17" s="117">
        <f t="shared" si="16"/>
        <v>0</v>
      </c>
      <c r="AA17" s="117">
        <f t="shared" si="17"/>
        <v>0</v>
      </c>
      <c r="AC17" s="121" t="str">
        <f t="shared" si="18"/>
        <v/>
      </c>
      <c r="AD17" s="118">
        <f t="shared" si="19"/>
        <v>0</v>
      </c>
      <c r="AE17" s="117">
        <f t="shared" si="20"/>
        <v>0</v>
      </c>
      <c r="AF17" s="117">
        <f t="shared" si="21"/>
        <v>1</v>
      </c>
      <c r="AG17" s="117">
        <f t="shared" si="22"/>
        <v>3</v>
      </c>
      <c r="AH17" s="117">
        <f t="shared" si="23"/>
        <v>0</v>
      </c>
      <c r="AI17" s="117">
        <f t="shared" si="24"/>
        <v>0</v>
      </c>
      <c r="AJ17" s="117">
        <f t="shared" si="25"/>
        <v>0</v>
      </c>
    </row>
    <row r="18" spans="2:36" ht="16.5" customHeight="1">
      <c r="B18" s="14"/>
      <c r="C18" s="14"/>
      <c r="D18" s="4"/>
      <c r="E18" s="4" t="s">
        <v>180</v>
      </c>
      <c r="F18" s="5">
        <v>2</v>
      </c>
      <c r="G18" s="6">
        <v>0</v>
      </c>
      <c r="H18" s="7" t="str">
        <f t="shared" si="8"/>
        <v/>
      </c>
      <c r="I18" s="7"/>
      <c r="J18" s="4"/>
      <c r="K18" s="4" t="s">
        <v>206</v>
      </c>
      <c r="L18" s="5">
        <v>2</v>
      </c>
      <c r="M18" s="6">
        <v>1</v>
      </c>
      <c r="N18" s="7" t="str">
        <f t="shared" si="9"/>
        <v/>
      </c>
      <c r="O18" s="7"/>
      <c r="P18" s="31"/>
      <c r="Q18" s="30"/>
      <c r="T18" s="121" t="str">
        <f t="shared" si="10"/>
        <v/>
      </c>
      <c r="U18" s="118">
        <f t="shared" si="11"/>
        <v>0</v>
      </c>
      <c r="V18" s="117">
        <f t="shared" si="12"/>
        <v>0</v>
      </c>
      <c r="W18" s="117">
        <f t="shared" si="13"/>
        <v>1</v>
      </c>
      <c r="X18" s="117">
        <f t="shared" si="14"/>
        <v>2</v>
      </c>
      <c r="Y18" s="117">
        <f t="shared" si="15"/>
        <v>0</v>
      </c>
      <c r="Z18" s="117">
        <f t="shared" si="16"/>
        <v>0</v>
      </c>
      <c r="AA18" s="117">
        <f t="shared" si="17"/>
        <v>0</v>
      </c>
      <c r="AC18" s="121" t="str">
        <f t="shared" si="18"/>
        <v/>
      </c>
      <c r="AD18" s="118">
        <f t="shared" si="19"/>
        <v>0</v>
      </c>
      <c r="AE18" s="117">
        <f t="shared" si="20"/>
        <v>0</v>
      </c>
      <c r="AF18" s="117">
        <f t="shared" si="21"/>
        <v>1</v>
      </c>
      <c r="AG18" s="117">
        <f t="shared" si="22"/>
        <v>1</v>
      </c>
      <c r="AH18" s="117">
        <f t="shared" si="23"/>
        <v>0</v>
      </c>
      <c r="AI18" s="117">
        <f t="shared" si="24"/>
        <v>0</v>
      </c>
      <c r="AJ18" s="117">
        <f t="shared" si="25"/>
        <v>0</v>
      </c>
    </row>
    <row r="19" spans="2:36" ht="16.5" customHeight="1">
      <c r="B19" s="14"/>
      <c r="C19" s="14"/>
      <c r="D19" s="8"/>
      <c r="E19" s="9" t="s">
        <v>181</v>
      </c>
      <c r="F19" s="5">
        <v>2</v>
      </c>
      <c r="G19" s="6">
        <v>0</v>
      </c>
      <c r="H19" s="7" t="str">
        <f t="shared" si="8"/>
        <v/>
      </c>
      <c r="I19" s="10"/>
      <c r="J19" s="8"/>
      <c r="K19" s="9" t="s">
        <v>207</v>
      </c>
      <c r="L19" s="5">
        <v>1</v>
      </c>
      <c r="M19" s="6">
        <v>1</v>
      </c>
      <c r="N19" s="7" t="str">
        <f t="shared" si="9"/>
        <v/>
      </c>
      <c r="O19" s="10"/>
      <c r="P19" s="31"/>
      <c r="Q19" s="30"/>
      <c r="T19" s="121" t="str">
        <f t="shared" si="10"/>
        <v/>
      </c>
      <c r="U19" s="118">
        <f t="shared" si="11"/>
        <v>0</v>
      </c>
      <c r="V19" s="117">
        <f t="shared" si="12"/>
        <v>0</v>
      </c>
      <c r="W19" s="117">
        <f t="shared" si="13"/>
        <v>1</v>
      </c>
      <c r="X19" s="117">
        <f t="shared" si="14"/>
        <v>2</v>
      </c>
      <c r="Y19" s="117">
        <f t="shared" si="15"/>
        <v>0</v>
      </c>
      <c r="Z19" s="117">
        <f t="shared" si="16"/>
        <v>0</v>
      </c>
      <c r="AA19" s="117">
        <f t="shared" si="17"/>
        <v>0</v>
      </c>
      <c r="AC19" s="121" t="str">
        <f t="shared" si="18"/>
        <v/>
      </c>
      <c r="AD19" s="118">
        <f t="shared" si="19"/>
        <v>0</v>
      </c>
      <c r="AE19" s="117">
        <f t="shared" si="20"/>
        <v>0</v>
      </c>
      <c r="AF19" s="117">
        <f t="shared" si="21"/>
        <v>0</v>
      </c>
      <c r="AG19" s="117">
        <f t="shared" si="22"/>
        <v>0</v>
      </c>
      <c r="AH19" s="117">
        <f t="shared" si="23"/>
        <v>3</v>
      </c>
      <c r="AI19" s="117">
        <f t="shared" si="24"/>
        <v>1</v>
      </c>
      <c r="AJ19" s="117">
        <f t="shared" si="25"/>
        <v>0</v>
      </c>
    </row>
    <row r="20" spans="2:36" ht="16.5" customHeight="1">
      <c r="B20" s="11"/>
      <c r="C20" s="11" t="s">
        <v>9</v>
      </c>
      <c r="D20" s="4"/>
      <c r="E20" s="4" t="s">
        <v>182</v>
      </c>
      <c r="F20" s="5">
        <v>2</v>
      </c>
      <c r="G20" s="6">
        <v>0</v>
      </c>
      <c r="H20" s="7" t="str">
        <f t="shared" si="8"/>
        <v/>
      </c>
      <c r="I20" s="7"/>
      <c r="J20" s="4"/>
      <c r="K20" s="4" t="s">
        <v>208</v>
      </c>
      <c r="L20" s="5">
        <v>2</v>
      </c>
      <c r="M20" s="6">
        <v>0</v>
      </c>
      <c r="N20" s="7" t="str">
        <f t="shared" si="9"/>
        <v/>
      </c>
      <c r="O20" s="7"/>
      <c r="P20" s="36" t="s">
        <v>25</v>
      </c>
      <c r="Q20" s="35"/>
      <c r="T20" s="121" t="str">
        <f t="shared" si="10"/>
        <v/>
      </c>
      <c r="U20" s="118">
        <f t="shared" si="11"/>
        <v>0</v>
      </c>
      <c r="V20" s="117">
        <f t="shared" si="12"/>
        <v>0</v>
      </c>
      <c r="W20" s="117">
        <f t="shared" si="13"/>
        <v>1</v>
      </c>
      <c r="X20" s="117">
        <f t="shared" si="14"/>
        <v>2</v>
      </c>
      <c r="Y20" s="117">
        <f t="shared" si="15"/>
        <v>0</v>
      </c>
      <c r="Z20" s="117">
        <f t="shared" si="16"/>
        <v>0</v>
      </c>
      <c r="AA20" s="117">
        <f t="shared" si="17"/>
        <v>0</v>
      </c>
      <c r="AC20" s="121" t="str">
        <f t="shared" si="18"/>
        <v/>
      </c>
      <c r="AD20" s="118">
        <f t="shared" si="19"/>
        <v>0</v>
      </c>
      <c r="AE20" s="117">
        <f t="shared" si="20"/>
        <v>0</v>
      </c>
      <c r="AF20" s="117">
        <f t="shared" si="21"/>
        <v>1</v>
      </c>
      <c r="AG20" s="117">
        <f t="shared" si="22"/>
        <v>2</v>
      </c>
      <c r="AH20" s="117">
        <f t="shared" si="23"/>
        <v>0</v>
      </c>
      <c r="AI20" s="117">
        <f t="shared" si="24"/>
        <v>0</v>
      </c>
      <c r="AJ20" s="117">
        <f t="shared" si="25"/>
        <v>0</v>
      </c>
    </row>
    <row r="21" spans="2:36" ht="16.5" customHeight="1">
      <c r="B21" s="11"/>
      <c r="C21" s="11"/>
      <c r="D21" s="8"/>
      <c r="E21" s="9" t="s">
        <v>183</v>
      </c>
      <c r="F21" s="5">
        <v>2</v>
      </c>
      <c r="G21" s="6">
        <v>1</v>
      </c>
      <c r="H21" s="7" t="str">
        <f t="shared" si="8"/>
        <v/>
      </c>
      <c r="I21" s="10"/>
      <c r="J21" s="8"/>
      <c r="K21" s="9" t="s">
        <v>209</v>
      </c>
      <c r="L21" s="5">
        <v>2</v>
      </c>
      <c r="M21" s="6">
        <v>1</v>
      </c>
      <c r="N21" s="7" t="str">
        <f t="shared" si="9"/>
        <v/>
      </c>
      <c r="O21" s="10"/>
      <c r="P21" s="36"/>
      <c r="Q21" s="35"/>
      <c r="T21" s="121" t="str">
        <f t="shared" si="10"/>
        <v/>
      </c>
      <c r="U21" s="118">
        <f t="shared" si="11"/>
        <v>0</v>
      </c>
      <c r="V21" s="117">
        <f t="shared" si="12"/>
        <v>0</v>
      </c>
      <c r="W21" s="117">
        <f t="shared" si="13"/>
        <v>1</v>
      </c>
      <c r="X21" s="117">
        <f t="shared" si="14"/>
        <v>1</v>
      </c>
      <c r="Y21" s="117">
        <f t="shared" si="15"/>
        <v>0</v>
      </c>
      <c r="Z21" s="117">
        <f t="shared" si="16"/>
        <v>0</v>
      </c>
      <c r="AA21" s="117">
        <f t="shared" si="17"/>
        <v>0</v>
      </c>
      <c r="AC21" s="121" t="str">
        <f t="shared" si="18"/>
        <v/>
      </c>
      <c r="AD21" s="118">
        <f t="shared" si="19"/>
        <v>0</v>
      </c>
      <c r="AE21" s="117">
        <f t="shared" si="20"/>
        <v>0</v>
      </c>
      <c r="AF21" s="117">
        <f t="shared" si="21"/>
        <v>1</v>
      </c>
      <c r="AG21" s="117">
        <f t="shared" si="22"/>
        <v>1</v>
      </c>
      <c r="AH21" s="117">
        <f t="shared" si="23"/>
        <v>0</v>
      </c>
      <c r="AI21" s="117">
        <f t="shared" si="24"/>
        <v>0</v>
      </c>
      <c r="AJ21" s="117">
        <f t="shared" si="25"/>
        <v>0</v>
      </c>
    </row>
    <row r="22" spans="2:36" ht="16.5" customHeight="1">
      <c r="B22" s="11"/>
      <c r="C22" s="11"/>
      <c r="D22" s="4"/>
      <c r="E22" s="4" t="s">
        <v>184</v>
      </c>
      <c r="F22" s="5">
        <v>2</v>
      </c>
      <c r="G22" s="6">
        <v>0</v>
      </c>
      <c r="H22" s="7" t="str">
        <f t="shared" si="8"/>
        <v/>
      </c>
      <c r="I22" s="7"/>
      <c r="J22" s="4"/>
      <c r="K22" s="4" t="s">
        <v>210</v>
      </c>
      <c r="L22" s="5">
        <v>3</v>
      </c>
      <c r="M22" s="6">
        <v>1</v>
      </c>
      <c r="N22" s="7" t="str">
        <f t="shared" si="9"/>
        <v/>
      </c>
      <c r="O22" s="7"/>
      <c r="P22" s="36"/>
      <c r="Q22" s="35"/>
      <c r="T22" s="121" t="str">
        <f t="shared" si="10"/>
        <v/>
      </c>
      <c r="U22" s="118">
        <f t="shared" si="11"/>
        <v>0</v>
      </c>
      <c r="V22" s="117">
        <f t="shared" si="12"/>
        <v>0</v>
      </c>
      <c r="W22" s="117">
        <f t="shared" si="13"/>
        <v>1</v>
      </c>
      <c r="X22" s="117">
        <f t="shared" si="14"/>
        <v>2</v>
      </c>
      <c r="Y22" s="117">
        <f t="shared" si="15"/>
        <v>0</v>
      </c>
      <c r="Z22" s="117">
        <f t="shared" si="16"/>
        <v>0</v>
      </c>
      <c r="AA22" s="117">
        <f t="shared" si="17"/>
        <v>0</v>
      </c>
      <c r="AC22" s="121" t="str">
        <f t="shared" si="18"/>
        <v/>
      </c>
      <c r="AD22" s="118">
        <f t="shared" si="19"/>
        <v>0</v>
      </c>
      <c r="AE22" s="117">
        <f t="shared" si="20"/>
        <v>0</v>
      </c>
      <c r="AF22" s="117">
        <f t="shared" si="21"/>
        <v>1</v>
      </c>
      <c r="AG22" s="117">
        <f t="shared" si="22"/>
        <v>2</v>
      </c>
      <c r="AH22" s="117">
        <f t="shared" si="23"/>
        <v>0</v>
      </c>
      <c r="AI22" s="117">
        <f t="shared" si="24"/>
        <v>0</v>
      </c>
      <c r="AJ22" s="117">
        <f t="shared" si="25"/>
        <v>0</v>
      </c>
    </row>
    <row r="23" spans="2:36" ht="16.5" customHeight="1">
      <c r="B23" s="11"/>
      <c r="C23" s="11"/>
      <c r="D23" s="8"/>
      <c r="E23" s="9" t="s">
        <v>222</v>
      </c>
      <c r="F23" s="5">
        <v>2</v>
      </c>
      <c r="G23" s="6">
        <v>0</v>
      </c>
      <c r="H23" s="7" t="str">
        <f t="shared" si="8"/>
        <v/>
      </c>
      <c r="I23" s="10"/>
      <c r="J23" s="8"/>
      <c r="K23" s="9" t="s">
        <v>211</v>
      </c>
      <c r="L23" s="5">
        <v>3</v>
      </c>
      <c r="M23" s="6">
        <v>1</v>
      </c>
      <c r="N23" s="7" t="str">
        <f t="shared" si="9"/>
        <v/>
      </c>
      <c r="O23" s="10"/>
      <c r="P23" s="36"/>
      <c r="Q23" s="35"/>
      <c r="T23" s="121" t="str">
        <f t="shared" si="10"/>
        <v/>
      </c>
      <c r="U23" s="118">
        <f t="shared" si="11"/>
        <v>0</v>
      </c>
      <c r="V23" s="117">
        <f t="shared" si="12"/>
        <v>0</v>
      </c>
      <c r="W23" s="117">
        <f t="shared" si="13"/>
        <v>1</v>
      </c>
      <c r="X23" s="117">
        <f t="shared" si="14"/>
        <v>2</v>
      </c>
      <c r="Y23" s="117">
        <f t="shared" si="15"/>
        <v>0</v>
      </c>
      <c r="Z23" s="117">
        <f t="shared" si="16"/>
        <v>0</v>
      </c>
      <c r="AA23" s="117">
        <f t="shared" si="17"/>
        <v>0</v>
      </c>
      <c r="AC23" s="121" t="str">
        <f t="shared" si="18"/>
        <v/>
      </c>
      <c r="AD23" s="118">
        <f t="shared" si="19"/>
        <v>0</v>
      </c>
      <c r="AE23" s="117">
        <f t="shared" si="20"/>
        <v>0</v>
      </c>
      <c r="AF23" s="117">
        <f t="shared" si="21"/>
        <v>1</v>
      </c>
      <c r="AG23" s="117">
        <f t="shared" si="22"/>
        <v>2</v>
      </c>
      <c r="AH23" s="117">
        <f t="shared" si="23"/>
        <v>0</v>
      </c>
      <c r="AI23" s="117">
        <f t="shared" si="24"/>
        <v>0</v>
      </c>
      <c r="AJ23" s="117">
        <f t="shared" si="25"/>
        <v>0</v>
      </c>
    </row>
    <row r="24" spans="2:36" ht="16.5" customHeight="1">
      <c r="B24" s="11"/>
      <c r="C24" s="11"/>
      <c r="D24" s="4"/>
      <c r="E24" s="4" t="s">
        <v>185</v>
      </c>
      <c r="F24" s="5">
        <v>2</v>
      </c>
      <c r="G24" s="6">
        <v>1</v>
      </c>
      <c r="H24" s="7" t="str">
        <f t="shared" si="8"/>
        <v/>
      </c>
      <c r="I24" s="7"/>
      <c r="J24" s="4"/>
      <c r="K24" s="4" t="s">
        <v>212</v>
      </c>
      <c r="L24" s="5">
        <v>2</v>
      </c>
      <c r="M24" s="6">
        <v>1</v>
      </c>
      <c r="N24" s="7" t="str">
        <f t="shared" si="9"/>
        <v/>
      </c>
      <c r="O24" s="7"/>
      <c r="P24" s="36"/>
      <c r="Q24" s="35"/>
      <c r="T24" s="121" t="str">
        <f t="shared" si="10"/>
        <v/>
      </c>
      <c r="U24" s="118">
        <f t="shared" si="11"/>
        <v>0</v>
      </c>
      <c r="V24" s="117">
        <f t="shared" si="12"/>
        <v>0</v>
      </c>
      <c r="W24" s="117">
        <f t="shared" si="13"/>
        <v>1</v>
      </c>
      <c r="X24" s="117">
        <f t="shared" si="14"/>
        <v>1</v>
      </c>
      <c r="Y24" s="117">
        <f t="shared" si="15"/>
        <v>0</v>
      </c>
      <c r="Z24" s="117">
        <f t="shared" si="16"/>
        <v>0</v>
      </c>
      <c r="AA24" s="117">
        <f t="shared" si="17"/>
        <v>0</v>
      </c>
      <c r="AC24" s="121" t="str">
        <f t="shared" si="18"/>
        <v/>
      </c>
      <c r="AD24" s="118">
        <f t="shared" si="19"/>
        <v>0</v>
      </c>
      <c r="AE24" s="117">
        <f t="shared" si="20"/>
        <v>0</v>
      </c>
      <c r="AF24" s="117">
        <f t="shared" si="21"/>
        <v>1</v>
      </c>
      <c r="AG24" s="117">
        <f t="shared" si="22"/>
        <v>1</v>
      </c>
      <c r="AH24" s="117">
        <f t="shared" si="23"/>
        <v>0</v>
      </c>
      <c r="AI24" s="117">
        <f t="shared" si="24"/>
        <v>0</v>
      </c>
      <c r="AJ24" s="117">
        <f t="shared" si="25"/>
        <v>0</v>
      </c>
    </row>
    <row r="25" spans="2:36" ht="16.5" customHeight="1">
      <c r="B25" s="11"/>
      <c r="C25" s="11"/>
      <c r="D25" s="8"/>
      <c r="E25" s="9" t="s">
        <v>186</v>
      </c>
      <c r="F25" s="5">
        <v>3</v>
      </c>
      <c r="G25" s="6">
        <v>1</v>
      </c>
      <c r="H25" s="7" t="str">
        <f t="shared" si="8"/>
        <v/>
      </c>
      <c r="I25" s="10"/>
      <c r="J25" s="8"/>
      <c r="K25" s="9" t="s">
        <v>213</v>
      </c>
      <c r="L25" s="5">
        <v>1</v>
      </c>
      <c r="M25" s="6">
        <v>1</v>
      </c>
      <c r="N25" s="7" t="str">
        <f t="shared" si="9"/>
        <v/>
      </c>
      <c r="O25" s="10"/>
      <c r="P25" s="36"/>
      <c r="Q25" s="35"/>
      <c r="T25" s="121" t="str">
        <f t="shared" si="10"/>
        <v/>
      </c>
      <c r="U25" s="118">
        <f t="shared" si="11"/>
        <v>0</v>
      </c>
      <c r="V25" s="117">
        <f t="shared" si="12"/>
        <v>0</v>
      </c>
      <c r="W25" s="117">
        <f t="shared" si="13"/>
        <v>1</v>
      </c>
      <c r="X25" s="117">
        <f t="shared" si="14"/>
        <v>2</v>
      </c>
      <c r="Y25" s="117">
        <f t="shared" si="15"/>
        <v>0</v>
      </c>
      <c r="Z25" s="117">
        <f t="shared" si="16"/>
        <v>0</v>
      </c>
      <c r="AA25" s="117">
        <f t="shared" si="17"/>
        <v>0</v>
      </c>
      <c r="AC25" s="121" t="str">
        <f t="shared" si="18"/>
        <v/>
      </c>
      <c r="AD25" s="118">
        <f t="shared" si="19"/>
        <v>0</v>
      </c>
      <c r="AE25" s="117">
        <f t="shared" si="20"/>
        <v>0</v>
      </c>
      <c r="AF25" s="117">
        <f t="shared" si="21"/>
        <v>0</v>
      </c>
      <c r="AG25" s="117">
        <f t="shared" si="22"/>
        <v>0</v>
      </c>
      <c r="AH25" s="117">
        <f t="shared" si="23"/>
        <v>3</v>
      </c>
      <c r="AI25" s="117">
        <f t="shared" si="24"/>
        <v>1</v>
      </c>
      <c r="AJ25" s="117">
        <f t="shared" si="25"/>
        <v>0</v>
      </c>
    </row>
    <row r="26" spans="2:36" ht="16.5" customHeight="1">
      <c r="B26" s="11"/>
      <c r="C26" s="11"/>
      <c r="D26" s="4"/>
      <c r="E26" s="4" t="s">
        <v>187</v>
      </c>
      <c r="F26" s="5">
        <v>2</v>
      </c>
      <c r="G26" s="6">
        <v>1</v>
      </c>
      <c r="H26" s="7" t="str">
        <f t="shared" si="8"/>
        <v/>
      </c>
      <c r="I26" s="7"/>
      <c r="J26" s="4"/>
      <c r="K26" s="4" t="s">
        <v>214</v>
      </c>
      <c r="L26" s="5">
        <v>2</v>
      </c>
      <c r="M26" s="6">
        <v>0</v>
      </c>
      <c r="N26" s="7" t="str">
        <f t="shared" si="9"/>
        <v/>
      </c>
      <c r="O26" s="7"/>
      <c r="P26" s="36"/>
      <c r="Q26" s="35"/>
      <c r="T26" s="121" t="str">
        <f t="shared" si="10"/>
        <v/>
      </c>
      <c r="U26" s="118">
        <f t="shared" si="11"/>
        <v>0</v>
      </c>
      <c r="V26" s="117">
        <f t="shared" si="12"/>
        <v>0</v>
      </c>
      <c r="W26" s="117">
        <f t="shared" si="13"/>
        <v>1</v>
      </c>
      <c r="X26" s="117">
        <f t="shared" si="14"/>
        <v>1</v>
      </c>
      <c r="Y26" s="117">
        <f t="shared" si="15"/>
        <v>0</v>
      </c>
      <c r="Z26" s="117">
        <f t="shared" si="16"/>
        <v>0</v>
      </c>
      <c r="AA26" s="117">
        <f t="shared" si="17"/>
        <v>0</v>
      </c>
      <c r="AC26" s="121" t="str">
        <f t="shared" si="18"/>
        <v/>
      </c>
      <c r="AD26" s="118">
        <f t="shared" si="19"/>
        <v>0</v>
      </c>
      <c r="AE26" s="117">
        <f t="shared" si="20"/>
        <v>0</v>
      </c>
      <c r="AF26" s="117">
        <f t="shared" si="21"/>
        <v>1</v>
      </c>
      <c r="AG26" s="117">
        <f t="shared" si="22"/>
        <v>2</v>
      </c>
      <c r="AH26" s="117">
        <f t="shared" si="23"/>
        <v>0</v>
      </c>
      <c r="AI26" s="117">
        <f t="shared" si="24"/>
        <v>0</v>
      </c>
      <c r="AJ26" s="117">
        <f t="shared" si="25"/>
        <v>0</v>
      </c>
    </row>
    <row r="27" spans="2:36" ht="16.5" customHeight="1">
      <c r="B27" s="15"/>
      <c r="C27" s="15" t="s">
        <v>10</v>
      </c>
      <c r="D27" s="8"/>
      <c r="E27" s="9" t="s">
        <v>188</v>
      </c>
      <c r="F27" s="5">
        <v>2</v>
      </c>
      <c r="G27" s="6">
        <v>1</v>
      </c>
      <c r="H27" s="7" t="str">
        <f t="shared" si="8"/>
        <v/>
      </c>
      <c r="I27" s="10"/>
      <c r="J27" s="8"/>
      <c r="K27" s="9" t="s">
        <v>215</v>
      </c>
      <c r="L27" s="5">
        <v>2</v>
      </c>
      <c r="M27" s="6">
        <v>0</v>
      </c>
      <c r="N27" s="7" t="str">
        <f t="shared" si="9"/>
        <v/>
      </c>
      <c r="O27" s="10"/>
      <c r="P27" s="39" t="s">
        <v>26</v>
      </c>
      <c r="Q27" s="38"/>
      <c r="T27" s="121" t="str">
        <f t="shared" si="10"/>
        <v/>
      </c>
      <c r="U27" s="118">
        <f t="shared" si="11"/>
        <v>0</v>
      </c>
      <c r="V27" s="117">
        <f t="shared" si="12"/>
        <v>0</v>
      </c>
      <c r="W27" s="117">
        <f t="shared" si="13"/>
        <v>1</v>
      </c>
      <c r="X27" s="117">
        <f t="shared" si="14"/>
        <v>1</v>
      </c>
      <c r="Y27" s="117">
        <f t="shared" si="15"/>
        <v>0</v>
      </c>
      <c r="Z27" s="117">
        <f t="shared" si="16"/>
        <v>0</v>
      </c>
      <c r="AA27" s="117">
        <f t="shared" si="17"/>
        <v>0</v>
      </c>
      <c r="AC27" s="121" t="str">
        <f t="shared" si="18"/>
        <v/>
      </c>
      <c r="AD27" s="118">
        <f t="shared" si="19"/>
        <v>0</v>
      </c>
      <c r="AE27" s="117">
        <f t="shared" si="20"/>
        <v>0</v>
      </c>
      <c r="AF27" s="117">
        <f t="shared" si="21"/>
        <v>1</v>
      </c>
      <c r="AG27" s="117">
        <f t="shared" si="22"/>
        <v>2</v>
      </c>
      <c r="AH27" s="117">
        <f t="shared" si="23"/>
        <v>0</v>
      </c>
      <c r="AI27" s="117">
        <f t="shared" si="24"/>
        <v>0</v>
      </c>
      <c r="AJ27" s="117">
        <f t="shared" si="25"/>
        <v>0</v>
      </c>
    </row>
    <row r="28" spans="2:36" ht="16.5" customHeight="1">
      <c r="B28" s="15"/>
      <c r="C28" s="15"/>
      <c r="D28" s="4"/>
      <c r="E28" s="4" t="s">
        <v>189</v>
      </c>
      <c r="F28" s="5">
        <v>1</v>
      </c>
      <c r="G28" s="6">
        <v>0</v>
      </c>
      <c r="H28" s="7" t="str">
        <f t="shared" si="8"/>
        <v/>
      </c>
      <c r="I28" s="7"/>
      <c r="J28" s="4"/>
      <c r="K28" s="4" t="s">
        <v>216</v>
      </c>
      <c r="L28" s="5">
        <v>2</v>
      </c>
      <c r="M28" s="6">
        <v>0</v>
      </c>
      <c r="N28" s="7" t="str">
        <f t="shared" si="9"/>
        <v/>
      </c>
      <c r="O28" s="7"/>
      <c r="P28" s="39"/>
      <c r="Q28" s="38"/>
      <c r="T28" s="121" t="str">
        <f t="shared" si="10"/>
        <v/>
      </c>
      <c r="U28" s="118">
        <f t="shared" si="11"/>
        <v>0</v>
      </c>
      <c r="V28" s="117">
        <f t="shared" si="12"/>
        <v>0</v>
      </c>
      <c r="W28" s="117">
        <f t="shared" si="13"/>
        <v>1</v>
      </c>
      <c r="X28" s="117">
        <f t="shared" si="14"/>
        <v>1</v>
      </c>
      <c r="Y28" s="117">
        <f t="shared" si="15"/>
        <v>0</v>
      </c>
      <c r="Z28" s="117">
        <f t="shared" si="16"/>
        <v>0</v>
      </c>
      <c r="AA28" s="117">
        <f t="shared" si="17"/>
        <v>0</v>
      </c>
      <c r="AC28" s="121" t="str">
        <f t="shared" si="18"/>
        <v/>
      </c>
      <c r="AD28" s="118">
        <f t="shared" si="19"/>
        <v>0</v>
      </c>
      <c r="AE28" s="117">
        <f t="shared" si="20"/>
        <v>0</v>
      </c>
      <c r="AF28" s="117">
        <f t="shared" si="21"/>
        <v>1</v>
      </c>
      <c r="AG28" s="117">
        <f t="shared" si="22"/>
        <v>2</v>
      </c>
      <c r="AH28" s="117">
        <f t="shared" si="23"/>
        <v>0</v>
      </c>
      <c r="AI28" s="117">
        <f t="shared" si="24"/>
        <v>0</v>
      </c>
      <c r="AJ28" s="117">
        <f t="shared" si="25"/>
        <v>0</v>
      </c>
    </row>
    <row r="29" spans="2:36" ht="16.5" customHeight="1">
      <c r="B29" s="15"/>
      <c r="C29" s="15"/>
      <c r="D29" s="8"/>
      <c r="E29" s="9" t="s">
        <v>190</v>
      </c>
      <c r="F29" s="5">
        <v>2</v>
      </c>
      <c r="G29" s="6">
        <v>0</v>
      </c>
      <c r="H29" s="7" t="str">
        <f t="shared" si="8"/>
        <v/>
      </c>
      <c r="I29" s="10"/>
      <c r="J29" s="8"/>
      <c r="K29" s="9" t="s">
        <v>217</v>
      </c>
      <c r="L29" s="5">
        <v>3</v>
      </c>
      <c r="M29" s="6">
        <v>1</v>
      </c>
      <c r="N29" s="7" t="str">
        <f t="shared" si="9"/>
        <v/>
      </c>
      <c r="O29" s="10"/>
      <c r="P29" s="39"/>
      <c r="Q29" s="38"/>
      <c r="T29" s="121" t="str">
        <f t="shared" si="10"/>
        <v/>
      </c>
      <c r="U29" s="118">
        <f t="shared" si="11"/>
        <v>0</v>
      </c>
      <c r="V29" s="117">
        <f t="shared" si="12"/>
        <v>0</v>
      </c>
      <c r="W29" s="117">
        <f t="shared" si="13"/>
        <v>1</v>
      </c>
      <c r="X29" s="117">
        <f t="shared" si="14"/>
        <v>2</v>
      </c>
      <c r="Y29" s="117">
        <f t="shared" si="15"/>
        <v>0</v>
      </c>
      <c r="Z29" s="117">
        <f t="shared" si="16"/>
        <v>0</v>
      </c>
      <c r="AA29" s="117">
        <f t="shared" si="17"/>
        <v>0</v>
      </c>
      <c r="AC29" s="121" t="str">
        <f t="shared" si="18"/>
        <v/>
      </c>
      <c r="AD29" s="118">
        <f t="shared" si="19"/>
        <v>0</v>
      </c>
      <c r="AE29" s="117">
        <f t="shared" si="20"/>
        <v>0</v>
      </c>
      <c r="AF29" s="117">
        <f t="shared" si="21"/>
        <v>1</v>
      </c>
      <c r="AG29" s="117">
        <f t="shared" si="22"/>
        <v>2</v>
      </c>
      <c r="AH29" s="117">
        <f t="shared" si="23"/>
        <v>0</v>
      </c>
      <c r="AI29" s="117">
        <f t="shared" si="24"/>
        <v>0</v>
      </c>
      <c r="AJ29" s="117">
        <f t="shared" si="25"/>
        <v>0</v>
      </c>
    </row>
    <row r="30" spans="2:36" ht="16.5" customHeight="1">
      <c r="B30" s="15"/>
      <c r="C30" s="15"/>
      <c r="D30" s="4"/>
      <c r="E30" s="4" t="s">
        <v>191</v>
      </c>
      <c r="F30" s="5">
        <v>1</v>
      </c>
      <c r="G30" s="6">
        <v>0</v>
      </c>
      <c r="H30" s="7" t="str">
        <f t="shared" si="8"/>
        <v/>
      </c>
      <c r="I30" s="7"/>
      <c r="J30" s="4"/>
      <c r="K30" s="4" t="s">
        <v>218</v>
      </c>
      <c r="L30" s="5">
        <v>2</v>
      </c>
      <c r="M30" s="6">
        <v>1</v>
      </c>
      <c r="N30" s="7" t="str">
        <f t="shared" si="9"/>
        <v/>
      </c>
      <c r="O30" s="7"/>
      <c r="P30" s="39"/>
      <c r="Q30" s="38"/>
      <c r="T30" s="121" t="str">
        <f t="shared" si="10"/>
        <v/>
      </c>
      <c r="U30" s="118">
        <f t="shared" si="11"/>
        <v>0</v>
      </c>
      <c r="V30" s="117">
        <f t="shared" si="12"/>
        <v>0</v>
      </c>
      <c r="W30" s="117">
        <f t="shared" si="13"/>
        <v>1</v>
      </c>
      <c r="X30" s="117">
        <f t="shared" si="14"/>
        <v>1</v>
      </c>
      <c r="Y30" s="117">
        <f t="shared" si="15"/>
        <v>0</v>
      </c>
      <c r="Z30" s="117">
        <f t="shared" si="16"/>
        <v>0</v>
      </c>
      <c r="AA30" s="117">
        <f t="shared" si="17"/>
        <v>0</v>
      </c>
      <c r="AC30" s="121" t="str">
        <f t="shared" si="18"/>
        <v/>
      </c>
      <c r="AD30" s="118">
        <f t="shared" si="19"/>
        <v>0</v>
      </c>
      <c r="AE30" s="117">
        <f t="shared" si="20"/>
        <v>0</v>
      </c>
      <c r="AF30" s="117">
        <f t="shared" si="21"/>
        <v>1</v>
      </c>
      <c r="AG30" s="117">
        <f t="shared" si="22"/>
        <v>1</v>
      </c>
      <c r="AH30" s="117">
        <f t="shared" si="23"/>
        <v>0</v>
      </c>
      <c r="AI30" s="117">
        <f t="shared" si="24"/>
        <v>0</v>
      </c>
      <c r="AJ30" s="117">
        <f t="shared" si="25"/>
        <v>0</v>
      </c>
    </row>
    <row r="31" spans="2:36" ht="16.5" customHeight="1">
      <c r="B31" s="15"/>
      <c r="C31" s="15"/>
      <c r="D31" s="8"/>
      <c r="E31" s="9" t="s">
        <v>192</v>
      </c>
      <c r="F31" s="5">
        <v>2</v>
      </c>
      <c r="G31" s="6">
        <v>0</v>
      </c>
      <c r="H31" s="7" t="str">
        <f t="shared" si="8"/>
        <v/>
      </c>
      <c r="I31" s="10"/>
      <c r="J31" s="8"/>
      <c r="K31" s="9" t="s">
        <v>219</v>
      </c>
      <c r="L31" s="5">
        <v>2</v>
      </c>
      <c r="M31" s="6">
        <v>1</v>
      </c>
      <c r="N31" s="7" t="str">
        <f t="shared" si="9"/>
        <v/>
      </c>
      <c r="O31" s="10"/>
      <c r="P31" s="39"/>
      <c r="Q31" s="38"/>
      <c r="T31" s="121" t="str">
        <f t="shared" si="10"/>
        <v/>
      </c>
      <c r="U31" s="118">
        <f t="shared" si="11"/>
        <v>0</v>
      </c>
      <c r="V31" s="117">
        <f t="shared" si="12"/>
        <v>0</v>
      </c>
      <c r="W31" s="117">
        <f t="shared" si="13"/>
        <v>1</v>
      </c>
      <c r="X31" s="117">
        <f t="shared" si="14"/>
        <v>2</v>
      </c>
      <c r="Y31" s="117">
        <f t="shared" si="15"/>
        <v>0</v>
      </c>
      <c r="Z31" s="117">
        <f t="shared" si="16"/>
        <v>0</v>
      </c>
      <c r="AA31" s="117">
        <f t="shared" si="17"/>
        <v>0</v>
      </c>
      <c r="AC31" s="121" t="str">
        <f t="shared" si="18"/>
        <v/>
      </c>
      <c r="AD31" s="118">
        <f t="shared" si="19"/>
        <v>0</v>
      </c>
      <c r="AE31" s="117">
        <f t="shared" si="20"/>
        <v>0</v>
      </c>
      <c r="AF31" s="117">
        <f t="shared" si="21"/>
        <v>1</v>
      </c>
      <c r="AG31" s="117">
        <f t="shared" si="22"/>
        <v>1</v>
      </c>
      <c r="AH31" s="117">
        <f t="shared" si="23"/>
        <v>0</v>
      </c>
      <c r="AI31" s="117">
        <f t="shared" si="24"/>
        <v>0</v>
      </c>
      <c r="AJ31" s="117">
        <f t="shared" si="25"/>
        <v>0</v>
      </c>
    </row>
    <row r="32" spans="2:36" ht="16.5" customHeight="1">
      <c r="B32" s="15"/>
      <c r="C32" s="15"/>
      <c r="D32" s="4"/>
      <c r="E32" s="4" t="s">
        <v>193</v>
      </c>
      <c r="F32" s="5">
        <v>2</v>
      </c>
      <c r="G32" s="6">
        <v>1</v>
      </c>
      <c r="H32" s="7" t="str">
        <f t="shared" si="8"/>
        <v/>
      </c>
      <c r="I32" s="7"/>
      <c r="J32" s="4"/>
      <c r="K32" s="4" t="s">
        <v>220</v>
      </c>
      <c r="L32" s="5">
        <v>3</v>
      </c>
      <c r="M32" s="6">
        <v>2</v>
      </c>
      <c r="N32" s="7" t="str">
        <f t="shared" si="9"/>
        <v/>
      </c>
      <c r="O32" s="7"/>
      <c r="P32" s="39"/>
      <c r="Q32" s="38"/>
      <c r="T32" s="121" t="str">
        <f t="shared" si="10"/>
        <v/>
      </c>
      <c r="U32" s="118">
        <f t="shared" si="11"/>
        <v>0</v>
      </c>
      <c r="V32" s="117">
        <f t="shared" si="12"/>
        <v>0</v>
      </c>
      <c r="W32" s="117">
        <f t="shared" si="13"/>
        <v>1</v>
      </c>
      <c r="X32" s="117">
        <f t="shared" si="14"/>
        <v>1</v>
      </c>
      <c r="Y32" s="117">
        <f t="shared" si="15"/>
        <v>0</v>
      </c>
      <c r="Z32" s="117">
        <f t="shared" si="16"/>
        <v>0</v>
      </c>
      <c r="AA32" s="117">
        <f t="shared" si="17"/>
        <v>0</v>
      </c>
      <c r="AC32" s="121" t="str">
        <f t="shared" si="18"/>
        <v/>
      </c>
      <c r="AD32" s="118">
        <f t="shared" si="19"/>
        <v>0</v>
      </c>
      <c r="AE32" s="117">
        <f t="shared" si="20"/>
        <v>0</v>
      </c>
      <c r="AF32" s="117">
        <f t="shared" si="21"/>
        <v>1</v>
      </c>
      <c r="AG32" s="117">
        <f t="shared" si="22"/>
        <v>1</v>
      </c>
      <c r="AH32" s="117">
        <f t="shared" si="23"/>
        <v>0</v>
      </c>
      <c r="AI32" s="117">
        <f t="shared" si="24"/>
        <v>0</v>
      </c>
      <c r="AJ32" s="117">
        <f t="shared" si="25"/>
        <v>0</v>
      </c>
    </row>
    <row r="33" spans="2:36" ht="16.5" customHeight="1">
      <c r="B33" s="15"/>
      <c r="C33" s="15"/>
      <c r="D33" s="8"/>
      <c r="E33" s="9" t="s">
        <v>194</v>
      </c>
      <c r="F33" s="5">
        <v>2</v>
      </c>
      <c r="G33" s="6">
        <v>0</v>
      </c>
      <c r="H33" s="7" t="str">
        <f t="shared" si="8"/>
        <v/>
      </c>
      <c r="I33" s="10"/>
      <c r="J33" s="8"/>
      <c r="K33" s="9" t="s">
        <v>221</v>
      </c>
      <c r="L33" s="5">
        <v>3</v>
      </c>
      <c r="M33" s="6">
        <v>1</v>
      </c>
      <c r="N33" s="7" t="str">
        <f t="shared" si="9"/>
        <v/>
      </c>
      <c r="O33" s="10"/>
      <c r="P33" s="39"/>
      <c r="Q33" s="38"/>
      <c r="T33" s="121" t="str">
        <f t="shared" si="10"/>
        <v/>
      </c>
      <c r="U33" s="118">
        <f t="shared" si="11"/>
        <v>0</v>
      </c>
      <c r="V33" s="117">
        <f t="shared" si="12"/>
        <v>0</v>
      </c>
      <c r="W33" s="117">
        <f t="shared" si="13"/>
        <v>1</v>
      </c>
      <c r="X33" s="117">
        <f t="shared" si="14"/>
        <v>2</v>
      </c>
      <c r="Y33" s="117">
        <f t="shared" si="15"/>
        <v>0</v>
      </c>
      <c r="Z33" s="117">
        <f t="shared" si="16"/>
        <v>0</v>
      </c>
      <c r="AA33" s="117">
        <f t="shared" si="17"/>
        <v>0</v>
      </c>
      <c r="AC33" s="121" t="str">
        <f t="shared" si="18"/>
        <v/>
      </c>
      <c r="AD33" s="118">
        <f t="shared" si="19"/>
        <v>0</v>
      </c>
      <c r="AE33" s="117">
        <f t="shared" si="20"/>
        <v>0</v>
      </c>
      <c r="AF33" s="117">
        <f t="shared" si="21"/>
        <v>1</v>
      </c>
      <c r="AG33" s="117">
        <f t="shared" si="22"/>
        <v>2</v>
      </c>
      <c r="AH33" s="117">
        <f t="shared" si="23"/>
        <v>0</v>
      </c>
      <c r="AI33" s="117">
        <f t="shared" si="24"/>
        <v>0</v>
      </c>
      <c r="AJ33" s="117">
        <f t="shared" si="25"/>
        <v>0</v>
      </c>
    </row>
    <row r="35" spans="2:36" ht="23.25">
      <c r="B35" s="33" t="s">
        <v>117</v>
      </c>
      <c r="D35" s="52"/>
      <c r="E35" s="55" t="s">
        <v>60</v>
      </c>
      <c r="F35" s="56"/>
      <c r="G35" s="57"/>
      <c r="H35" s="57"/>
      <c r="I35" s="56"/>
      <c r="J35" s="84"/>
      <c r="K35" s="84" t="s">
        <v>31</v>
      </c>
      <c r="M35" s="87"/>
      <c r="N35" s="88"/>
      <c r="O35" s="88"/>
      <c r="P35" s="89"/>
      <c r="Q35" s="88"/>
      <c r="R35" s="88"/>
    </row>
    <row r="37" spans="2:36" ht="16.5" customHeight="1">
      <c r="B37" s="12"/>
      <c r="C37" s="12" t="s">
        <v>7</v>
      </c>
      <c r="D37" s="4"/>
      <c r="E37" s="4" t="s">
        <v>32</v>
      </c>
      <c r="F37" s="5">
        <v>1</v>
      </c>
      <c r="G37" s="6">
        <v>1</v>
      </c>
      <c r="H37" s="7" t="s">
        <v>224</v>
      </c>
      <c r="I37" s="7"/>
      <c r="J37" s="4"/>
      <c r="K37" s="4" t="s">
        <v>195</v>
      </c>
      <c r="L37" s="5">
        <v>2</v>
      </c>
      <c r="M37" s="6">
        <v>1</v>
      </c>
      <c r="N37" s="7" t="str">
        <f>AC37</f>
        <v/>
      </c>
      <c r="O37" s="7"/>
      <c r="P37" s="24" t="s">
        <v>13</v>
      </c>
      <c r="Q37" s="13"/>
      <c r="T37" s="121" t="str">
        <f>IF($G$35="","",SUM(Y37:AA37))</f>
        <v/>
      </c>
      <c r="U37" s="118">
        <f t="shared" ref="U37" si="26">IF(V37&gt;0,1,IF(V37=0,0,2))</f>
        <v>0</v>
      </c>
      <c r="V37" s="117">
        <f>$G$35-$H$35</f>
        <v>0</v>
      </c>
      <c r="W37" s="117">
        <f t="shared" ref="W37" si="27">IF(X37&gt;0,1,IF(X37=0,0,2))</f>
        <v>0</v>
      </c>
      <c r="X37" s="117">
        <f>F37-G37</f>
        <v>0</v>
      </c>
      <c r="Y37" s="117">
        <f t="shared" ref="Y37" si="28">IF(U37=W37,3,0)</f>
        <v>3</v>
      </c>
      <c r="Z37" s="117">
        <f t="shared" ref="Z37" si="29">IF(V37=X37,1,0)</f>
        <v>1</v>
      </c>
      <c r="AA37" s="117">
        <f>IF(Z37=1,IF($G$35=F37,1,0),0)</f>
        <v>0</v>
      </c>
      <c r="AC37" s="121" t="str">
        <f>IF($G$35="","",SUM(AH37:AJ37))</f>
        <v/>
      </c>
      <c r="AD37" s="118">
        <f t="shared" ref="AD37" si="30">IF(AE37&gt;0,1,IF(AE37=0,0,2))</f>
        <v>0</v>
      </c>
      <c r="AE37" s="117">
        <f>$G$35-$H$35</f>
        <v>0</v>
      </c>
      <c r="AF37" s="117">
        <f t="shared" ref="AF37" si="31">IF(AG37&gt;0,1,IF(AG37=0,0,2))</f>
        <v>1</v>
      </c>
      <c r="AG37" s="117">
        <f>L37-M37</f>
        <v>1</v>
      </c>
      <c r="AH37" s="117">
        <f t="shared" ref="AH37" si="32">IF(AD37=AF37,3,0)</f>
        <v>0</v>
      </c>
      <c r="AI37" s="117">
        <f t="shared" ref="AI37" si="33">IF(AE37=AG37,1,0)</f>
        <v>0</v>
      </c>
      <c r="AJ37" s="117">
        <f>IF(AI37=1,IF($G$35=L37,1,0),0)</f>
        <v>0</v>
      </c>
    </row>
    <row r="38" spans="2:36" ht="16.5" customHeight="1">
      <c r="B38" s="12"/>
      <c r="C38" s="12"/>
      <c r="D38" s="8"/>
      <c r="E38" s="9" t="s">
        <v>170</v>
      </c>
      <c r="F38" s="5">
        <v>1</v>
      </c>
      <c r="G38" s="6">
        <v>1</v>
      </c>
      <c r="H38" s="7" t="s">
        <v>224</v>
      </c>
      <c r="I38" s="10"/>
      <c r="J38" s="8"/>
      <c r="K38" s="9" t="s">
        <v>196</v>
      </c>
      <c r="L38" s="5">
        <v>2</v>
      </c>
      <c r="M38" s="6">
        <v>3</v>
      </c>
      <c r="N38" s="7" t="str">
        <f t="shared" ref="N38:N64" si="34">AC38</f>
        <v/>
      </c>
      <c r="O38" s="10"/>
      <c r="P38" s="24"/>
      <c r="Q38" s="13"/>
      <c r="T38" s="121" t="str">
        <f t="shared" ref="T38:T64" si="35">IF($G$35="","",SUM(Y38:AA38))</f>
        <v/>
      </c>
      <c r="U38" s="118">
        <f t="shared" ref="U38:U64" si="36">IF(V38&gt;0,1,IF(V38=0,0,2))</f>
        <v>0</v>
      </c>
      <c r="V38" s="117">
        <f t="shared" ref="V38:V64" si="37">$G$35-$H$35</f>
        <v>0</v>
      </c>
      <c r="W38" s="117">
        <f t="shared" ref="W38:W64" si="38">IF(X38&gt;0,1,IF(X38=0,0,2))</f>
        <v>0</v>
      </c>
      <c r="X38" s="117">
        <f t="shared" ref="X38:X64" si="39">F38-G38</f>
        <v>0</v>
      </c>
      <c r="Y38" s="117">
        <f t="shared" ref="Y38:Y64" si="40">IF(U38=W38,3,0)</f>
        <v>3</v>
      </c>
      <c r="Z38" s="117">
        <f t="shared" ref="Z38:Z64" si="41">IF(V38=X38,1,0)</f>
        <v>1</v>
      </c>
      <c r="AA38" s="117">
        <f t="shared" ref="AA38:AA64" si="42">IF(Z38=1,IF($G$35=F38,1,0),0)</f>
        <v>0</v>
      </c>
      <c r="AC38" s="121" t="str">
        <f t="shared" ref="AC38:AC64" si="43">IF($G$35="","",SUM(AH38:AJ38))</f>
        <v/>
      </c>
      <c r="AD38" s="118">
        <f t="shared" ref="AD38:AD64" si="44">IF(AE38&gt;0,1,IF(AE38=0,0,2))</f>
        <v>0</v>
      </c>
      <c r="AE38" s="117">
        <f t="shared" ref="AE38:AE64" si="45">$G$35-$H$35</f>
        <v>0</v>
      </c>
      <c r="AF38" s="117">
        <f t="shared" ref="AF38:AF64" si="46">IF(AG38&gt;0,1,IF(AG38=0,0,2))</f>
        <v>2</v>
      </c>
      <c r="AG38" s="117">
        <f t="shared" ref="AG38:AG64" si="47">L38-M38</f>
        <v>-1</v>
      </c>
      <c r="AH38" s="117">
        <f t="shared" ref="AH38:AH64" si="48">IF(AD38=AF38,3,0)</f>
        <v>0</v>
      </c>
      <c r="AI38" s="117">
        <f t="shared" ref="AI38:AI64" si="49">IF(AE38=AG38,1,0)</f>
        <v>0</v>
      </c>
      <c r="AJ38" s="117">
        <f t="shared" ref="AJ38:AJ64" si="50">IF(AI38=1,IF($G$35=L38,1,0),0)</f>
        <v>0</v>
      </c>
    </row>
    <row r="39" spans="2:36" ht="16.5" customHeight="1">
      <c r="B39" s="12"/>
      <c r="C39" s="12"/>
      <c r="D39" s="4"/>
      <c r="E39" s="4" t="s">
        <v>171</v>
      </c>
      <c r="F39" s="5">
        <v>1</v>
      </c>
      <c r="G39" s="6">
        <v>1</v>
      </c>
      <c r="H39" s="7" t="s">
        <v>224</v>
      </c>
      <c r="I39" s="7"/>
      <c r="J39" s="4"/>
      <c r="K39" s="4" t="s">
        <v>197</v>
      </c>
      <c r="L39" s="5">
        <v>1</v>
      </c>
      <c r="M39" s="6">
        <v>1</v>
      </c>
      <c r="N39" s="7" t="str">
        <f t="shared" si="34"/>
        <v/>
      </c>
      <c r="O39" s="7"/>
      <c r="P39" s="24"/>
      <c r="Q39" s="13"/>
      <c r="T39" s="121" t="str">
        <f t="shared" si="35"/>
        <v/>
      </c>
      <c r="U39" s="118">
        <f t="shared" si="36"/>
        <v>0</v>
      </c>
      <c r="V39" s="117">
        <f t="shared" si="37"/>
        <v>0</v>
      </c>
      <c r="W39" s="117">
        <f t="shared" si="38"/>
        <v>0</v>
      </c>
      <c r="X39" s="117">
        <f t="shared" si="39"/>
        <v>0</v>
      </c>
      <c r="Y39" s="117">
        <f t="shared" si="40"/>
        <v>3</v>
      </c>
      <c r="Z39" s="117">
        <f t="shared" si="41"/>
        <v>1</v>
      </c>
      <c r="AA39" s="117">
        <f t="shared" si="42"/>
        <v>0</v>
      </c>
      <c r="AC39" s="121" t="str">
        <f t="shared" si="43"/>
        <v/>
      </c>
      <c r="AD39" s="118">
        <f t="shared" si="44"/>
        <v>0</v>
      </c>
      <c r="AE39" s="117">
        <f t="shared" si="45"/>
        <v>0</v>
      </c>
      <c r="AF39" s="117">
        <f t="shared" si="46"/>
        <v>0</v>
      </c>
      <c r="AG39" s="117">
        <f t="shared" si="47"/>
        <v>0</v>
      </c>
      <c r="AH39" s="117">
        <f t="shared" si="48"/>
        <v>3</v>
      </c>
      <c r="AI39" s="117">
        <f t="shared" si="49"/>
        <v>1</v>
      </c>
      <c r="AJ39" s="117">
        <f t="shared" si="50"/>
        <v>0</v>
      </c>
    </row>
    <row r="40" spans="2:36" ht="16.5" customHeight="1">
      <c r="B40" s="12"/>
      <c r="C40" s="12"/>
      <c r="D40" s="8"/>
      <c r="E40" s="9" t="s">
        <v>172</v>
      </c>
      <c r="F40" s="5">
        <v>0</v>
      </c>
      <c r="G40" s="6">
        <v>1</v>
      </c>
      <c r="H40" s="7" t="s">
        <v>224</v>
      </c>
      <c r="I40" s="10"/>
      <c r="J40" s="8"/>
      <c r="K40" s="9" t="s">
        <v>198</v>
      </c>
      <c r="L40" s="5">
        <v>1</v>
      </c>
      <c r="M40" s="6">
        <v>1</v>
      </c>
      <c r="N40" s="7" t="str">
        <f t="shared" si="34"/>
        <v/>
      </c>
      <c r="O40" s="10"/>
      <c r="P40" s="24"/>
      <c r="Q40" s="13"/>
      <c r="T40" s="121" t="str">
        <f t="shared" si="35"/>
        <v/>
      </c>
      <c r="U40" s="118">
        <f t="shared" si="36"/>
        <v>0</v>
      </c>
      <c r="V40" s="117">
        <f t="shared" si="37"/>
        <v>0</v>
      </c>
      <c r="W40" s="117">
        <f t="shared" si="38"/>
        <v>2</v>
      </c>
      <c r="X40" s="117">
        <f t="shared" si="39"/>
        <v>-1</v>
      </c>
      <c r="Y40" s="117">
        <f t="shared" si="40"/>
        <v>0</v>
      </c>
      <c r="Z40" s="117">
        <f t="shared" si="41"/>
        <v>0</v>
      </c>
      <c r="AA40" s="117">
        <f t="shared" si="42"/>
        <v>0</v>
      </c>
      <c r="AC40" s="121" t="str">
        <f t="shared" si="43"/>
        <v/>
      </c>
      <c r="AD40" s="118">
        <f t="shared" si="44"/>
        <v>0</v>
      </c>
      <c r="AE40" s="117">
        <f t="shared" si="45"/>
        <v>0</v>
      </c>
      <c r="AF40" s="117">
        <f t="shared" si="46"/>
        <v>0</v>
      </c>
      <c r="AG40" s="117">
        <f t="shared" si="47"/>
        <v>0</v>
      </c>
      <c r="AH40" s="117">
        <f t="shared" si="48"/>
        <v>3</v>
      </c>
      <c r="AI40" s="117">
        <f t="shared" si="49"/>
        <v>1</v>
      </c>
      <c r="AJ40" s="117">
        <f t="shared" si="50"/>
        <v>0</v>
      </c>
    </row>
    <row r="41" spans="2:36" ht="16.5" customHeight="1">
      <c r="B41" s="12"/>
      <c r="C41" s="12"/>
      <c r="D41" s="4"/>
      <c r="E41" s="4" t="s">
        <v>173</v>
      </c>
      <c r="F41" s="5">
        <v>1</v>
      </c>
      <c r="G41" s="6">
        <v>2</v>
      </c>
      <c r="H41" s="7" t="s">
        <v>224</v>
      </c>
      <c r="I41" s="7"/>
      <c r="J41" s="4"/>
      <c r="K41" s="4" t="s">
        <v>199</v>
      </c>
      <c r="L41" s="5">
        <v>1</v>
      </c>
      <c r="M41" s="6">
        <v>1</v>
      </c>
      <c r="N41" s="7" t="str">
        <f t="shared" si="34"/>
        <v/>
      </c>
      <c r="O41" s="7"/>
      <c r="P41" s="24"/>
      <c r="Q41" s="13"/>
      <c r="T41" s="121" t="str">
        <f t="shared" si="35"/>
        <v/>
      </c>
      <c r="U41" s="118">
        <f t="shared" si="36"/>
        <v>0</v>
      </c>
      <c r="V41" s="117">
        <f t="shared" si="37"/>
        <v>0</v>
      </c>
      <c r="W41" s="117">
        <f t="shared" si="38"/>
        <v>2</v>
      </c>
      <c r="X41" s="117">
        <f t="shared" si="39"/>
        <v>-1</v>
      </c>
      <c r="Y41" s="117">
        <f t="shared" si="40"/>
        <v>0</v>
      </c>
      <c r="Z41" s="117">
        <f t="shared" si="41"/>
        <v>0</v>
      </c>
      <c r="AA41" s="117">
        <f t="shared" si="42"/>
        <v>0</v>
      </c>
      <c r="AC41" s="121" t="str">
        <f t="shared" si="43"/>
        <v/>
      </c>
      <c r="AD41" s="118">
        <f t="shared" si="44"/>
        <v>0</v>
      </c>
      <c r="AE41" s="117">
        <f t="shared" si="45"/>
        <v>0</v>
      </c>
      <c r="AF41" s="117">
        <f t="shared" si="46"/>
        <v>0</v>
      </c>
      <c r="AG41" s="117">
        <f t="shared" si="47"/>
        <v>0</v>
      </c>
      <c r="AH41" s="117">
        <f t="shared" si="48"/>
        <v>3</v>
      </c>
      <c r="AI41" s="117">
        <f t="shared" si="49"/>
        <v>1</v>
      </c>
      <c r="AJ41" s="117">
        <f t="shared" si="50"/>
        <v>0</v>
      </c>
    </row>
    <row r="42" spans="2:36" ht="16.5" customHeight="1">
      <c r="B42" s="12"/>
      <c r="C42" s="12"/>
      <c r="D42" s="8"/>
      <c r="E42" s="9" t="s">
        <v>174</v>
      </c>
      <c r="F42" s="5">
        <v>1</v>
      </c>
      <c r="G42" s="6">
        <v>2</v>
      </c>
      <c r="H42" s="7" t="s">
        <v>224</v>
      </c>
      <c r="I42" s="10"/>
      <c r="J42" s="8"/>
      <c r="K42" s="9" t="s">
        <v>200</v>
      </c>
      <c r="L42" s="5">
        <v>1</v>
      </c>
      <c r="M42" s="6">
        <v>2</v>
      </c>
      <c r="N42" s="7" t="str">
        <f t="shared" si="34"/>
        <v/>
      </c>
      <c r="O42" s="10"/>
      <c r="P42" s="24"/>
      <c r="Q42" s="13"/>
      <c r="T42" s="121" t="str">
        <f t="shared" si="35"/>
        <v/>
      </c>
      <c r="U42" s="118">
        <f t="shared" si="36"/>
        <v>0</v>
      </c>
      <c r="V42" s="117">
        <f t="shared" si="37"/>
        <v>0</v>
      </c>
      <c r="W42" s="117">
        <f t="shared" si="38"/>
        <v>2</v>
      </c>
      <c r="X42" s="117">
        <f t="shared" si="39"/>
        <v>-1</v>
      </c>
      <c r="Y42" s="117">
        <f t="shared" si="40"/>
        <v>0</v>
      </c>
      <c r="Z42" s="117">
        <f t="shared" si="41"/>
        <v>0</v>
      </c>
      <c r="AA42" s="117">
        <f t="shared" si="42"/>
        <v>0</v>
      </c>
      <c r="AC42" s="121" t="str">
        <f t="shared" si="43"/>
        <v/>
      </c>
      <c r="AD42" s="118">
        <f t="shared" si="44"/>
        <v>0</v>
      </c>
      <c r="AE42" s="117">
        <f t="shared" si="45"/>
        <v>0</v>
      </c>
      <c r="AF42" s="117">
        <f t="shared" si="46"/>
        <v>2</v>
      </c>
      <c r="AG42" s="117">
        <f t="shared" si="47"/>
        <v>-1</v>
      </c>
      <c r="AH42" s="117">
        <f t="shared" si="48"/>
        <v>0</v>
      </c>
      <c r="AI42" s="117">
        <f t="shared" si="49"/>
        <v>0</v>
      </c>
      <c r="AJ42" s="117">
        <f t="shared" si="50"/>
        <v>0</v>
      </c>
    </row>
    <row r="43" spans="2:36" ht="16.5" customHeight="1">
      <c r="B43" s="12"/>
      <c r="C43" s="12"/>
      <c r="D43" s="4"/>
      <c r="E43" s="4" t="s">
        <v>175</v>
      </c>
      <c r="F43" s="5">
        <v>1</v>
      </c>
      <c r="G43" s="6">
        <v>0</v>
      </c>
      <c r="H43" s="7" t="s">
        <v>224</v>
      </c>
      <c r="I43" s="7"/>
      <c r="J43" s="4"/>
      <c r="K43" s="4" t="s">
        <v>201</v>
      </c>
      <c r="L43" s="5">
        <v>2</v>
      </c>
      <c r="M43" s="6">
        <v>1</v>
      </c>
      <c r="N43" s="7" t="str">
        <f t="shared" si="34"/>
        <v/>
      </c>
      <c r="O43" s="7"/>
      <c r="P43" s="24"/>
      <c r="Q43" s="13"/>
      <c r="T43" s="121" t="str">
        <f t="shared" si="35"/>
        <v/>
      </c>
      <c r="U43" s="118">
        <f t="shared" si="36"/>
        <v>0</v>
      </c>
      <c r="V43" s="117">
        <f t="shared" si="37"/>
        <v>0</v>
      </c>
      <c r="W43" s="117">
        <f t="shared" si="38"/>
        <v>1</v>
      </c>
      <c r="X43" s="117">
        <f t="shared" si="39"/>
        <v>1</v>
      </c>
      <c r="Y43" s="117">
        <f t="shared" si="40"/>
        <v>0</v>
      </c>
      <c r="Z43" s="117">
        <f t="shared" si="41"/>
        <v>0</v>
      </c>
      <c r="AA43" s="117">
        <f t="shared" si="42"/>
        <v>0</v>
      </c>
      <c r="AC43" s="121" t="str">
        <f t="shared" si="43"/>
        <v/>
      </c>
      <c r="AD43" s="118">
        <f t="shared" si="44"/>
        <v>0</v>
      </c>
      <c r="AE43" s="117">
        <f t="shared" si="45"/>
        <v>0</v>
      </c>
      <c r="AF43" s="117">
        <f t="shared" si="46"/>
        <v>1</v>
      </c>
      <c r="AG43" s="117">
        <f t="shared" si="47"/>
        <v>1</v>
      </c>
      <c r="AH43" s="117">
        <f t="shared" si="48"/>
        <v>0</v>
      </c>
      <c r="AI43" s="117">
        <f t="shared" si="49"/>
        <v>0</v>
      </c>
      <c r="AJ43" s="117">
        <f t="shared" si="50"/>
        <v>0</v>
      </c>
    </row>
    <row r="44" spans="2:36" ht="16.5" customHeight="1">
      <c r="B44" s="14"/>
      <c r="C44" s="14" t="s">
        <v>8</v>
      </c>
      <c r="D44" s="8"/>
      <c r="E44" s="9" t="s">
        <v>33</v>
      </c>
      <c r="F44" s="5">
        <v>1</v>
      </c>
      <c r="G44" s="6">
        <v>1</v>
      </c>
      <c r="H44" s="7" t="s">
        <v>224</v>
      </c>
      <c r="I44" s="10"/>
      <c r="J44" s="8"/>
      <c r="K44" s="9" t="s">
        <v>225</v>
      </c>
      <c r="L44" s="5">
        <v>1</v>
      </c>
      <c r="M44" s="6">
        <v>1</v>
      </c>
      <c r="N44" s="7" t="str">
        <f t="shared" si="34"/>
        <v/>
      </c>
      <c r="O44" s="10"/>
      <c r="P44" s="31" t="s">
        <v>16</v>
      </c>
      <c r="Q44" s="30"/>
      <c r="T44" s="121" t="str">
        <f t="shared" si="35"/>
        <v/>
      </c>
      <c r="U44" s="118">
        <f t="shared" si="36"/>
        <v>0</v>
      </c>
      <c r="V44" s="117">
        <f t="shared" si="37"/>
        <v>0</v>
      </c>
      <c r="W44" s="117">
        <f t="shared" si="38"/>
        <v>0</v>
      </c>
      <c r="X44" s="117">
        <f t="shared" si="39"/>
        <v>0</v>
      </c>
      <c r="Y44" s="117">
        <f t="shared" si="40"/>
        <v>3</v>
      </c>
      <c r="Z44" s="117">
        <f t="shared" si="41"/>
        <v>1</v>
      </c>
      <c r="AA44" s="117">
        <f t="shared" si="42"/>
        <v>0</v>
      </c>
      <c r="AC44" s="121" t="str">
        <f t="shared" si="43"/>
        <v/>
      </c>
      <c r="AD44" s="118">
        <f t="shared" si="44"/>
        <v>0</v>
      </c>
      <c r="AE44" s="117">
        <f t="shared" si="45"/>
        <v>0</v>
      </c>
      <c r="AF44" s="117">
        <f t="shared" si="46"/>
        <v>0</v>
      </c>
      <c r="AG44" s="117">
        <f t="shared" si="47"/>
        <v>0</v>
      </c>
      <c r="AH44" s="117">
        <f t="shared" si="48"/>
        <v>3</v>
      </c>
      <c r="AI44" s="117">
        <f t="shared" si="49"/>
        <v>1</v>
      </c>
      <c r="AJ44" s="117">
        <f t="shared" si="50"/>
        <v>0</v>
      </c>
    </row>
    <row r="45" spans="2:36" ht="16.5" customHeight="1">
      <c r="B45" s="14"/>
      <c r="C45" s="14"/>
      <c r="D45" s="4"/>
      <c r="E45" s="4" t="s">
        <v>176</v>
      </c>
      <c r="F45" s="5">
        <v>1</v>
      </c>
      <c r="G45" s="6">
        <v>1</v>
      </c>
      <c r="H45" s="7" t="s">
        <v>224</v>
      </c>
      <c r="I45" s="7"/>
      <c r="J45" s="4"/>
      <c r="K45" s="4" t="s">
        <v>203</v>
      </c>
      <c r="L45" s="5">
        <v>1</v>
      </c>
      <c r="M45" s="6">
        <v>1</v>
      </c>
      <c r="N45" s="7" t="str">
        <f t="shared" si="34"/>
        <v/>
      </c>
      <c r="O45" s="7"/>
      <c r="P45" s="31"/>
      <c r="Q45" s="30"/>
      <c r="T45" s="121" t="str">
        <f t="shared" si="35"/>
        <v/>
      </c>
      <c r="U45" s="118">
        <f t="shared" si="36"/>
        <v>0</v>
      </c>
      <c r="V45" s="117">
        <f t="shared" si="37"/>
        <v>0</v>
      </c>
      <c r="W45" s="117">
        <f t="shared" si="38"/>
        <v>0</v>
      </c>
      <c r="X45" s="117">
        <f t="shared" si="39"/>
        <v>0</v>
      </c>
      <c r="Y45" s="117">
        <f t="shared" si="40"/>
        <v>3</v>
      </c>
      <c r="Z45" s="117">
        <f t="shared" si="41"/>
        <v>1</v>
      </c>
      <c r="AA45" s="117">
        <f t="shared" si="42"/>
        <v>0</v>
      </c>
      <c r="AC45" s="121" t="str">
        <f t="shared" si="43"/>
        <v/>
      </c>
      <c r="AD45" s="118">
        <f t="shared" si="44"/>
        <v>0</v>
      </c>
      <c r="AE45" s="117">
        <f t="shared" si="45"/>
        <v>0</v>
      </c>
      <c r="AF45" s="117">
        <f t="shared" si="46"/>
        <v>0</v>
      </c>
      <c r="AG45" s="117">
        <f t="shared" si="47"/>
        <v>0</v>
      </c>
      <c r="AH45" s="117">
        <f t="shared" si="48"/>
        <v>3</v>
      </c>
      <c r="AI45" s="117">
        <f t="shared" si="49"/>
        <v>1</v>
      </c>
      <c r="AJ45" s="117">
        <f t="shared" si="50"/>
        <v>0</v>
      </c>
    </row>
    <row r="46" spans="2:36" ht="16.5" customHeight="1">
      <c r="B46" s="14"/>
      <c r="C46" s="14"/>
      <c r="D46" s="8"/>
      <c r="E46" s="9" t="s">
        <v>177</v>
      </c>
      <c r="F46" s="5">
        <v>1</v>
      </c>
      <c r="G46" s="6">
        <v>0</v>
      </c>
      <c r="H46" s="7" t="s">
        <v>224</v>
      </c>
      <c r="I46" s="10"/>
      <c r="J46" s="8"/>
      <c r="K46" s="9" t="s">
        <v>204</v>
      </c>
      <c r="L46" s="5">
        <v>0</v>
      </c>
      <c r="M46" s="6">
        <v>0</v>
      </c>
      <c r="N46" s="7" t="str">
        <f t="shared" si="34"/>
        <v/>
      </c>
      <c r="O46" s="10"/>
      <c r="P46" s="31"/>
      <c r="Q46" s="30"/>
      <c r="T46" s="121" t="str">
        <f t="shared" si="35"/>
        <v/>
      </c>
      <c r="U46" s="118">
        <f t="shared" si="36"/>
        <v>0</v>
      </c>
      <c r="V46" s="117">
        <f t="shared" si="37"/>
        <v>0</v>
      </c>
      <c r="W46" s="117">
        <f t="shared" si="38"/>
        <v>1</v>
      </c>
      <c r="X46" s="117">
        <f t="shared" si="39"/>
        <v>1</v>
      </c>
      <c r="Y46" s="117">
        <f t="shared" si="40"/>
        <v>0</v>
      </c>
      <c r="Z46" s="117">
        <f t="shared" si="41"/>
        <v>0</v>
      </c>
      <c r="AA46" s="117">
        <f t="shared" si="42"/>
        <v>0</v>
      </c>
      <c r="AC46" s="121" t="str">
        <f t="shared" si="43"/>
        <v/>
      </c>
      <c r="AD46" s="118">
        <f t="shared" si="44"/>
        <v>0</v>
      </c>
      <c r="AE46" s="117">
        <f t="shared" si="45"/>
        <v>0</v>
      </c>
      <c r="AF46" s="117">
        <f t="shared" si="46"/>
        <v>0</v>
      </c>
      <c r="AG46" s="117">
        <f t="shared" si="47"/>
        <v>0</v>
      </c>
      <c r="AH46" s="117">
        <f t="shared" si="48"/>
        <v>3</v>
      </c>
      <c r="AI46" s="117">
        <f t="shared" si="49"/>
        <v>1</v>
      </c>
      <c r="AJ46" s="117">
        <f t="shared" si="50"/>
        <v>1</v>
      </c>
    </row>
    <row r="47" spans="2:36" ht="16.5" customHeight="1">
      <c r="B47" s="14"/>
      <c r="C47" s="14"/>
      <c r="D47" s="4"/>
      <c r="E47" s="4" t="s">
        <v>178</v>
      </c>
      <c r="F47" s="5">
        <v>1</v>
      </c>
      <c r="G47" s="6">
        <v>1</v>
      </c>
      <c r="H47" s="7" t="s">
        <v>224</v>
      </c>
      <c r="I47" s="7"/>
      <c r="J47" s="4"/>
      <c r="K47" s="4" t="s">
        <v>223</v>
      </c>
      <c r="L47" s="5">
        <v>1</v>
      </c>
      <c r="M47" s="6">
        <v>1</v>
      </c>
      <c r="N47" s="7" t="str">
        <f t="shared" si="34"/>
        <v/>
      </c>
      <c r="O47" s="7"/>
      <c r="P47" s="31"/>
      <c r="Q47" s="30"/>
      <c r="T47" s="121" t="str">
        <f t="shared" si="35"/>
        <v/>
      </c>
      <c r="U47" s="118">
        <f t="shared" si="36"/>
        <v>0</v>
      </c>
      <c r="V47" s="117">
        <f t="shared" si="37"/>
        <v>0</v>
      </c>
      <c r="W47" s="117">
        <f t="shared" si="38"/>
        <v>0</v>
      </c>
      <c r="X47" s="117">
        <f t="shared" si="39"/>
        <v>0</v>
      </c>
      <c r="Y47" s="117">
        <f t="shared" si="40"/>
        <v>3</v>
      </c>
      <c r="Z47" s="117">
        <f t="shared" si="41"/>
        <v>1</v>
      </c>
      <c r="AA47" s="117">
        <f t="shared" si="42"/>
        <v>0</v>
      </c>
      <c r="AC47" s="121" t="str">
        <f t="shared" si="43"/>
        <v/>
      </c>
      <c r="AD47" s="118">
        <f t="shared" si="44"/>
        <v>0</v>
      </c>
      <c r="AE47" s="117">
        <f t="shared" si="45"/>
        <v>0</v>
      </c>
      <c r="AF47" s="117">
        <f t="shared" si="46"/>
        <v>0</v>
      </c>
      <c r="AG47" s="117">
        <f t="shared" si="47"/>
        <v>0</v>
      </c>
      <c r="AH47" s="117">
        <f t="shared" si="48"/>
        <v>3</v>
      </c>
      <c r="AI47" s="117">
        <f t="shared" si="49"/>
        <v>1</v>
      </c>
      <c r="AJ47" s="117">
        <f t="shared" si="50"/>
        <v>0</v>
      </c>
    </row>
    <row r="48" spans="2:36" ht="16.5" customHeight="1">
      <c r="B48" s="14"/>
      <c r="C48" s="14"/>
      <c r="D48" s="8"/>
      <c r="E48" s="9" t="s">
        <v>179</v>
      </c>
      <c r="F48" s="5">
        <v>2</v>
      </c>
      <c r="G48" s="6">
        <v>2</v>
      </c>
      <c r="H48" s="7" t="s">
        <v>224</v>
      </c>
      <c r="I48" s="10"/>
      <c r="J48" s="8"/>
      <c r="K48" s="9" t="s">
        <v>205</v>
      </c>
      <c r="L48" s="5">
        <v>2</v>
      </c>
      <c r="M48" s="6">
        <v>1</v>
      </c>
      <c r="N48" s="7" t="str">
        <f t="shared" si="34"/>
        <v/>
      </c>
      <c r="O48" s="10"/>
      <c r="P48" s="31"/>
      <c r="Q48" s="30"/>
      <c r="T48" s="121" t="str">
        <f t="shared" si="35"/>
        <v/>
      </c>
      <c r="U48" s="118">
        <f t="shared" si="36"/>
        <v>0</v>
      </c>
      <c r="V48" s="117">
        <f t="shared" si="37"/>
        <v>0</v>
      </c>
      <c r="W48" s="117">
        <f t="shared" si="38"/>
        <v>0</v>
      </c>
      <c r="X48" s="117">
        <f t="shared" si="39"/>
        <v>0</v>
      </c>
      <c r="Y48" s="117">
        <f t="shared" si="40"/>
        <v>3</v>
      </c>
      <c r="Z48" s="117">
        <f t="shared" si="41"/>
        <v>1</v>
      </c>
      <c r="AA48" s="117">
        <f t="shared" si="42"/>
        <v>0</v>
      </c>
      <c r="AC48" s="121" t="str">
        <f t="shared" si="43"/>
        <v/>
      </c>
      <c r="AD48" s="118">
        <f t="shared" si="44"/>
        <v>0</v>
      </c>
      <c r="AE48" s="117">
        <f t="shared" si="45"/>
        <v>0</v>
      </c>
      <c r="AF48" s="117">
        <f t="shared" si="46"/>
        <v>1</v>
      </c>
      <c r="AG48" s="117">
        <f t="shared" si="47"/>
        <v>1</v>
      </c>
      <c r="AH48" s="117">
        <f t="shared" si="48"/>
        <v>0</v>
      </c>
      <c r="AI48" s="117">
        <f t="shared" si="49"/>
        <v>0</v>
      </c>
      <c r="AJ48" s="117">
        <f t="shared" si="50"/>
        <v>0</v>
      </c>
    </row>
    <row r="49" spans="2:36" ht="16.5" customHeight="1">
      <c r="B49" s="14"/>
      <c r="C49" s="14"/>
      <c r="D49" s="4"/>
      <c r="E49" s="4" t="s">
        <v>180</v>
      </c>
      <c r="F49" s="5">
        <v>1</v>
      </c>
      <c r="G49" s="6">
        <v>1</v>
      </c>
      <c r="H49" s="7" t="s">
        <v>224</v>
      </c>
      <c r="I49" s="7"/>
      <c r="J49" s="4"/>
      <c r="K49" s="4" t="s">
        <v>206</v>
      </c>
      <c r="L49" s="5">
        <v>0</v>
      </c>
      <c r="M49" s="6">
        <v>0</v>
      </c>
      <c r="N49" s="7" t="str">
        <f t="shared" si="34"/>
        <v/>
      </c>
      <c r="O49" s="7"/>
      <c r="P49" s="31"/>
      <c r="Q49" s="30"/>
      <c r="T49" s="121" t="str">
        <f t="shared" si="35"/>
        <v/>
      </c>
      <c r="U49" s="118">
        <f t="shared" si="36"/>
        <v>0</v>
      </c>
      <c r="V49" s="117">
        <f t="shared" si="37"/>
        <v>0</v>
      </c>
      <c r="W49" s="117">
        <f t="shared" si="38"/>
        <v>0</v>
      </c>
      <c r="X49" s="117">
        <f t="shared" si="39"/>
        <v>0</v>
      </c>
      <c r="Y49" s="117">
        <f t="shared" si="40"/>
        <v>3</v>
      </c>
      <c r="Z49" s="117">
        <f t="shared" si="41"/>
        <v>1</v>
      </c>
      <c r="AA49" s="117">
        <f t="shared" si="42"/>
        <v>0</v>
      </c>
      <c r="AC49" s="121" t="str">
        <f t="shared" si="43"/>
        <v/>
      </c>
      <c r="AD49" s="118">
        <f t="shared" si="44"/>
        <v>0</v>
      </c>
      <c r="AE49" s="117">
        <f t="shared" si="45"/>
        <v>0</v>
      </c>
      <c r="AF49" s="117">
        <f t="shared" si="46"/>
        <v>0</v>
      </c>
      <c r="AG49" s="117">
        <f t="shared" si="47"/>
        <v>0</v>
      </c>
      <c r="AH49" s="117">
        <f t="shared" si="48"/>
        <v>3</v>
      </c>
      <c r="AI49" s="117">
        <f t="shared" si="49"/>
        <v>1</v>
      </c>
      <c r="AJ49" s="117">
        <f t="shared" si="50"/>
        <v>1</v>
      </c>
    </row>
    <row r="50" spans="2:36" ht="16.5" customHeight="1">
      <c r="B50" s="14"/>
      <c r="C50" s="14"/>
      <c r="D50" s="8"/>
      <c r="E50" s="9" t="s">
        <v>181</v>
      </c>
      <c r="F50" s="5">
        <v>1</v>
      </c>
      <c r="G50" s="6">
        <v>2</v>
      </c>
      <c r="H50" s="7" t="s">
        <v>224</v>
      </c>
      <c r="I50" s="10"/>
      <c r="J50" s="8"/>
      <c r="K50" s="9" t="s">
        <v>207</v>
      </c>
      <c r="L50" s="5">
        <v>0</v>
      </c>
      <c r="M50" s="6">
        <v>2</v>
      </c>
      <c r="N50" s="7" t="str">
        <f t="shared" si="34"/>
        <v/>
      </c>
      <c r="O50" s="10"/>
      <c r="P50" s="31"/>
      <c r="Q50" s="30"/>
      <c r="T50" s="121" t="str">
        <f t="shared" si="35"/>
        <v/>
      </c>
      <c r="U50" s="118">
        <f t="shared" si="36"/>
        <v>0</v>
      </c>
      <c r="V50" s="117">
        <f t="shared" si="37"/>
        <v>0</v>
      </c>
      <c r="W50" s="117">
        <f t="shared" si="38"/>
        <v>2</v>
      </c>
      <c r="X50" s="117">
        <f t="shared" si="39"/>
        <v>-1</v>
      </c>
      <c r="Y50" s="117">
        <f t="shared" si="40"/>
        <v>0</v>
      </c>
      <c r="Z50" s="117">
        <f t="shared" si="41"/>
        <v>0</v>
      </c>
      <c r="AA50" s="117">
        <f t="shared" si="42"/>
        <v>0</v>
      </c>
      <c r="AC50" s="121" t="str">
        <f t="shared" si="43"/>
        <v/>
      </c>
      <c r="AD50" s="118">
        <f t="shared" si="44"/>
        <v>0</v>
      </c>
      <c r="AE50" s="117">
        <f t="shared" si="45"/>
        <v>0</v>
      </c>
      <c r="AF50" s="117">
        <f t="shared" si="46"/>
        <v>2</v>
      </c>
      <c r="AG50" s="117">
        <f t="shared" si="47"/>
        <v>-2</v>
      </c>
      <c r="AH50" s="117">
        <f t="shared" si="48"/>
        <v>0</v>
      </c>
      <c r="AI50" s="117">
        <f t="shared" si="49"/>
        <v>0</v>
      </c>
      <c r="AJ50" s="117">
        <f t="shared" si="50"/>
        <v>0</v>
      </c>
    </row>
    <row r="51" spans="2:36" ht="16.5" customHeight="1">
      <c r="B51" s="11"/>
      <c r="C51" s="11" t="s">
        <v>9</v>
      </c>
      <c r="D51" s="4"/>
      <c r="E51" s="4" t="s">
        <v>182</v>
      </c>
      <c r="F51" s="5">
        <v>1</v>
      </c>
      <c r="G51" s="6">
        <v>1</v>
      </c>
      <c r="H51" s="7" t="s">
        <v>224</v>
      </c>
      <c r="I51" s="7"/>
      <c r="J51" s="4"/>
      <c r="K51" s="4" t="s">
        <v>208</v>
      </c>
      <c r="L51" s="5">
        <v>2</v>
      </c>
      <c r="M51" s="6">
        <v>2</v>
      </c>
      <c r="N51" s="7" t="str">
        <f t="shared" si="34"/>
        <v/>
      </c>
      <c r="O51" s="7"/>
      <c r="P51" s="36" t="s">
        <v>25</v>
      </c>
      <c r="Q51" s="35"/>
      <c r="T51" s="121" t="str">
        <f t="shared" si="35"/>
        <v/>
      </c>
      <c r="U51" s="118">
        <f t="shared" si="36"/>
        <v>0</v>
      </c>
      <c r="V51" s="117">
        <f t="shared" si="37"/>
        <v>0</v>
      </c>
      <c r="W51" s="117">
        <f t="shared" si="38"/>
        <v>0</v>
      </c>
      <c r="X51" s="117">
        <f t="shared" si="39"/>
        <v>0</v>
      </c>
      <c r="Y51" s="117">
        <f t="shared" si="40"/>
        <v>3</v>
      </c>
      <c r="Z51" s="117">
        <f t="shared" si="41"/>
        <v>1</v>
      </c>
      <c r="AA51" s="117">
        <f t="shared" si="42"/>
        <v>0</v>
      </c>
      <c r="AC51" s="121" t="str">
        <f t="shared" si="43"/>
        <v/>
      </c>
      <c r="AD51" s="118">
        <f t="shared" si="44"/>
        <v>0</v>
      </c>
      <c r="AE51" s="117">
        <f t="shared" si="45"/>
        <v>0</v>
      </c>
      <c r="AF51" s="117">
        <f t="shared" si="46"/>
        <v>0</v>
      </c>
      <c r="AG51" s="117">
        <f t="shared" si="47"/>
        <v>0</v>
      </c>
      <c r="AH51" s="117">
        <f t="shared" si="48"/>
        <v>3</v>
      </c>
      <c r="AI51" s="117">
        <f t="shared" si="49"/>
        <v>1</v>
      </c>
      <c r="AJ51" s="117">
        <f t="shared" si="50"/>
        <v>0</v>
      </c>
    </row>
    <row r="52" spans="2:36" ht="16.5" customHeight="1">
      <c r="B52" s="11"/>
      <c r="C52" s="11"/>
      <c r="D52" s="8"/>
      <c r="E52" s="9" t="s">
        <v>183</v>
      </c>
      <c r="F52" s="5">
        <v>2</v>
      </c>
      <c r="G52" s="6">
        <v>0</v>
      </c>
      <c r="H52" s="7" t="s">
        <v>224</v>
      </c>
      <c r="I52" s="10"/>
      <c r="J52" s="8"/>
      <c r="K52" s="9" t="s">
        <v>209</v>
      </c>
      <c r="L52" s="5">
        <v>0</v>
      </c>
      <c r="M52" s="6">
        <v>1</v>
      </c>
      <c r="N52" s="7" t="str">
        <f t="shared" si="34"/>
        <v/>
      </c>
      <c r="O52" s="10"/>
      <c r="P52" s="36"/>
      <c r="Q52" s="35"/>
      <c r="T52" s="121" t="str">
        <f t="shared" si="35"/>
        <v/>
      </c>
      <c r="U52" s="118">
        <f t="shared" si="36"/>
        <v>0</v>
      </c>
      <c r="V52" s="117">
        <f t="shared" si="37"/>
        <v>0</v>
      </c>
      <c r="W52" s="117">
        <f t="shared" si="38"/>
        <v>1</v>
      </c>
      <c r="X52" s="117">
        <f t="shared" si="39"/>
        <v>2</v>
      </c>
      <c r="Y52" s="117">
        <f t="shared" si="40"/>
        <v>0</v>
      </c>
      <c r="Z52" s="117">
        <f t="shared" si="41"/>
        <v>0</v>
      </c>
      <c r="AA52" s="117">
        <f t="shared" si="42"/>
        <v>0</v>
      </c>
      <c r="AC52" s="121" t="str">
        <f t="shared" si="43"/>
        <v/>
      </c>
      <c r="AD52" s="118">
        <f t="shared" si="44"/>
        <v>0</v>
      </c>
      <c r="AE52" s="117">
        <f t="shared" si="45"/>
        <v>0</v>
      </c>
      <c r="AF52" s="117">
        <f t="shared" si="46"/>
        <v>2</v>
      </c>
      <c r="AG52" s="117">
        <f t="shared" si="47"/>
        <v>-1</v>
      </c>
      <c r="AH52" s="117">
        <f t="shared" si="48"/>
        <v>0</v>
      </c>
      <c r="AI52" s="117">
        <f t="shared" si="49"/>
        <v>0</v>
      </c>
      <c r="AJ52" s="117">
        <f t="shared" si="50"/>
        <v>0</v>
      </c>
    </row>
    <row r="53" spans="2:36" ht="16.5" customHeight="1">
      <c r="B53" s="11"/>
      <c r="C53" s="11"/>
      <c r="D53" s="4"/>
      <c r="E53" s="4" t="s">
        <v>184</v>
      </c>
      <c r="F53" s="5">
        <v>1</v>
      </c>
      <c r="G53" s="6">
        <v>1</v>
      </c>
      <c r="H53" s="7" t="s">
        <v>224</v>
      </c>
      <c r="I53" s="7"/>
      <c r="J53" s="4"/>
      <c r="K53" s="4" t="s">
        <v>210</v>
      </c>
      <c r="L53" s="5">
        <v>1</v>
      </c>
      <c r="M53" s="6">
        <v>1</v>
      </c>
      <c r="N53" s="7" t="str">
        <f t="shared" si="34"/>
        <v/>
      </c>
      <c r="O53" s="7"/>
      <c r="P53" s="36"/>
      <c r="Q53" s="35"/>
      <c r="T53" s="121" t="str">
        <f t="shared" si="35"/>
        <v/>
      </c>
      <c r="U53" s="118">
        <f t="shared" si="36"/>
        <v>0</v>
      </c>
      <c r="V53" s="117">
        <f t="shared" si="37"/>
        <v>0</v>
      </c>
      <c r="W53" s="117">
        <f t="shared" si="38"/>
        <v>0</v>
      </c>
      <c r="X53" s="117">
        <f t="shared" si="39"/>
        <v>0</v>
      </c>
      <c r="Y53" s="117">
        <f t="shared" si="40"/>
        <v>3</v>
      </c>
      <c r="Z53" s="117">
        <f t="shared" si="41"/>
        <v>1</v>
      </c>
      <c r="AA53" s="117">
        <f t="shared" si="42"/>
        <v>0</v>
      </c>
      <c r="AC53" s="121" t="str">
        <f t="shared" si="43"/>
        <v/>
      </c>
      <c r="AD53" s="118">
        <f t="shared" si="44"/>
        <v>0</v>
      </c>
      <c r="AE53" s="117">
        <f t="shared" si="45"/>
        <v>0</v>
      </c>
      <c r="AF53" s="117">
        <f t="shared" si="46"/>
        <v>0</v>
      </c>
      <c r="AG53" s="117">
        <f t="shared" si="47"/>
        <v>0</v>
      </c>
      <c r="AH53" s="117">
        <f t="shared" si="48"/>
        <v>3</v>
      </c>
      <c r="AI53" s="117">
        <f t="shared" si="49"/>
        <v>1</v>
      </c>
      <c r="AJ53" s="117">
        <f t="shared" si="50"/>
        <v>0</v>
      </c>
    </row>
    <row r="54" spans="2:36" ht="16.5" customHeight="1">
      <c r="B54" s="11"/>
      <c r="C54" s="11"/>
      <c r="D54" s="8"/>
      <c r="E54" s="9" t="s">
        <v>222</v>
      </c>
      <c r="F54" s="5">
        <v>1</v>
      </c>
      <c r="G54" s="6">
        <v>1</v>
      </c>
      <c r="H54" s="7" t="s">
        <v>224</v>
      </c>
      <c r="I54" s="10"/>
      <c r="J54" s="8"/>
      <c r="K54" s="9" t="s">
        <v>211</v>
      </c>
      <c r="L54" s="5">
        <v>1</v>
      </c>
      <c r="M54" s="6">
        <v>1</v>
      </c>
      <c r="N54" s="7" t="str">
        <f t="shared" si="34"/>
        <v/>
      </c>
      <c r="O54" s="10"/>
      <c r="P54" s="36"/>
      <c r="Q54" s="35"/>
      <c r="T54" s="121" t="str">
        <f t="shared" si="35"/>
        <v/>
      </c>
      <c r="U54" s="118">
        <f t="shared" si="36"/>
        <v>0</v>
      </c>
      <c r="V54" s="117">
        <f t="shared" si="37"/>
        <v>0</v>
      </c>
      <c r="W54" s="117">
        <f t="shared" si="38"/>
        <v>0</v>
      </c>
      <c r="X54" s="117">
        <f t="shared" si="39"/>
        <v>0</v>
      </c>
      <c r="Y54" s="117">
        <f t="shared" si="40"/>
        <v>3</v>
      </c>
      <c r="Z54" s="117">
        <f t="shared" si="41"/>
        <v>1</v>
      </c>
      <c r="AA54" s="117">
        <f t="shared" si="42"/>
        <v>0</v>
      </c>
      <c r="AC54" s="121" t="str">
        <f t="shared" si="43"/>
        <v/>
      </c>
      <c r="AD54" s="118">
        <f t="shared" si="44"/>
        <v>0</v>
      </c>
      <c r="AE54" s="117">
        <f t="shared" si="45"/>
        <v>0</v>
      </c>
      <c r="AF54" s="117">
        <f t="shared" si="46"/>
        <v>0</v>
      </c>
      <c r="AG54" s="117">
        <f t="shared" si="47"/>
        <v>0</v>
      </c>
      <c r="AH54" s="117">
        <f t="shared" si="48"/>
        <v>3</v>
      </c>
      <c r="AI54" s="117">
        <f t="shared" si="49"/>
        <v>1</v>
      </c>
      <c r="AJ54" s="117">
        <f t="shared" si="50"/>
        <v>0</v>
      </c>
    </row>
    <row r="55" spans="2:36" ht="16.5" customHeight="1">
      <c r="B55" s="11"/>
      <c r="C55" s="11"/>
      <c r="D55" s="4"/>
      <c r="E55" s="4" t="s">
        <v>185</v>
      </c>
      <c r="F55" s="5">
        <v>1</v>
      </c>
      <c r="G55" s="6">
        <v>1</v>
      </c>
      <c r="H55" s="7" t="s">
        <v>224</v>
      </c>
      <c r="I55" s="7"/>
      <c r="J55" s="4"/>
      <c r="K55" s="4" t="s">
        <v>212</v>
      </c>
      <c r="L55" s="5">
        <v>1</v>
      </c>
      <c r="M55" s="6">
        <v>1</v>
      </c>
      <c r="N55" s="7" t="str">
        <f t="shared" si="34"/>
        <v/>
      </c>
      <c r="O55" s="7"/>
      <c r="P55" s="36"/>
      <c r="Q55" s="35"/>
      <c r="T55" s="121" t="str">
        <f t="shared" si="35"/>
        <v/>
      </c>
      <c r="U55" s="118">
        <f t="shared" si="36"/>
        <v>0</v>
      </c>
      <c r="V55" s="117">
        <f t="shared" si="37"/>
        <v>0</v>
      </c>
      <c r="W55" s="117">
        <f t="shared" si="38"/>
        <v>0</v>
      </c>
      <c r="X55" s="117">
        <f t="shared" si="39"/>
        <v>0</v>
      </c>
      <c r="Y55" s="117">
        <f t="shared" si="40"/>
        <v>3</v>
      </c>
      <c r="Z55" s="117">
        <f t="shared" si="41"/>
        <v>1</v>
      </c>
      <c r="AA55" s="117">
        <f t="shared" si="42"/>
        <v>0</v>
      </c>
      <c r="AC55" s="121" t="str">
        <f t="shared" si="43"/>
        <v/>
      </c>
      <c r="AD55" s="118">
        <f t="shared" si="44"/>
        <v>0</v>
      </c>
      <c r="AE55" s="117">
        <f t="shared" si="45"/>
        <v>0</v>
      </c>
      <c r="AF55" s="117">
        <f t="shared" si="46"/>
        <v>0</v>
      </c>
      <c r="AG55" s="117">
        <f t="shared" si="47"/>
        <v>0</v>
      </c>
      <c r="AH55" s="117">
        <f t="shared" si="48"/>
        <v>3</v>
      </c>
      <c r="AI55" s="117">
        <f t="shared" si="49"/>
        <v>1</v>
      </c>
      <c r="AJ55" s="117">
        <f t="shared" si="50"/>
        <v>0</v>
      </c>
    </row>
    <row r="56" spans="2:36" ht="16.5" customHeight="1">
      <c r="B56" s="11"/>
      <c r="C56" s="11"/>
      <c r="D56" s="8"/>
      <c r="E56" s="9" t="s">
        <v>186</v>
      </c>
      <c r="F56" s="5">
        <v>1</v>
      </c>
      <c r="G56" s="6">
        <v>1</v>
      </c>
      <c r="H56" s="7" t="s">
        <v>224</v>
      </c>
      <c r="I56" s="10"/>
      <c r="J56" s="8"/>
      <c r="K56" s="9" t="s">
        <v>213</v>
      </c>
      <c r="L56" s="5">
        <v>1</v>
      </c>
      <c r="M56" s="6">
        <v>0</v>
      </c>
      <c r="N56" s="7" t="str">
        <f t="shared" si="34"/>
        <v/>
      </c>
      <c r="O56" s="10"/>
      <c r="P56" s="36"/>
      <c r="Q56" s="35"/>
      <c r="T56" s="121" t="str">
        <f t="shared" si="35"/>
        <v/>
      </c>
      <c r="U56" s="118">
        <f t="shared" si="36"/>
        <v>0</v>
      </c>
      <c r="V56" s="117">
        <f t="shared" si="37"/>
        <v>0</v>
      </c>
      <c r="W56" s="117">
        <f t="shared" si="38"/>
        <v>0</v>
      </c>
      <c r="X56" s="117">
        <f t="shared" si="39"/>
        <v>0</v>
      </c>
      <c r="Y56" s="117">
        <f t="shared" si="40"/>
        <v>3</v>
      </c>
      <c r="Z56" s="117">
        <f t="shared" si="41"/>
        <v>1</v>
      </c>
      <c r="AA56" s="117">
        <f t="shared" si="42"/>
        <v>0</v>
      </c>
      <c r="AC56" s="121" t="str">
        <f t="shared" si="43"/>
        <v/>
      </c>
      <c r="AD56" s="118">
        <f t="shared" si="44"/>
        <v>0</v>
      </c>
      <c r="AE56" s="117">
        <f t="shared" si="45"/>
        <v>0</v>
      </c>
      <c r="AF56" s="117">
        <f t="shared" si="46"/>
        <v>1</v>
      </c>
      <c r="AG56" s="117">
        <f t="shared" si="47"/>
        <v>1</v>
      </c>
      <c r="AH56" s="117">
        <f t="shared" si="48"/>
        <v>0</v>
      </c>
      <c r="AI56" s="117">
        <f t="shared" si="49"/>
        <v>0</v>
      </c>
      <c r="AJ56" s="117">
        <f t="shared" si="50"/>
        <v>0</v>
      </c>
    </row>
    <row r="57" spans="2:36" ht="16.5" customHeight="1">
      <c r="B57" s="11"/>
      <c r="C57" s="11"/>
      <c r="D57" s="4"/>
      <c r="E57" s="4" t="s">
        <v>187</v>
      </c>
      <c r="F57" s="5">
        <v>2</v>
      </c>
      <c r="G57" s="6">
        <v>1</v>
      </c>
      <c r="H57" s="7" t="s">
        <v>224</v>
      </c>
      <c r="I57" s="7"/>
      <c r="J57" s="4"/>
      <c r="K57" s="4" t="s">
        <v>214</v>
      </c>
      <c r="L57" s="5">
        <v>1</v>
      </c>
      <c r="M57" s="6">
        <v>1</v>
      </c>
      <c r="N57" s="7" t="str">
        <f t="shared" si="34"/>
        <v/>
      </c>
      <c r="O57" s="7"/>
      <c r="P57" s="36"/>
      <c r="Q57" s="35"/>
      <c r="T57" s="121" t="str">
        <f t="shared" si="35"/>
        <v/>
      </c>
      <c r="U57" s="118">
        <f t="shared" si="36"/>
        <v>0</v>
      </c>
      <c r="V57" s="117">
        <f t="shared" si="37"/>
        <v>0</v>
      </c>
      <c r="W57" s="117">
        <f t="shared" si="38"/>
        <v>1</v>
      </c>
      <c r="X57" s="117">
        <f t="shared" si="39"/>
        <v>1</v>
      </c>
      <c r="Y57" s="117">
        <f t="shared" si="40"/>
        <v>0</v>
      </c>
      <c r="Z57" s="117">
        <f t="shared" si="41"/>
        <v>0</v>
      </c>
      <c r="AA57" s="117">
        <f t="shared" si="42"/>
        <v>0</v>
      </c>
      <c r="AC57" s="121" t="str">
        <f t="shared" si="43"/>
        <v/>
      </c>
      <c r="AD57" s="118">
        <f t="shared" si="44"/>
        <v>0</v>
      </c>
      <c r="AE57" s="117">
        <f t="shared" si="45"/>
        <v>0</v>
      </c>
      <c r="AF57" s="117">
        <f t="shared" si="46"/>
        <v>0</v>
      </c>
      <c r="AG57" s="117">
        <f t="shared" si="47"/>
        <v>0</v>
      </c>
      <c r="AH57" s="117">
        <f t="shared" si="48"/>
        <v>3</v>
      </c>
      <c r="AI57" s="117">
        <f t="shared" si="49"/>
        <v>1</v>
      </c>
      <c r="AJ57" s="117">
        <f t="shared" si="50"/>
        <v>0</v>
      </c>
    </row>
    <row r="58" spans="2:36" ht="16.5" customHeight="1">
      <c r="B58" s="15"/>
      <c r="C58" s="15" t="s">
        <v>10</v>
      </c>
      <c r="D58" s="8"/>
      <c r="E58" s="9" t="s">
        <v>188</v>
      </c>
      <c r="F58" s="5">
        <v>1</v>
      </c>
      <c r="G58" s="6">
        <v>2</v>
      </c>
      <c r="H58" s="7" t="s">
        <v>224</v>
      </c>
      <c r="I58" s="10"/>
      <c r="J58" s="8"/>
      <c r="K58" s="9" t="s">
        <v>215</v>
      </c>
      <c r="L58" s="5">
        <v>1</v>
      </c>
      <c r="M58" s="6">
        <v>1</v>
      </c>
      <c r="N58" s="7" t="str">
        <f t="shared" si="34"/>
        <v/>
      </c>
      <c r="O58" s="10"/>
      <c r="P58" s="39" t="s">
        <v>26</v>
      </c>
      <c r="Q58" s="38"/>
      <c r="T58" s="121" t="str">
        <f t="shared" si="35"/>
        <v/>
      </c>
      <c r="U58" s="118">
        <f t="shared" si="36"/>
        <v>0</v>
      </c>
      <c r="V58" s="117">
        <f t="shared" si="37"/>
        <v>0</v>
      </c>
      <c r="W58" s="117">
        <f t="shared" si="38"/>
        <v>2</v>
      </c>
      <c r="X58" s="117">
        <f t="shared" si="39"/>
        <v>-1</v>
      </c>
      <c r="Y58" s="117">
        <f t="shared" si="40"/>
        <v>0</v>
      </c>
      <c r="Z58" s="117">
        <f t="shared" si="41"/>
        <v>0</v>
      </c>
      <c r="AA58" s="117">
        <f t="shared" si="42"/>
        <v>0</v>
      </c>
      <c r="AC58" s="121" t="str">
        <f t="shared" si="43"/>
        <v/>
      </c>
      <c r="AD58" s="118">
        <f t="shared" si="44"/>
        <v>0</v>
      </c>
      <c r="AE58" s="117">
        <f t="shared" si="45"/>
        <v>0</v>
      </c>
      <c r="AF58" s="117">
        <f t="shared" si="46"/>
        <v>0</v>
      </c>
      <c r="AG58" s="117">
        <f t="shared" si="47"/>
        <v>0</v>
      </c>
      <c r="AH58" s="117">
        <f t="shared" si="48"/>
        <v>3</v>
      </c>
      <c r="AI58" s="117">
        <f t="shared" si="49"/>
        <v>1</v>
      </c>
      <c r="AJ58" s="117">
        <f t="shared" si="50"/>
        <v>0</v>
      </c>
    </row>
    <row r="59" spans="2:36" ht="16.5" customHeight="1">
      <c r="B59" s="15"/>
      <c r="C59" s="15"/>
      <c r="D59" s="4"/>
      <c r="E59" s="4" t="s">
        <v>189</v>
      </c>
      <c r="F59" s="5">
        <v>3</v>
      </c>
      <c r="G59" s="6">
        <v>2</v>
      </c>
      <c r="H59" s="7" t="s">
        <v>224</v>
      </c>
      <c r="I59" s="7"/>
      <c r="J59" s="4"/>
      <c r="K59" s="4" t="s">
        <v>216</v>
      </c>
      <c r="L59" s="5">
        <v>1</v>
      </c>
      <c r="M59" s="6">
        <v>1</v>
      </c>
      <c r="N59" s="7" t="str">
        <f t="shared" si="34"/>
        <v/>
      </c>
      <c r="O59" s="7"/>
      <c r="P59" s="39"/>
      <c r="Q59" s="38"/>
      <c r="T59" s="121" t="str">
        <f t="shared" si="35"/>
        <v/>
      </c>
      <c r="U59" s="118">
        <f t="shared" si="36"/>
        <v>0</v>
      </c>
      <c r="V59" s="117">
        <f t="shared" si="37"/>
        <v>0</v>
      </c>
      <c r="W59" s="117">
        <f t="shared" si="38"/>
        <v>1</v>
      </c>
      <c r="X59" s="117">
        <f t="shared" si="39"/>
        <v>1</v>
      </c>
      <c r="Y59" s="117">
        <f t="shared" si="40"/>
        <v>0</v>
      </c>
      <c r="Z59" s="117">
        <f t="shared" si="41"/>
        <v>0</v>
      </c>
      <c r="AA59" s="117">
        <f t="shared" si="42"/>
        <v>0</v>
      </c>
      <c r="AC59" s="121" t="str">
        <f t="shared" si="43"/>
        <v/>
      </c>
      <c r="AD59" s="118">
        <f t="shared" si="44"/>
        <v>0</v>
      </c>
      <c r="AE59" s="117">
        <f t="shared" si="45"/>
        <v>0</v>
      </c>
      <c r="AF59" s="117">
        <f t="shared" si="46"/>
        <v>0</v>
      </c>
      <c r="AG59" s="117">
        <f t="shared" si="47"/>
        <v>0</v>
      </c>
      <c r="AH59" s="117">
        <f t="shared" si="48"/>
        <v>3</v>
      </c>
      <c r="AI59" s="117">
        <f t="shared" si="49"/>
        <v>1</v>
      </c>
      <c r="AJ59" s="117">
        <f t="shared" si="50"/>
        <v>0</v>
      </c>
    </row>
    <row r="60" spans="2:36" ht="16.5" customHeight="1">
      <c r="B60" s="15"/>
      <c r="C60" s="15"/>
      <c r="D60" s="8"/>
      <c r="E60" s="9" t="s">
        <v>190</v>
      </c>
      <c r="F60" s="5">
        <v>1</v>
      </c>
      <c r="G60" s="6">
        <v>2</v>
      </c>
      <c r="H60" s="7" t="s">
        <v>224</v>
      </c>
      <c r="I60" s="10"/>
      <c r="J60" s="8"/>
      <c r="K60" s="9" t="s">
        <v>217</v>
      </c>
      <c r="L60" s="5">
        <v>1</v>
      </c>
      <c r="M60" s="6">
        <v>2</v>
      </c>
      <c r="N60" s="7" t="str">
        <f t="shared" si="34"/>
        <v/>
      </c>
      <c r="O60" s="10"/>
      <c r="P60" s="39"/>
      <c r="Q60" s="38"/>
      <c r="T60" s="121" t="str">
        <f t="shared" si="35"/>
        <v/>
      </c>
      <c r="U60" s="118">
        <f t="shared" si="36"/>
        <v>0</v>
      </c>
      <c r="V60" s="117">
        <f t="shared" si="37"/>
        <v>0</v>
      </c>
      <c r="W60" s="117">
        <f t="shared" si="38"/>
        <v>2</v>
      </c>
      <c r="X60" s="117">
        <f t="shared" si="39"/>
        <v>-1</v>
      </c>
      <c r="Y60" s="117">
        <f t="shared" si="40"/>
        <v>0</v>
      </c>
      <c r="Z60" s="117">
        <f t="shared" si="41"/>
        <v>0</v>
      </c>
      <c r="AA60" s="117">
        <f t="shared" si="42"/>
        <v>0</v>
      </c>
      <c r="AC60" s="121" t="str">
        <f t="shared" si="43"/>
        <v/>
      </c>
      <c r="AD60" s="118">
        <f t="shared" si="44"/>
        <v>0</v>
      </c>
      <c r="AE60" s="117">
        <f t="shared" si="45"/>
        <v>0</v>
      </c>
      <c r="AF60" s="117">
        <f t="shared" si="46"/>
        <v>2</v>
      </c>
      <c r="AG60" s="117">
        <f t="shared" si="47"/>
        <v>-1</v>
      </c>
      <c r="AH60" s="117">
        <f t="shared" si="48"/>
        <v>0</v>
      </c>
      <c r="AI60" s="117">
        <f t="shared" si="49"/>
        <v>0</v>
      </c>
      <c r="AJ60" s="117">
        <f t="shared" si="50"/>
        <v>0</v>
      </c>
    </row>
    <row r="61" spans="2:36" ht="16.5" customHeight="1">
      <c r="B61" s="15"/>
      <c r="C61" s="15"/>
      <c r="D61" s="4"/>
      <c r="E61" s="4" t="s">
        <v>191</v>
      </c>
      <c r="F61" s="5">
        <v>1</v>
      </c>
      <c r="G61" s="6">
        <v>0</v>
      </c>
      <c r="H61" s="7" t="s">
        <v>224</v>
      </c>
      <c r="I61" s="7"/>
      <c r="J61" s="4"/>
      <c r="K61" s="4" t="s">
        <v>218</v>
      </c>
      <c r="L61" s="5">
        <v>1</v>
      </c>
      <c r="M61" s="6">
        <v>1</v>
      </c>
      <c r="N61" s="7" t="str">
        <f t="shared" si="34"/>
        <v/>
      </c>
      <c r="O61" s="7"/>
      <c r="P61" s="39"/>
      <c r="Q61" s="38"/>
      <c r="T61" s="121" t="str">
        <f t="shared" si="35"/>
        <v/>
      </c>
      <c r="U61" s="118">
        <f t="shared" si="36"/>
        <v>0</v>
      </c>
      <c r="V61" s="117">
        <f t="shared" si="37"/>
        <v>0</v>
      </c>
      <c r="W61" s="117">
        <f t="shared" si="38"/>
        <v>1</v>
      </c>
      <c r="X61" s="117">
        <f t="shared" si="39"/>
        <v>1</v>
      </c>
      <c r="Y61" s="117">
        <f t="shared" si="40"/>
        <v>0</v>
      </c>
      <c r="Z61" s="117">
        <f t="shared" si="41"/>
        <v>0</v>
      </c>
      <c r="AA61" s="117">
        <f t="shared" si="42"/>
        <v>0</v>
      </c>
      <c r="AC61" s="121" t="str">
        <f t="shared" si="43"/>
        <v/>
      </c>
      <c r="AD61" s="118">
        <f t="shared" si="44"/>
        <v>0</v>
      </c>
      <c r="AE61" s="117">
        <f t="shared" si="45"/>
        <v>0</v>
      </c>
      <c r="AF61" s="117">
        <f t="shared" si="46"/>
        <v>0</v>
      </c>
      <c r="AG61" s="117">
        <f t="shared" si="47"/>
        <v>0</v>
      </c>
      <c r="AH61" s="117">
        <f t="shared" si="48"/>
        <v>3</v>
      </c>
      <c r="AI61" s="117">
        <f t="shared" si="49"/>
        <v>1</v>
      </c>
      <c r="AJ61" s="117">
        <f t="shared" si="50"/>
        <v>0</v>
      </c>
    </row>
    <row r="62" spans="2:36" ht="16.5" customHeight="1">
      <c r="B62" s="15"/>
      <c r="C62" s="15"/>
      <c r="D62" s="8"/>
      <c r="E62" s="9" t="s">
        <v>192</v>
      </c>
      <c r="F62" s="5">
        <v>1</v>
      </c>
      <c r="G62" s="6">
        <v>1</v>
      </c>
      <c r="H62" s="7" t="s">
        <v>224</v>
      </c>
      <c r="I62" s="10"/>
      <c r="J62" s="8"/>
      <c r="K62" s="9" t="s">
        <v>219</v>
      </c>
      <c r="L62" s="5">
        <v>1</v>
      </c>
      <c r="M62" s="6">
        <v>2</v>
      </c>
      <c r="N62" s="7" t="str">
        <f t="shared" si="34"/>
        <v/>
      </c>
      <c r="O62" s="10"/>
      <c r="P62" s="39"/>
      <c r="Q62" s="38"/>
      <c r="T62" s="121" t="str">
        <f t="shared" si="35"/>
        <v/>
      </c>
      <c r="U62" s="118">
        <f t="shared" si="36"/>
        <v>0</v>
      </c>
      <c r="V62" s="117">
        <f t="shared" si="37"/>
        <v>0</v>
      </c>
      <c r="W62" s="117">
        <f t="shared" si="38"/>
        <v>0</v>
      </c>
      <c r="X62" s="117">
        <f t="shared" si="39"/>
        <v>0</v>
      </c>
      <c r="Y62" s="117">
        <f t="shared" si="40"/>
        <v>3</v>
      </c>
      <c r="Z62" s="117">
        <f t="shared" si="41"/>
        <v>1</v>
      </c>
      <c r="AA62" s="117">
        <f t="shared" si="42"/>
        <v>0</v>
      </c>
      <c r="AC62" s="121" t="str">
        <f t="shared" si="43"/>
        <v/>
      </c>
      <c r="AD62" s="118">
        <f t="shared" si="44"/>
        <v>0</v>
      </c>
      <c r="AE62" s="117">
        <f t="shared" si="45"/>
        <v>0</v>
      </c>
      <c r="AF62" s="117">
        <f t="shared" si="46"/>
        <v>2</v>
      </c>
      <c r="AG62" s="117">
        <f t="shared" si="47"/>
        <v>-1</v>
      </c>
      <c r="AH62" s="117">
        <f t="shared" si="48"/>
        <v>0</v>
      </c>
      <c r="AI62" s="117">
        <f t="shared" si="49"/>
        <v>0</v>
      </c>
      <c r="AJ62" s="117">
        <f t="shared" si="50"/>
        <v>0</v>
      </c>
    </row>
    <row r="63" spans="2:36" ht="16.5" customHeight="1">
      <c r="B63" s="15"/>
      <c r="C63" s="15"/>
      <c r="D63" s="4"/>
      <c r="E63" s="4" t="s">
        <v>193</v>
      </c>
      <c r="F63" s="5">
        <v>1</v>
      </c>
      <c r="G63" s="6">
        <v>1</v>
      </c>
      <c r="H63" s="7" t="s">
        <v>224</v>
      </c>
      <c r="I63" s="7"/>
      <c r="J63" s="4"/>
      <c r="K63" s="4" t="s">
        <v>220</v>
      </c>
      <c r="L63" s="5">
        <v>0</v>
      </c>
      <c r="M63" s="6">
        <v>2</v>
      </c>
      <c r="N63" s="7" t="str">
        <f t="shared" si="34"/>
        <v/>
      </c>
      <c r="O63" s="7"/>
      <c r="P63" s="39"/>
      <c r="Q63" s="38"/>
      <c r="T63" s="121" t="str">
        <f t="shared" si="35"/>
        <v/>
      </c>
      <c r="U63" s="118">
        <f t="shared" si="36"/>
        <v>0</v>
      </c>
      <c r="V63" s="117">
        <f t="shared" si="37"/>
        <v>0</v>
      </c>
      <c r="W63" s="117">
        <f t="shared" si="38"/>
        <v>0</v>
      </c>
      <c r="X63" s="117">
        <f t="shared" si="39"/>
        <v>0</v>
      </c>
      <c r="Y63" s="117">
        <f t="shared" si="40"/>
        <v>3</v>
      </c>
      <c r="Z63" s="117">
        <f t="shared" si="41"/>
        <v>1</v>
      </c>
      <c r="AA63" s="117">
        <f t="shared" si="42"/>
        <v>0</v>
      </c>
      <c r="AC63" s="121" t="str">
        <f t="shared" si="43"/>
        <v/>
      </c>
      <c r="AD63" s="118">
        <f t="shared" si="44"/>
        <v>0</v>
      </c>
      <c r="AE63" s="117">
        <f t="shared" si="45"/>
        <v>0</v>
      </c>
      <c r="AF63" s="117">
        <f t="shared" si="46"/>
        <v>2</v>
      </c>
      <c r="AG63" s="117">
        <f t="shared" si="47"/>
        <v>-2</v>
      </c>
      <c r="AH63" s="117">
        <f t="shared" si="48"/>
        <v>0</v>
      </c>
      <c r="AI63" s="117">
        <f t="shared" si="49"/>
        <v>0</v>
      </c>
      <c r="AJ63" s="117">
        <f t="shared" si="50"/>
        <v>0</v>
      </c>
    </row>
    <row r="64" spans="2:36" ht="16.5" customHeight="1">
      <c r="B64" s="15"/>
      <c r="C64" s="15"/>
      <c r="D64" s="8"/>
      <c r="E64" s="9" t="s">
        <v>194</v>
      </c>
      <c r="F64" s="5">
        <v>1</v>
      </c>
      <c r="G64" s="6">
        <v>2</v>
      </c>
      <c r="H64" s="7" t="s">
        <v>224</v>
      </c>
      <c r="I64" s="10"/>
      <c r="J64" s="8"/>
      <c r="K64" s="9" t="s">
        <v>221</v>
      </c>
      <c r="L64" s="5">
        <v>1</v>
      </c>
      <c r="M64" s="6">
        <v>2</v>
      </c>
      <c r="N64" s="7" t="str">
        <f t="shared" si="34"/>
        <v/>
      </c>
      <c r="O64" s="10"/>
      <c r="P64" s="39"/>
      <c r="Q64" s="38"/>
      <c r="T64" s="121" t="str">
        <f t="shared" si="35"/>
        <v/>
      </c>
      <c r="U64" s="118">
        <f t="shared" si="36"/>
        <v>0</v>
      </c>
      <c r="V64" s="117">
        <f t="shared" si="37"/>
        <v>0</v>
      </c>
      <c r="W64" s="117">
        <f t="shared" si="38"/>
        <v>2</v>
      </c>
      <c r="X64" s="117">
        <f t="shared" si="39"/>
        <v>-1</v>
      </c>
      <c r="Y64" s="117">
        <f t="shared" si="40"/>
        <v>0</v>
      </c>
      <c r="Z64" s="117">
        <f t="shared" si="41"/>
        <v>0</v>
      </c>
      <c r="AA64" s="117">
        <f t="shared" si="42"/>
        <v>0</v>
      </c>
      <c r="AC64" s="121" t="str">
        <f t="shared" si="43"/>
        <v/>
      </c>
      <c r="AD64" s="118">
        <f t="shared" si="44"/>
        <v>0</v>
      </c>
      <c r="AE64" s="117">
        <f t="shared" si="45"/>
        <v>0</v>
      </c>
      <c r="AF64" s="117">
        <f t="shared" si="46"/>
        <v>2</v>
      </c>
      <c r="AG64" s="117">
        <f t="shared" si="47"/>
        <v>-1</v>
      </c>
      <c r="AH64" s="117">
        <f t="shared" si="48"/>
        <v>0</v>
      </c>
      <c r="AI64" s="117">
        <f t="shared" si="49"/>
        <v>0</v>
      </c>
      <c r="AJ64" s="117">
        <f t="shared" si="50"/>
        <v>0</v>
      </c>
    </row>
    <row r="65" spans="2:36" ht="16.5" customHeight="1">
      <c r="C65" s="1"/>
      <c r="D65" s="1"/>
      <c r="E65" s="1"/>
      <c r="H65" s="1"/>
      <c r="I65" s="1"/>
      <c r="J65" s="1"/>
      <c r="P65" s="1"/>
    </row>
    <row r="66" spans="2:36" ht="23.25">
      <c r="B66" s="33" t="s">
        <v>118</v>
      </c>
      <c r="D66" s="52"/>
      <c r="E66" s="55" t="s">
        <v>61</v>
      </c>
      <c r="F66" s="56"/>
      <c r="G66" s="57"/>
      <c r="H66" s="57"/>
      <c r="I66" s="56"/>
      <c r="J66" s="82"/>
      <c r="K66" s="82" t="s">
        <v>62</v>
      </c>
      <c r="L66" s="82"/>
      <c r="M66" s="12"/>
      <c r="N66" s="17"/>
      <c r="O66" s="17"/>
      <c r="P66" s="90"/>
      <c r="Q66" s="17"/>
      <c r="R66" s="17"/>
    </row>
    <row r="67" spans="2:36" ht="15">
      <c r="C67" s="1"/>
      <c r="D67" s="1"/>
      <c r="E67" s="1"/>
      <c r="H67" s="1"/>
      <c r="I67" s="1"/>
      <c r="J67" s="1"/>
      <c r="P67" s="1"/>
    </row>
    <row r="68" spans="2:36" ht="16.5" customHeight="1">
      <c r="B68" s="12"/>
      <c r="C68" s="12" t="s">
        <v>7</v>
      </c>
      <c r="D68" s="4"/>
      <c r="E68" s="4" t="s">
        <v>32</v>
      </c>
      <c r="F68" s="5">
        <v>0</v>
      </c>
      <c r="G68" s="6">
        <v>1</v>
      </c>
      <c r="H68" s="7" t="s">
        <v>224</v>
      </c>
      <c r="I68" s="7"/>
      <c r="J68" s="4"/>
      <c r="K68" s="4" t="s">
        <v>195</v>
      </c>
      <c r="L68" s="5">
        <v>1</v>
      </c>
      <c r="M68" s="6">
        <v>0</v>
      </c>
      <c r="N68" s="7" t="str">
        <f>AC68</f>
        <v/>
      </c>
      <c r="O68" s="7"/>
      <c r="P68" s="24" t="s">
        <v>13</v>
      </c>
      <c r="Q68" s="13"/>
      <c r="T68" s="121" t="str">
        <f>IF($G$66="","",SUM(Y68:AA68))</f>
        <v/>
      </c>
      <c r="U68" s="118">
        <f t="shared" ref="U68" si="51">IF(V68&gt;0,1,IF(V68=0,0,2))</f>
        <v>0</v>
      </c>
      <c r="V68" s="117">
        <f>$G$66-$H$66</f>
        <v>0</v>
      </c>
      <c r="W68" s="117">
        <f t="shared" ref="W68" si="52">IF(X68&gt;0,1,IF(X68=0,0,2))</f>
        <v>2</v>
      </c>
      <c r="X68" s="117">
        <f>F68-G68</f>
        <v>-1</v>
      </c>
      <c r="Y68" s="117">
        <f t="shared" ref="Y68" si="53">IF(U68=W68,3,0)</f>
        <v>0</v>
      </c>
      <c r="Z68" s="117">
        <f t="shared" ref="Z68" si="54">IF(V68=X68,1,0)</f>
        <v>0</v>
      </c>
      <c r="AA68" s="117">
        <f>IF(Z68=1,IF($G$66=F68,1,0),0)</f>
        <v>0</v>
      </c>
      <c r="AC68" s="121" t="str">
        <f>IF($G$66="","",SUM(AH68:AJ68))</f>
        <v/>
      </c>
      <c r="AD68" s="118">
        <f t="shared" ref="AD68" si="55">IF(AE68&gt;0,1,IF(AE68=0,0,2))</f>
        <v>0</v>
      </c>
      <c r="AE68" s="117">
        <f>$G$66-$H$66</f>
        <v>0</v>
      </c>
      <c r="AF68" s="117">
        <f t="shared" ref="AF68" si="56">IF(AG68&gt;0,1,IF(AG68=0,0,2))</f>
        <v>1</v>
      </c>
      <c r="AG68" s="117">
        <f>L68-M68</f>
        <v>1</v>
      </c>
      <c r="AH68" s="117">
        <f t="shared" ref="AH68" si="57">IF(AD68=AF68,3,0)</f>
        <v>0</v>
      </c>
      <c r="AI68" s="117">
        <f t="shared" ref="AI68" si="58">IF(AE68=AG68,1,0)</f>
        <v>0</v>
      </c>
      <c r="AJ68" s="117">
        <f>IF(AI68=1,IF($G$66=L68,1,0),0)</f>
        <v>0</v>
      </c>
    </row>
    <row r="69" spans="2:36" ht="16.5" customHeight="1">
      <c r="B69" s="12"/>
      <c r="C69" s="12"/>
      <c r="D69" s="8"/>
      <c r="E69" s="9" t="s">
        <v>170</v>
      </c>
      <c r="F69" s="5">
        <v>2</v>
      </c>
      <c r="G69" s="6">
        <v>1</v>
      </c>
      <c r="H69" s="7" t="s">
        <v>224</v>
      </c>
      <c r="I69" s="10"/>
      <c r="J69" s="8"/>
      <c r="K69" s="9" t="s">
        <v>196</v>
      </c>
      <c r="L69" s="5">
        <v>1</v>
      </c>
      <c r="M69" s="6">
        <v>2</v>
      </c>
      <c r="N69" s="7" t="str">
        <f t="shared" ref="N69:N95" si="59">AC69</f>
        <v/>
      </c>
      <c r="O69" s="10"/>
      <c r="P69" s="24"/>
      <c r="Q69" s="13"/>
      <c r="T69" s="121" t="str">
        <f t="shared" ref="T69:T95" si="60">IF($G$66="","",SUM(Y69:AA69))</f>
        <v/>
      </c>
      <c r="U69" s="118">
        <f t="shared" ref="U69:U95" si="61">IF(V69&gt;0,1,IF(V69=0,0,2))</f>
        <v>0</v>
      </c>
      <c r="V69" s="117">
        <f t="shared" ref="V69:V95" si="62">$G$66-$H$66</f>
        <v>0</v>
      </c>
      <c r="W69" s="117">
        <f t="shared" ref="W69:W95" si="63">IF(X69&gt;0,1,IF(X69=0,0,2))</f>
        <v>1</v>
      </c>
      <c r="X69" s="117">
        <f t="shared" ref="X69:X95" si="64">F69-G69</f>
        <v>1</v>
      </c>
      <c r="Y69" s="117">
        <f t="shared" ref="Y69:Y95" si="65">IF(U69=W69,3,0)</f>
        <v>0</v>
      </c>
      <c r="Z69" s="117">
        <f t="shared" ref="Z69:Z95" si="66">IF(V69=X69,1,0)</f>
        <v>0</v>
      </c>
      <c r="AA69" s="117">
        <f t="shared" ref="AA69:AA95" si="67">IF(Z69=1,IF($G$66=F69,1,0),0)</f>
        <v>0</v>
      </c>
      <c r="AC69" s="121" t="str">
        <f t="shared" ref="AC69:AC95" si="68">IF($G$66="","",SUM(AH69:AJ69))</f>
        <v/>
      </c>
      <c r="AD69" s="118">
        <f t="shared" ref="AD69:AD95" si="69">IF(AE69&gt;0,1,IF(AE69=0,0,2))</f>
        <v>0</v>
      </c>
      <c r="AE69" s="117">
        <f t="shared" ref="AE69:AE95" si="70">$G$66-$H$66</f>
        <v>0</v>
      </c>
      <c r="AF69" s="117">
        <f t="shared" ref="AF69:AF95" si="71">IF(AG69&gt;0,1,IF(AG69=0,0,2))</f>
        <v>2</v>
      </c>
      <c r="AG69" s="117">
        <f t="shared" ref="AG69:AG95" si="72">L69-M69</f>
        <v>-1</v>
      </c>
      <c r="AH69" s="117">
        <f t="shared" ref="AH69:AH95" si="73">IF(AD69=AF69,3,0)</f>
        <v>0</v>
      </c>
      <c r="AI69" s="117">
        <f t="shared" ref="AI69:AI95" si="74">IF(AE69=AG69,1,0)</f>
        <v>0</v>
      </c>
      <c r="AJ69" s="117">
        <f t="shared" ref="AJ69:AJ95" si="75">IF(AI69=1,IF($G$66=L69,1,0),0)</f>
        <v>0</v>
      </c>
    </row>
    <row r="70" spans="2:36" ht="16.5" customHeight="1">
      <c r="B70" s="12"/>
      <c r="C70" s="12"/>
      <c r="D70" s="4"/>
      <c r="E70" s="4" t="s">
        <v>171</v>
      </c>
      <c r="F70" s="5">
        <v>2</v>
      </c>
      <c r="G70" s="6">
        <v>1</v>
      </c>
      <c r="H70" s="7" t="s">
        <v>224</v>
      </c>
      <c r="I70" s="7"/>
      <c r="J70" s="4"/>
      <c r="K70" s="4" t="s">
        <v>197</v>
      </c>
      <c r="L70" s="5">
        <v>1</v>
      </c>
      <c r="M70" s="6">
        <v>1</v>
      </c>
      <c r="N70" s="7" t="str">
        <f t="shared" si="59"/>
        <v/>
      </c>
      <c r="O70" s="7"/>
      <c r="P70" s="24"/>
      <c r="Q70" s="13"/>
      <c r="T70" s="121" t="str">
        <f t="shared" si="60"/>
        <v/>
      </c>
      <c r="U70" s="118">
        <f t="shared" si="61"/>
        <v>0</v>
      </c>
      <c r="V70" s="117">
        <f t="shared" si="62"/>
        <v>0</v>
      </c>
      <c r="W70" s="117">
        <f t="shared" si="63"/>
        <v>1</v>
      </c>
      <c r="X70" s="117">
        <f t="shared" si="64"/>
        <v>1</v>
      </c>
      <c r="Y70" s="117">
        <f t="shared" si="65"/>
        <v>0</v>
      </c>
      <c r="Z70" s="117">
        <f t="shared" si="66"/>
        <v>0</v>
      </c>
      <c r="AA70" s="117">
        <f t="shared" si="67"/>
        <v>0</v>
      </c>
      <c r="AC70" s="121" t="str">
        <f t="shared" si="68"/>
        <v/>
      </c>
      <c r="AD70" s="118">
        <f t="shared" si="69"/>
        <v>0</v>
      </c>
      <c r="AE70" s="117">
        <f t="shared" si="70"/>
        <v>0</v>
      </c>
      <c r="AF70" s="117">
        <f t="shared" si="71"/>
        <v>0</v>
      </c>
      <c r="AG70" s="117">
        <f t="shared" si="72"/>
        <v>0</v>
      </c>
      <c r="AH70" s="117">
        <f t="shared" si="73"/>
        <v>3</v>
      </c>
      <c r="AI70" s="117">
        <f t="shared" si="74"/>
        <v>1</v>
      </c>
      <c r="AJ70" s="117">
        <f t="shared" si="75"/>
        <v>0</v>
      </c>
    </row>
    <row r="71" spans="2:36" ht="16.5" customHeight="1">
      <c r="B71" s="12"/>
      <c r="C71" s="12"/>
      <c r="D71" s="8"/>
      <c r="E71" s="9" t="s">
        <v>172</v>
      </c>
      <c r="F71" s="5">
        <v>2</v>
      </c>
      <c r="G71" s="6">
        <v>0</v>
      </c>
      <c r="H71" s="7" t="s">
        <v>224</v>
      </c>
      <c r="I71" s="10"/>
      <c r="J71" s="8"/>
      <c r="K71" s="9" t="s">
        <v>198</v>
      </c>
      <c r="L71" s="5">
        <v>2</v>
      </c>
      <c r="M71" s="6">
        <v>1</v>
      </c>
      <c r="N71" s="7" t="str">
        <f t="shared" si="59"/>
        <v/>
      </c>
      <c r="O71" s="10"/>
      <c r="P71" s="24"/>
      <c r="Q71" s="13"/>
      <c r="T71" s="121" t="str">
        <f t="shared" si="60"/>
        <v/>
      </c>
      <c r="U71" s="118">
        <f t="shared" si="61"/>
        <v>0</v>
      </c>
      <c r="V71" s="117">
        <f t="shared" si="62"/>
        <v>0</v>
      </c>
      <c r="W71" s="117">
        <f t="shared" si="63"/>
        <v>1</v>
      </c>
      <c r="X71" s="117">
        <f t="shared" si="64"/>
        <v>2</v>
      </c>
      <c r="Y71" s="117">
        <f t="shared" si="65"/>
        <v>0</v>
      </c>
      <c r="Z71" s="117">
        <f t="shared" si="66"/>
        <v>0</v>
      </c>
      <c r="AA71" s="117">
        <f t="shared" si="67"/>
        <v>0</v>
      </c>
      <c r="AC71" s="121" t="str">
        <f t="shared" si="68"/>
        <v/>
      </c>
      <c r="AD71" s="118">
        <f t="shared" si="69"/>
        <v>0</v>
      </c>
      <c r="AE71" s="117">
        <f t="shared" si="70"/>
        <v>0</v>
      </c>
      <c r="AF71" s="117">
        <f t="shared" si="71"/>
        <v>1</v>
      </c>
      <c r="AG71" s="117">
        <f t="shared" si="72"/>
        <v>1</v>
      </c>
      <c r="AH71" s="117">
        <f t="shared" si="73"/>
        <v>0</v>
      </c>
      <c r="AI71" s="117">
        <f t="shared" si="74"/>
        <v>0</v>
      </c>
      <c r="AJ71" s="117">
        <f t="shared" si="75"/>
        <v>0</v>
      </c>
    </row>
    <row r="72" spans="2:36" ht="16.5" customHeight="1">
      <c r="B72" s="12"/>
      <c r="C72" s="12"/>
      <c r="D72" s="4"/>
      <c r="E72" s="4" t="s">
        <v>173</v>
      </c>
      <c r="F72" s="5">
        <v>2</v>
      </c>
      <c r="G72" s="6">
        <v>1</v>
      </c>
      <c r="H72" s="7" t="s">
        <v>224</v>
      </c>
      <c r="I72" s="7"/>
      <c r="J72" s="4"/>
      <c r="K72" s="4" t="s">
        <v>199</v>
      </c>
      <c r="L72" s="5">
        <v>1</v>
      </c>
      <c r="M72" s="6">
        <v>1</v>
      </c>
      <c r="N72" s="7" t="str">
        <f t="shared" si="59"/>
        <v/>
      </c>
      <c r="O72" s="7"/>
      <c r="P72" s="24"/>
      <c r="Q72" s="13"/>
      <c r="T72" s="121" t="str">
        <f t="shared" si="60"/>
        <v/>
      </c>
      <c r="U72" s="118">
        <f t="shared" si="61"/>
        <v>0</v>
      </c>
      <c r="V72" s="117">
        <f t="shared" si="62"/>
        <v>0</v>
      </c>
      <c r="W72" s="117">
        <f t="shared" si="63"/>
        <v>1</v>
      </c>
      <c r="X72" s="117">
        <f t="shared" si="64"/>
        <v>1</v>
      </c>
      <c r="Y72" s="117">
        <f t="shared" si="65"/>
        <v>0</v>
      </c>
      <c r="Z72" s="117">
        <f t="shared" si="66"/>
        <v>0</v>
      </c>
      <c r="AA72" s="117">
        <f t="shared" si="67"/>
        <v>0</v>
      </c>
      <c r="AC72" s="121" t="str">
        <f t="shared" si="68"/>
        <v/>
      </c>
      <c r="AD72" s="118">
        <f t="shared" si="69"/>
        <v>0</v>
      </c>
      <c r="AE72" s="117">
        <f t="shared" si="70"/>
        <v>0</v>
      </c>
      <c r="AF72" s="117">
        <f t="shared" si="71"/>
        <v>0</v>
      </c>
      <c r="AG72" s="117">
        <f t="shared" si="72"/>
        <v>0</v>
      </c>
      <c r="AH72" s="117">
        <f t="shared" si="73"/>
        <v>3</v>
      </c>
      <c r="AI72" s="117">
        <f t="shared" si="74"/>
        <v>1</v>
      </c>
      <c r="AJ72" s="117">
        <f t="shared" si="75"/>
        <v>0</v>
      </c>
    </row>
    <row r="73" spans="2:36" ht="16.5" customHeight="1">
      <c r="B73" s="12"/>
      <c r="C73" s="12"/>
      <c r="D73" s="8"/>
      <c r="E73" s="9" t="s">
        <v>174</v>
      </c>
      <c r="F73" s="5">
        <v>1</v>
      </c>
      <c r="G73" s="6">
        <v>1</v>
      </c>
      <c r="H73" s="7" t="s">
        <v>224</v>
      </c>
      <c r="I73" s="10"/>
      <c r="J73" s="8"/>
      <c r="K73" s="9" t="s">
        <v>200</v>
      </c>
      <c r="L73" s="5">
        <v>2</v>
      </c>
      <c r="M73" s="6">
        <v>1</v>
      </c>
      <c r="N73" s="7" t="str">
        <f t="shared" si="59"/>
        <v/>
      </c>
      <c r="O73" s="10"/>
      <c r="P73" s="24"/>
      <c r="Q73" s="13"/>
      <c r="T73" s="121" t="str">
        <f t="shared" si="60"/>
        <v/>
      </c>
      <c r="U73" s="118">
        <f t="shared" si="61"/>
        <v>0</v>
      </c>
      <c r="V73" s="117">
        <f t="shared" si="62"/>
        <v>0</v>
      </c>
      <c r="W73" s="117">
        <f t="shared" si="63"/>
        <v>0</v>
      </c>
      <c r="X73" s="117">
        <f t="shared" si="64"/>
        <v>0</v>
      </c>
      <c r="Y73" s="117">
        <f t="shared" si="65"/>
        <v>3</v>
      </c>
      <c r="Z73" s="117">
        <f t="shared" si="66"/>
        <v>1</v>
      </c>
      <c r="AA73" s="117">
        <f t="shared" si="67"/>
        <v>0</v>
      </c>
      <c r="AC73" s="121" t="str">
        <f t="shared" si="68"/>
        <v/>
      </c>
      <c r="AD73" s="118">
        <f t="shared" si="69"/>
        <v>0</v>
      </c>
      <c r="AE73" s="117">
        <f t="shared" si="70"/>
        <v>0</v>
      </c>
      <c r="AF73" s="117">
        <f t="shared" si="71"/>
        <v>1</v>
      </c>
      <c r="AG73" s="117">
        <f t="shared" si="72"/>
        <v>1</v>
      </c>
      <c r="AH73" s="117">
        <f t="shared" si="73"/>
        <v>0</v>
      </c>
      <c r="AI73" s="117">
        <f t="shared" si="74"/>
        <v>0</v>
      </c>
      <c r="AJ73" s="117">
        <f t="shared" si="75"/>
        <v>0</v>
      </c>
    </row>
    <row r="74" spans="2:36" ht="16.5" customHeight="1">
      <c r="B74" s="12"/>
      <c r="C74" s="12"/>
      <c r="D74" s="4"/>
      <c r="E74" s="4" t="s">
        <v>175</v>
      </c>
      <c r="F74" s="5">
        <v>0</v>
      </c>
      <c r="G74" s="6">
        <v>1</v>
      </c>
      <c r="H74" s="7" t="s">
        <v>224</v>
      </c>
      <c r="I74" s="7"/>
      <c r="J74" s="4"/>
      <c r="K74" s="4" t="s">
        <v>201</v>
      </c>
      <c r="L74" s="5">
        <v>2</v>
      </c>
      <c r="M74" s="6">
        <v>0</v>
      </c>
      <c r="N74" s="7" t="str">
        <f t="shared" si="59"/>
        <v/>
      </c>
      <c r="O74" s="7"/>
      <c r="P74" s="24"/>
      <c r="Q74" s="13"/>
      <c r="T74" s="121" t="str">
        <f t="shared" si="60"/>
        <v/>
      </c>
      <c r="U74" s="118">
        <f t="shared" si="61"/>
        <v>0</v>
      </c>
      <c r="V74" s="117">
        <f t="shared" si="62"/>
        <v>0</v>
      </c>
      <c r="W74" s="117">
        <f t="shared" si="63"/>
        <v>2</v>
      </c>
      <c r="X74" s="117">
        <f t="shared" si="64"/>
        <v>-1</v>
      </c>
      <c r="Y74" s="117">
        <f t="shared" si="65"/>
        <v>0</v>
      </c>
      <c r="Z74" s="117">
        <f t="shared" si="66"/>
        <v>0</v>
      </c>
      <c r="AA74" s="117">
        <f t="shared" si="67"/>
        <v>0</v>
      </c>
      <c r="AC74" s="121" t="str">
        <f t="shared" si="68"/>
        <v/>
      </c>
      <c r="AD74" s="118">
        <f t="shared" si="69"/>
        <v>0</v>
      </c>
      <c r="AE74" s="117">
        <f t="shared" si="70"/>
        <v>0</v>
      </c>
      <c r="AF74" s="117">
        <f t="shared" si="71"/>
        <v>1</v>
      </c>
      <c r="AG74" s="117">
        <f t="shared" si="72"/>
        <v>2</v>
      </c>
      <c r="AH74" s="117">
        <f t="shared" si="73"/>
        <v>0</v>
      </c>
      <c r="AI74" s="117">
        <f t="shared" si="74"/>
        <v>0</v>
      </c>
      <c r="AJ74" s="117">
        <f t="shared" si="75"/>
        <v>0</v>
      </c>
    </row>
    <row r="75" spans="2:36" ht="16.5" customHeight="1">
      <c r="B75" s="14"/>
      <c r="C75" s="14" t="s">
        <v>8</v>
      </c>
      <c r="D75" s="8"/>
      <c r="E75" s="9" t="s">
        <v>33</v>
      </c>
      <c r="F75" s="5">
        <v>1</v>
      </c>
      <c r="G75" s="6">
        <v>1</v>
      </c>
      <c r="H75" s="7" t="s">
        <v>224</v>
      </c>
      <c r="I75" s="10"/>
      <c r="J75" s="8"/>
      <c r="K75" s="9" t="s">
        <v>225</v>
      </c>
      <c r="L75" s="5">
        <v>1</v>
      </c>
      <c r="M75" s="6">
        <v>0</v>
      </c>
      <c r="N75" s="7" t="str">
        <f t="shared" si="59"/>
        <v/>
      </c>
      <c r="O75" s="10"/>
      <c r="P75" s="31" t="s">
        <v>16</v>
      </c>
      <c r="Q75" s="30"/>
      <c r="T75" s="121" t="str">
        <f t="shared" si="60"/>
        <v/>
      </c>
      <c r="U75" s="118">
        <f t="shared" si="61"/>
        <v>0</v>
      </c>
      <c r="V75" s="117">
        <f t="shared" si="62"/>
        <v>0</v>
      </c>
      <c r="W75" s="117">
        <f t="shared" si="63"/>
        <v>0</v>
      </c>
      <c r="X75" s="117">
        <f t="shared" si="64"/>
        <v>0</v>
      </c>
      <c r="Y75" s="117">
        <f t="shared" si="65"/>
        <v>3</v>
      </c>
      <c r="Z75" s="117">
        <f t="shared" si="66"/>
        <v>1</v>
      </c>
      <c r="AA75" s="117">
        <f t="shared" si="67"/>
        <v>0</v>
      </c>
      <c r="AC75" s="121" t="str">
        <f t="shared" si="68"/>
        <v/>
      </c>
      <c r="AD75" s="118">
        <f t="shared" si="69"/>
        <v>0</v>
      </c>
      <c r="AE75" s="117">
        <f t="shared" si="70"/>
        <v>0</v>
      </c>
      <c r="AF75" s="117">
        <f t="shared" si="71"/>
        <v>1</v>
      </c>
      <c r="AG75" s="117">
        <f t="shared" si="72"/>
        <v>1</v>
      </c>
      <c r="AH75" s="117">
        <f t="shared" si="73"/>
        <v>0</v>
      </c>
      <c r="AI75" s="117">
        <f t="shared" si="74"/>
        <v>0</v>
      </c>
      <c r="AJ75" s="117">
        <f t="shared" si="75"/>
        <v>0</v>
      </c>
    </row>
    <row r="76" spans="2:36" ht="16.5" customHeight="1">
      <c r="B76" s="14"/>
      <c r="C76" s="14"/>
      <c r="D76" s="4"/>
      <c r="E76" s="4" t="s">
        <v>176</v>
      </c>
      <c r="F76" s="5">
        <v>2</v>
      </c>
      <c r="G76" s="6">
        <v>0</v>
      </c>
      <c r="H76" s="7" t="s">
        <v>224</v>
      </c>
      <c r="I76" s="7"/>
      <c r="J76" s="4"/>
      <c r="K76" s="4" t="s">
        <v>203</v>
      </c>
      <c r="L76" s="5">
        <v>0</v>
      </c>
      <c r="M76" s="6">
        <v>2</v>
      </c>
      <c r="N76" s="7" t="str">
        <f t="shared" si="59"/>
        <v/>
      </c>
      <c r="O76" s="7"/>
      <c r="P76" s="31"/>
      <c r="Q76" s="30"/>
      <c r="T76" s="121" t="str">
        <f t="shared" si="60"/>
        <v/>
      </c>
      <c r="U76" s="118">
        <f t="shared" si="61"/>
        <v>0</v>
      </c>
      <c r="V76" s="117">
        <f t="shared" si="62"/>
        <v>0</v>
      </c>
      <c r="W76" s="117">
        <f t="shared" si="63"/>
        <v>1</v>
      </c>
      <c r="X76" s="117">
        <f t="shared" si="64"/>
        <v>2</v>
      </c>
      <c r="Y76" s="117">
        <f t="shared" si="65"/>
        <v>0</v>
      </c>
      <c r="Z76" s="117">
        <f t="shared" si="66"/>
        <v>0</v>
      </c>
      <c r="AA76" s="117">
        <f t="shared" si="67"/>
        <v>0</v>
      </c>
      <c r="AC76" s="121" t="str">
        <f t="shared" si="68"/>
        <v/>
      </c>
      <c r="AD76" s="118">
        <f t="shared" si="69"/>
        <v>0</v>
      </c>
      <c r="AE76" s="117">
        <f t="shared" si="70"/>
        <v>0</v>
      </c>
      <c r="AF76" s="117">
        <f t="shared" si="71"/>
        <v>2</v>
      </c>
      <c r="AG76" s="117">
        <f t="shared" si="72"/>
        <v>-2</v>
      </c>
      <c r="AH76" s="117">
        <f t="shared" si="73"/>
        <v>0</v>
      </c>
      <c r="AI76" s="117">
        <f t="shared" si="74"/>
        <v>0</v>
      </c>
      <c r="AJ76" s="117">
        <f t="shared" si="75"/>
        <v>0</v>
      </c>
    </row>
    <row r="77" spans="2:36" ht="16.5" customHeight="1">
      <c r="B77" s="14"/>
      <c r="C77" s="14"/>
      <c r="D77" s="8"/>
      <c r="E77" s="9" t="s">
        <v>177</v>
      </c>
      <c r="F77" s="5">
        <v>1</v>
      </c>
      <c r="G77" s="6">
        <v>2</v>
      </c>
      <c r="H77" s="7" t="s">
        <v>224</v>
      </c>
      <c r="I77" s="10"/>
      <c r="J77" s="8"/>
      <c r="K77" s="9" t="s">
        <v>204</v>
      </c>
      <c r="L77" s="5">
        <v>2</v>
      </c>
      <c r="M77" s="6">
        <v>0</v>
      </c>
      <c r="N77" s="7" t="str">
        <f t="shared" si="59"/>
        <v/>
      </c>
      <c r="O77" s="10"/>
      <c r="P77" s="31"/>
      <c r="Q77" s="30"/>
      <c r="T77" s="121" t="str">
        <f t="shared" si="60"/>
        <v/>
      </c>
      <c r="U77" s="118">
        <f t="shared" si="61"/>
        <v>0</v>
      </c>
      <c r="V77" s="117">
        <f t="shared" si="62"/>
        <v>0</v>
      </c>
      <c r="W77" s="117">
        <f t="shared" si="63"/>
        <v>2</v>
      </c>
      <c r="X77" s="117">
        <f t="shared" si="64"/>
        <v>-1</v>
      </c>
      <c r="Y77" s="117">
        <f t="shared" si="65"/>
        <v>0</v>
      </c>
      <c r="Z77" s="117">
        <f t="shared" si="66"/>
        <v>0</v>
      </c>
      <c r="AA77" s="117">
        <f t="shared" si="67"/>
        <v>0</v>
      </c>
      <c r="AC77" s="121" t="str">
        <f t="shared" si="68"/>
        <v/>
      </c>
      <c r="AD77" s="118">
        <f t="shared" si="69"/>
        <v>0</v>
      </c>
      <c r="AE77" s="117">
        <f t="shared" si="70"/>
        <v>0</v>
      </c>
      <c r="AF77" s="117">
        <f t="shared" si="71"/>
        <v>1</v>
      </c>
      <c r="AG77" s="117">
        <f t="shared" si="72"/>
        <v>2</v>
      </c>
      <c r="AH77" s="117">
        <f t="shared" si="73"/>
        <v>0</v>
      </c>
      <c r="AI77" s="117">
        <f t="shared" si="74"/>
        <v>0</v>
      </c>
      <c r="AJ77" s="117">
        <f t="shared" si="75"/>
        <v>0</v>
      </c>
    </row>
    <row r="78" spans="2:36" ht="16.5" customHeight="1">
      <c r="B78" s="14"/>
      <c r="C78" s="14"/>
      <c r="D78" s="4"/>
      <c r="E78" s="4" t="s">
        <v>178</v>
      </c>
      <c r="F78" s="5">
        <v>2</v>
      </c>
      <c r="G78" s="6">
        <v>1</v>
      </c>
      <c r="H78" s="7" t="s">
        <v>224</v>
      </c>
      <c r="I78" s="7"/>
      <c r="J78" s="4"/>
      <c r="K78" s="4" t="s">
        <v>223</v>
      </c>
      <c r="L78" s="5">
        <v>2</v>
      </c>
      <c r="M78" s="6">
        <v>1</v>
      </c>
      <c r="N78" s="7" t="str">
        <f t="shared" si="59"/>
        <v/>
      </c>
      <c r="O78" s="7"/>
      <c r="P78" s="31"/>
      <c r="Q78" s="30"/>
      <c r="T78" s="121" t="str">
        <f t="shared" si="60"/>
        <v/>
      </c>
      <c r="U78" s="118">
        <f t="shared" si="61"/>
        <v>0</v>
      </c>
      <c r="V78" s="117">
        <f t="shared" si="62"/>
        <v>0</v>
      </c>
      <c r="W78" s="117">
        <f t="shared" si="63"/>
        <v>1</v>
      </c>
      <c r="X78" s="117">
        <f t="shared" si="64"/>
        <v>1</v>
      </c>
      <c r="Y78" s="117">
        <f t="shared" si="65"/>
        <v>0</v>
      </c>
      <c r="Z78" s="117">
        <f t="shared" si="66"/>
        <v>0</v>
      </c>
      <c r="AA78" s="117">
        <f t="shared" si="67"/>
        <v>0</v>
      </c>
      <c r="AC78" s="121" t="str">
        <f t="shared" si="68"/>
        <v/>
      </c>
      <c r="AD78" s="118">
        <f t="shared" si="69"/>
        <v>0</v>
      </c>
      <c r="AE78" s="117">
        <f t="shared" si="70"/>
        <v>0</v>
      </c>
      <c r="AF78" s="117">
        <f t="shared" si="71"/>
        <v>1</v>
      </c>
      <c r="AG78" s="117">
        <f t="shared" si="72"/>
        <v>1</v>
      </c>
      <c r="AH78" s="117">
        <f t="shared" si="73"/>
        <v>0</v>
      </c>
      <c r="AI78" s="117">
        <f t="shared" si="74"/>
        <v>0</v>
      </c>
      <c r="AJ78" s="117">
        <f t="shared" si="75"/>
        <v>0</v>
      </c>
    </row>
    <row r="79" spans="2:36" ht="16.5" customHeight="1">
      <c r="B79" s="14"/>
      <c r="C79" s="14"/>
      <c r="D79" s="8"/>
      <c r="E79" s="9" t="s">
        <v>179</v>
      </c>
      <c r="F79" s="5">
        <v>1</v>
      </c>
      <c r="G79" s="6">
        <v>2</v>
      </c>
      <c r="H79" s="7" t="s">
        <v>224</v>
      </c>
      <c r="I79" s="10"/>
      <c r="J79" s="8"/>
      <c r="K79" s="9" t="s">
        <v>205</v>
      </c>
      <c r="L79" s="5">
        <v>1</v>
      </c>
      <c r="M79" s="6">
        <v>1</v>
      </c>
      <c r="N79" s="7" t="str">
        <f t="shared" si="59"/>
        <v/>
      </c>
      <c r="O79" s="10"/>
      <c r="P79" s="31"/>
      <c r="Q79" s="30"/>
      <c r="T79" s="121" t="str">
        <f t="shared" si="60"/>
        <v/>
      </c>
      <c r="U79" s="118">
        <f t="shared" si="61"/>
        <v>0</v>
      </c>
      <c r="V79" s="117">
        <f t="shared" si="62"/>
        <v>0</v>
      </c>
      <c r="W79" s="117">
        <f t="shared" si="63"/>
        <v>2</v>
      </c>
      <c r="X79" s="117">
        <f t="shared" si="64"/>
        <v>-1</v>
      </c>
      <c r="Y79" s="117">
        <f t="shared" si="65"/>
        <v>0</v>
      </c>
      <c r="Z79" s="117">
        <f t="shared" si="66"/>
        <v>0</v>
      </c>
      <c r="AA79" s="117">
        <f t="shared" si="67"/>
        <v>0</v>
      </c>
      <c r="AC79" s="121" t="str">
        <f t="shared" si="68"/>
        <v/>
      </c>
      <c r="AD79" s="118">
        <f t="shared" si="69"/>
        <v>0</v>
      </c>
      <c r="AE79" s="117">
        <f t="shared" si="70"/>
        <v>0</v>
      </c>
      <c r="AF79" s="117">
        <f t="shared" si="71"/>
        <v>0</v>
      </c>
      <c r="AG79" s="117">
        <f t="shared" si="72"/>
        <v>0</v>
      </c>
      <c r="AH79" s="117">
        <f t="shared" si="73"/>
        <v>3</v>
      </c>
      <c r="AI79" s="117">
        <f t="shared" si="74"/>
        <v>1</v>
      </c>
      <c r="AJ79" s="117">
        <f t="shared" si="75"/>
        <v>0</v>
      </c>
    </row>
    <row r="80" spans="2:36" ht="16.5" customHeight="1">
      <c r="B80" s="14"/>
      <c r="C80" s="14"/>
      <c r="D80" s="4"/>
      <c r="E80" s="4" t="s">
        <v>180</v>
      </c>
      <c r="F80" s="5">
        <v>0</v>
      </c>
      <c r="G80" s="6">
        <v>1</v>
      </c>
      <c r="H80" s="7" t="s">
        <v>224</v>
      </c>
      <c r="I80" s="7"/>
      <c r="J80" s="4"/>
      <c r="K80" s="4" t="s">
        <v>206</v>
      </c>
      <c r="L80" s="5">
        <v>2</v>
      </c>
      <c r="M80" s="6">
        <v>1</v>
      </c>
      <c r="N80" s="7" t="str">
        <f t="shared" si="59"/>
        <v/>
      </c>
      <c r="O80" s="7"/>
      <c r="P80" s="31"/>
      <c r="Q80" s="30"/>
      <c r="T80" s="121" t="str">
        <f t="shared" si="60"/>
        <v/>
      </c>
      <c r="U80" s="118">
        <f t="shared" si="61"/>
        <v>0</v>
      </c>
      <c r="V80" s="117">
        <f t="shared" si="62"/>
        <v>0</v>
      </c>
      <c r="W80" s="117">
        <f t="shared" si="63"/>
        <v>2</v>
      </c>
      <c r="X80" s="117">
        <f t="shared" si="64"/>
        <v>-1</v>
      </c>
      <c r="Y80" s="117">
        <f t="shared" si="65"/>
        <v>0</v>
      </c>
      <c r="Z80" s="117">
        <f t="shared" si="66"/>
        <v>0</v>
      </c>
      <c r="AA80" s="117">
        <f t="shared" si="67"/>
        <v>0</v>
      </c>
      <c r="AC80" s="121" t="str">
        <f t="shared" si="68"/>
        <v/>
      </c>
      <c r="AD80" s="118">
        <f t="shared" si="69"/>
        <v>0</v>
      </c>
      <c r="AE80" s="117">
        <f t="shared" si="70"/>
        <v>0</v>
      </c>
      <c r="AF80" s="117">
        <f t="shared" si="71"/>
        <v>1</v>
      </c>
      <c r="AG80" s="117">
        <f t="shared" si="72"/>
        <v>1</v>
      </c>
      <c r="AH80" s="117">
        <f t="shared" si="73"/>
        <v>0</v>
      </c>
      <c r="AI80" s="117">
        <f t="shared" si="74"/>
        <v>0</v>
      </c>
      <c r="AJ80" s="117">
        <f t="shared" si="75"/>
        <v>0</v>
      </c>
    </row>
    <row r="81" spans="2:36" ht="16.5" customHeight="1">
      <c r="B81" s="14"/>
      <c r="C81" s="14"/>
      <c r="D81" s="8"/>
      <c r="E81" s="9" t="s">
        <v>181</v>
      </c>
      <c r="F81" s="5">
        <v>2</v>
      </c>
      <c r="G81" s="6">
        <v>0</v>
      </c>
      <c r="H81" s="7" t="s">
        <v>224</v>
      </c>
      <c r="I81" s="10"/>
      <c r="J81" s="8"/>
      <c r="K81" s="9" t="s">
        <v>207</v>
      </c>
      <c r="L81" s="5">
        <v>1</v>
      </c>
      <c r="M81" s="6">
        <v>2</v>
      </c>
      <c r="N81" s="7" t="str">
        <f t="shared" si="59"/>
        <v/>
      </c>
      <c r="O81" s="10"/>
      <c r="P81" s="31"/>
      <c r="Q81" s="30"/>
      <c r="T81" s="121" t="str">
        <f t="shared" si="60"/>
        <v/>
      </c>
      <c r="U81" s="118">
        <f t="shared" si="61"/>
        <v>0</v>
      </c>
      <c r="V81" s="117">
        <f t="shared" si="62"/>
        <v>0</v>
      </c>
      <c r="W81" s="117">
        <f t="shared" si="63"/>
        <v>1</v>
      </c>
      <c r="X81" s="117">
        <f t="shared" si="64"/>
        <v>2</v>
      </c>
      <c r="Y81" s="117">
        <f t="shared" si="65"/>
        <v>0</v>
      </c>
      <c r="Z81" s="117">
        <f t="shared" si="66"/>
        <v>0</v>
      </c>
      <c r="AA81" s="117">
        <f t="shared" si="67"/>
        <v>0</v>
      </c>
      <c r="AC81" s="121" t="str">
        <f t="shared" si="68"/>
        <v/>
      </c>
      <c r="AD81" s="118">
        <f t="shared" si="69"/>
        <v>0</v>
      </c>
      <c r="AE81" s="117">
        <f t="shared" si="70"/>
        <v>0</v>
      </c>
      <c r="AF81" s="117">
        <f t="shared" si="71"/>
        <v>2</v>
      </c>
      <c r="AG81" s="117">
        <f t="shared" si="72"/>
        <v>-1</v>
      </c>
      <c r="AH81" s="117">
        <f t="shared" si="73"/>
        <v>0</v>
      </c>
      <c r="AI81" s="117">
        <f t="shared" si="74"/>
        <v>0</v>
      </c>
      <c r="AJ81" s="117">
        <f t="shared" si="75"/>
        <v>0</v>
      </c>
    </row>
    <row r="82" spans="2:36" ht="16.5" customHeight="1">
      <c r="B82" s="11"/>
      <c r="C82" s="11" t="s">
        <v>9</v>
      </c>
      <c r="D82" s="4"/>
      <c r="E82" s="4" t="s">
        <v>182</v>
      </c>
      <c r="F82" s="5">
        <v>1</v>
      </c>
      <c r="G82" s="6">
        <v>1</v>
      </c>
      <c r="H82" s="7" t="s">
        <v>224</v>
      </c>
      <c r="I82" s="7"/>
      <c r="J82" s="4"/>
      <c r="K82" s="4" t="s">
        <v>208</v>
      </c>
      <c r="L82" s="5">
        <v>2</v>
      </c>
      <c r="M82" s="6">
        <v>1</v>
      </c>
      <c r="N82" s="7" t="str">
        <f t="shared" si="59"/>
        <v/>
      </c>
      <c r="O82" s="7"/>
      <c r="P82" s="36" t="s">
        <v>25</v>
      </c>
      <c r="Q82" s="35"/>
      <c r="T82" s="121" t="str">
        <f t="shared" si="60"/>
        <v/>
      </c>
      <c r="U82" s="118">
        <f t="shared" si="61"/>
        <v>0</v>
      </c>
      <c r="V82" s="117">
        <f t="shared" si="62"/>
        <v>0</v>
      </c>
      <c r="W82" s="117">
        <f t="shared" si="63"/>
        <v>0</v>
      </c>
      <c r="X82" s="117">
        <f t="shared" si="64"/>
        <v>0</v>
      </c>
      <c r="Y82" s="117">
        <f t="shared" si="65"/>
        <v>3</v>
      </c>
      <c r="Z82" s="117">
        <f t="shared" si="66"/>
        <v>1</v>
      </c>
      <c r="AA82" s="117">
        <f t="shared" si="67"/>
        <v>0</v>
      </c>
      <c r="AC82" s="121" t="str">
        <f t="shared" si="68"/>
        <v/>
      </c>
      <c r="AD82" s="118">
        <f t="shared" si="69"/>
        <v>0</v>
      </c>
      <c r="AE82" s="117">
        <f t="shared" si="70"/>
        <v>0</v>
      </c>
      <c r="AF82" s="117">
        <f t="shared" si="71"/>
        <v>1</v>
      </c>
      <c r="AG82" s="117">
        <f t="shared" si="72"/>
        <v>1</v>
      </c>
      <c r="AH82" s="117">
        <f t="shared" si="73"/>
        <v>0</v>
      </c>
      <c r="AI82" s="117">
        <f t="shared" si="74"/>
        <v>0</v>
      </c>
      <c r="AJ82" s="117">
        <f t="shared" si="75"/>
        <v>0</v>
      </c>
    </row>
    <row r="83" spans="2:36" ht="16.5" customHeight="1">
      <c r="B83" s="11"/>
      <c r="C83" s="11"/>
      <c r="D83" s="8"/>
      <c r="E83" s="9" t="s">
        <v>183</v>
      </c>
      <c r="F83" s="5">
        <v>1</v>
      </c>
      <c r="G83" s="6">
        <v>1</v>
      </c>
      <c r="H83" s="7" t="s">
        <v>224</v>
      </c>
      <c r="I83" s="10"/>
      <c r="J83" s="8"/>
      <c r="K83" s="9" t="s">
        <v>209</v>
      </c>
      <c r="L83" s="5">
        <v>0</v>
      </c>
      <c r="M83" s="6">
        <v>0</v>
      </c>
      <c r="N83" s="7" t="str">
        <f t="shared" si="59"/>
        <v/>
      </c>
      <c r="O83" s="10"/>
      <c r="P83" s="36"/>
      <c r="Q83" s="35"/>
      <c r="T83" s="121" t="str">
        <f t="shared" si="60"/>
        <v/>
      </c>
      <c r="U83" s="118">
        <f t="shared" si="61"/>
        <v>0</v>
      </c>
      <c r="V83" s="117">
        <f t="shared" si="62"/>
        <v>0</v>
      </c>
      <c r="W83" s="117">
        <f t="shared" si="63"/>
        <v>0</v>
      </c>
      <c r="X83" s="117">
        <f t="shared" si="64"/>
        <v>0</v>
      </c>
      <c r="Y83" s="117">
        <f t="shared" si="65"/>
        <v>3</v>
      </c>
      <c r="Z83" s="117">
        <f t="shared" si="66"/>
        <v>1</v>
      </c>
      <c r="AA83" s="117">
        <f t="shared" si="67"/>
        <v>0</v>
      </c>
      <c r="AC83" s="121" t="str">
        <f t="shared" si="68"/>
        <v/>
      </c>
      <c r="AD83" s="118">
        <f t="shared" si="69"/>
        <v>0</v>
      </c>
      <c r="AE83" s="117">
        <f t="shared" si="70"/>
        <v>0</v>
      </c>
      <c r="AF83" s="117">
        <f t="shared" si="71"/>
        <v>0</v>
      </c>
      <c r="AG83" s="117">
        <f t="shared" si="72"/>
        <v>0</v>
      </c>
      <c r="AH83" s="117">
        <f t="shared" si="73"/>
        <v>3</v>
      </c>
      <c r="AI83" s="117">
        <f t="shared" si="74"/>
        <v>1</v>
      </c>
      <c r="AJ83" s="117">
        <f t="shared" si="75"/>
        <v>1</v>
      </c>
    </row>
    <row r="84" spans="2:36" ht="16.5" customHeight="1">
      <c r="B84" s="11"/>
      <c r="C84" s="11"/>
      <c r="D84" s="4"/>
      <c r="E84" s="4" t="s">
        <v>184</v>
      </c>
      <c r="F84" s="5">
        <v>1</v>
      </c>
      <c r="G84" s="6">
        <v>1</v>
      </c>
      <c r="H84" s="7" t="s">
        <v>224</v>
      </c>
      <c r="I84" s="7"/>
      <c r="J84" s="4"/>
      <c r="K84" s="4" t="s">
        <v>210</v>
      </c>
      <c r="L84" s="5">
        <v>2</v>
      </c>
      <c r="M84" s="6">
        <v>0</v>
      </c>
      <c r="N84" s="7" t="str">
        <f t="shared" si="59"/>
        <v/>
      </c>
      <c r="O84" s="7"/>
      <c r="P84" s="36"/>
      <c r="Q84" s="35"/>
      <c r="T84" s="121" t="str">
        <f t="shared" si="60"/>
        <v/>
      </c>
      <c r="U84" s="118">
        <f t="shared" si="61"/>
        <v>0</v>
      </c>
      <c r="V84" s="117">
        <f t="shared" si="62"/>
        <v>0</v>
      </c>
      <c r="W84" s="117">
        <f t="shared" si="63"/>
        <v>0</v>
      </c>
      <c r="X84" s="117">
        <f t="shared" si="64"/>
        <v>0</v>
      </c>
      <c r="Y84" s="117">
        <f t="shared" si="65"/>
        <v>3</v>
      </c>
      <c r="Z84" s="117">
        <f t="shared" si="66"/>
        <v>1</v>
      </c>
      <c r="AA84" s="117">
        <f t="shared" si="67"/>
        <v>0</v>
      </c>
      <c r="AC84" s="121" t="str">
        <f t="shared" si="68"/>
        <v/>
      </c>
      <c r="AD84" s="118">
        <f t="shared" si="69"/>
        <v>0</v>
      </c>
      <c r="AE84" s="117">
        <f t="shared" si="70"/>
        <v>0</v>
      </c>
      <c r="AF84" s="117">
        <f t="shared" si="71"/>
        <v>1</v>
      </c>
      <c r="AG84" s="117">
        <f t="shared" si="72"/>
        <v>2</v>
      </c>
      <c r="AH84" s="117">
        <f t="shared" si="73"/>
        <v>0</v>
      </c>
      <c r="AI84" s="117">
        <f t="shared" si="74"/>
        <v>0</v>
      </c>
      <c r="AJ84" s="117">
        <f t="shared" si="75"/>
        <v>0</v>
      </c>
    </row>
    <row r="85" spans="2:36" ht="16.5" customHeight="1">
      <c r="B85" s="11"/>
      <c r="C85" s="11"/>
      <c r="D85" s="8"/>
      <c r="E85" s="9" t="s">
        <v>222</v>
      </c>
      <c r="F85" s="5">
        <v>1</v>
      </c>
      <c r="G85" s="6">
        <v>1</v>
      </c>
      <c r="H85" s="7" t="s">
        <v>224</v>
      </c>
      <c r="I85" s="10"/>
      <c r="J85" s="8"/>
      <c r="K85" s="9" t="s">
        <v>211</v>
      </c>
      <c r="L85" s="5">
        <v>1</v>
      </c>
      <c r="M85" s="6">
        <v>0</v>
      </c>
      <c r="N85" s="7" t="str">
        <f t="shared" si="59"/>
        <v/>
      </c>
      <c r="O85" s="10"/>
      <c r="P85" s="36"/>
      <c r="Q85" s="35"/>
      <c r="T85" s="121" t="str">
        <f t="shared" si="60"/>
        <v/>
      </c>
      <c r="U85" s="118">
        <f t="shared" si="61"/>
        <v>0</v>
      </c>
      <c r="V85" s="117">
        <f t="shared" si="62"/>
        <v>0</v>
      </c>
      <c r="W85" s="117">
        <f t="shared" si="63"/>
        <v>0</v>
      </c>
      <c r="X85" s="117">
        <f t="shared" si="64"/>
        <v>0</v>
      </c>
      <c r="Y85" s="117">
        <f t="shared" si="65"/>
        <v>3</v>
      </c>
      <c r="Z85" s="117">
        <f t="shared" si="66"/>
        <v>1</v>
      </c>
      <c r="AA85" s="117">
        <f t="shared" si="67"/>
        <v>0</v>
      </c>
      <c r="AC85" s="121" t="str">
        <f t="shared" si="68"/>
        <v/>
      </c>
      <c r="AD85" s="118">
        <f t="shared" si="69"/>
        <v>0</v>
      </c>
      <c r="AE85" s="117">
        <f t="shared" si="70"/>
        <v>0</v>
      </c>
      <c r="AF85" s="117">
        <f t="shared" si="71"/>
        <v>1</v>
      </c>
      <c r="AG85" s="117">
        <f t="shared" si="72"/>
        <v>1</v>
      </c>
      <c r="AH85" s="117">
        <f t="shared" si="73"/>
        <v>0</v>
      </c>
      <c r="AI85" s="117">
        <f t="shared" si="74"/>
        <v>0</v>
      </c>
      <c r="AJ85" s="117">
        <f t="shared" si="75"/>
        <v>0</v>
      </c>
    </row>
    <row r="86" spans="2:36" ht="16.5" customHeight="1">
      <c r="B86" s="11"/>
      <c r="C86" s="11"/>
      <c r="D86" s="4"/>
      <c r="E86" s="4" t="s">
        <v>185</v>
      </c>
      <c r="F86" s="5">
        <v>0</v>
      </c>
      <c r="G86" s="6">
        <v>1</v>
      </c>
      <c r="H86" s="7" t="s">
        <v>224</v>
      </c>
      <c r="I86" s="7"/>
      <c r="J86" s="4"/>
      <c r="K86" s="4" t="s">
        <v>212</v>
      </c>
      <c r="L86" s="5">
        <v>0</v>
      </c>
      <c r="M86" s="6">
        <v>1</v>
      </c>
      <c r="N86" s="7" t="str">
        <f t="shared" si="59"/>
        <v/>
      </c>
      <c r="O86" s="7"/>
      <c r="P86" s="36"/>
      <c r="Q86" s="35"/>
      <c r="T86" s="121" t="str">
        <f t="shared" si="60"/>
        <v/>
      </c>
      <c r="U86" s="118">
        <f t="shared" si="61"/>
        <v>0</v>
      </c>
      <c r="V86" s="117">
        <f t="shared" si="62"/>
        <v>0</v>
      </c>
      <c r="W86" s="117">
        <f t="shared" si="63"/>
        <v>2</v>
      </c>
      <c r="X86" s="117">
        <f t="shared" si="64"/>
        <v>-1</v>
      </c>
      <c r="Y86" s="117">
        <f t="shared" si="65"/>
        <v>0</v>
      </c>
      <c r="Z86" s="117">
        <f t="shared" si="66"/>
        <v>0</v>
      </c>
      <c r="AA86" s="117">
        <f t="shared" si="67"/>
        <v>0</v>
      </c>
      <c r="AC86" s="121" t="str">
        <f t="shared" si="68"/>
        <v/>
      </c>
      <c r="AD86" s="118">
        <f t="shared" si="69"/>
        <v>0</v>
      </c>
      <c r="AE86" s="117">
        <f t="shared" si="70"/>
        <v>0</v>
      </c>
      <c r="AF86" s="117">
        <f t="shared" si="71"/>
        <v>2</v>
      </c>
      <c r="AG86" s="117">
        <f t="shared" si="72"/>
        <v>-1</v>
      </c>
      <c r="AH86" s="117">
        <f t="shared" si="73"/>
        <v>0</v>
      </c>
      <c r="AI86" s="117">
        <f t="shared" si="74"/>
        <v>0</v>
      </c>
      <c r="AJ86" s="117">
        <f t="shared" si="75"/>
        <v>0</v>
      </c>
    </row>
    <row r="87" spans="2:36" ht="16.5" customHeight="1">
      <c r="B87" s="11"/>
      <c r="C87" s="11"/>
      <c r="D87" s="8"/>
      <c r="E87" s="9" t="s">
        <v>186</v>
      </c>
      <c r="F87" s="5">
        <v>2</v>
      </c>
      <c r="G87" s="6">
        <v>1</v>
      </c>
      <c r="H87" s="7" t="s">
        <v>224</v>
      </c>
      <c r="I87" s="10"/>
      <c r="J87" s="8"/>
      <c r="K87" s="9" t="s">
        <v>213</v>
      </c>
      <c r="L87" s="5">
        <v>2</v>
      </c>
      <c r="M87" s="6">
        <v>1</v>
      </c>
      <c r="N87" s="7" t="str">
        <f t="shared" si="59"/>
        <v/>
      </c>
      <c r="O87" s="10"/>
      <c r="P87" s="36"/>
      <c r="Q87" s="35"/>
      <c r="T87" s="121" t="str">
        <f t="shared" si="60"/>
        <v/>
      </c>
      <c r="U87" s="118">
        <f t="shared" si="61"/>
        <v>0</v>
      </c>
      <c r="V87" s="117">
        <f t="shared" si="62"/>
        <v>0</v>
      </c>
      <c r="W87" s="117">
        <f t="shared" si="63"/>
        <v>1</v>
      </c>
      <c r="X87" s="117">
        <f t="shared" si="64"/>
        <v>1</v>
      </c>
      <c r="Y87" s="117">
        <f t="shared" si="65"/>
        <v>0</v>
      </c>
      <c r="Z87" s="117">
        <f t="shared" si="66"/>
        <v>0</v>
      </c>
      <c r="AA87" s="117">
        <f t="shared" si="67"/>
        <v>0</v>
      </c>
      <c r="AC87" s="121" t="str">
        <f t="shared" si="68"/>
        <v/>
      </c>
      <c r="AD87" s="118">
        <f t="shared" si="69"/>
        <v>0</v>
      </c>
      <c r="AE87" s="117">
        <f t="shared" si="70"/>
        <v>0</v>
      </c>
      <c r="AF87" s="117">
        <f t="shared" si="71"/>
        <v>1</v>
      </c>
      <c r="AG87" s="117">
        <f t="shared" si="72"/>
        <v>1</v>
      </c>
      <c r="AH87" s="117">
        <f t="shared" si="73"/>
        <v>0</v>
      </c>
      <c r="AI87" s="117">
        <f t="shared" si="74"/>
        <v>0</v>
      </c>
      <c r="AJ87" s="117">
        <f t="shared" si="75"/>
        <v>0</v>
      </c>
    </row>
    <row r="88" spans="2:36" ht="16.5" customHeight="1">
      <c r="B88" s="11"/>
      <c r="C88" s="11"/>
      <c r="D88" s="4"/>
      <c r="E88" s="4" t="s">
        <v>187</v>
      </c>
      <c r="F88" s="5">
        <v>1</v>
      </c>
      <c r="G88" s="6">
        <v>1</v>
      </c>
      <c r="H88" s="7" t="s">
        <v>224</v>
      </c>
      <c r="I88" s="7"/>
      <c r="J88" s="4"/>
      <c r="K88" s="4" t="s">
        <v>214</v>
      </c>
      <c r="L88" s="5">
        <v>2</v>
      </c>
      <c r="M88" s="6">
        <v>1</v>
      </c>
      <c r="N88" s="7" t="str">
        <f t="shared" si="59"/>
        <v/>
      </c>
      <c r="O88" s="7"/>
      <c r="P88" s="36"/>
      <c r="Q88" s="35"/>
      <c r="T88" s="121" t="str">
        <f t="shared" si="60"/>
        <v/>
      </c>
      <c r="U88" s="118">
        <f t="shared" si="61"/>
        <v>0</v>
      </c>
      <c r="V88" s="117">
        <f t="shared" si="62"/>
        <v>0</v>
      </c>
      <c r="W88" s="117">
        <f t="shared" si="63"/>
        <v>0</v>
      </c>
      <c r="X88" s="117">
        <f t="shared" si="64"/>
        <v>0</v>
      </c>
      <c r="Y88" s="117">
        <f t="shared" si="65"/>
        <v>3</v>
      </c>
      <c r="Z88" s="117">
        <f t="shared" si="66"/>
        <v>1</v>
      </c>
      <c r="AA88" s="117">
        <f t="shared" si="67"/>
        <v>0</v>
      </c>
      <c r="AC88" s="121" t="str">
        <f t="shared" si="68"/>
        <v/>
      </c>
      <c r="AD88" s="118">
        <f t="shared" si="69"/>
        <v>0</v>
      </c>
      <c r="AE88" s="117">
        <f t="shared" si="70"/>
        <v>0</v>
      </c>
      <c r="AF88" s="117">
        <f t="shared" si="71"/>
        <v>1</v>
      </c>
      <c r="AG88" s="117">
        <f t="shared" si="72"/>
        <v>1</v>
      </c>
      <c r="AH88" s="117">
        <f t="shared" si="73"/>
        <v>0</v>
      </c>
      <c r="AI88" s="117">
        <f t="shared" si="74"/>
        <v>0</v>
      </c>
      <c r="AJ88" s="117">
        <f t="shared" si="75"/>
        <v>0</v>
      </c>
    </row>
    <row r="89" spans="2:36" ht="16.5" customHeight="1">
      <c r="B89" s="15"/>
      <c r="C89" s="15" t="s">
        <v>10</v>
      </c>
      <c r="D89" s="8"/>
      <c r="E89" s="9" t="s">
        <v>188</v>
      </c>
      <c r="F89" s="5">
        <v>1</v>
      </c>
      <c r="G89" s="6">
        <v>1</v>
      </c>
      <c r="H89" s="7" t="s">
        <v>224</v>
      </c>
      <c r="I89" s="10"/>
      <c r="J89" s="8"/>
      <c r="K89" s="9" t="s">
        <v>215</v>
      </c>
      <c r="L89" s="5">
        <v>2</v>
      </c>
      <c r="M89" s="6">
        <v>1</v>
      </c>
      <c r="N89" s="7" t="str">
        <f t="shared" si="59"/>
        <v/>
      </c>
      <c r="O89" s="10"/>
      <c r="P89" s="39" t="s">
        <v>26</v>
      </c>
      <c r="Q89" s="38"/>
      <c r="T89" s="121" t="str">
        <f t="shared" si="60"/>
        <v/>
      </c>
      <c r="U89" s="118">
        <f t="shared" si="61"/>
        <v>0</v>
      </c>
      <c r="V89" s="117">
        <f t="shared" si="62"/>
        <v>0</v>
      </c>
      <c r="W89" s="117">
        <f t="shared" si="63"/>
        <v>0</v>
      </c>
      <c r="X89" s="117">
        <f t="shared" si="64"/>
        <v>0</v>
      </c>
      <c r="Y89" s="117">
        <f t="shared" si="65"/>
        <v>3</v>
      </c>
      <c r="Z89" s="117">
        <f t="shared" si="66"/>
        <v>1</v>
      </c>
      <c r="AA89" s="117">
        <f t="shared" si="67"/>
        <v>0</v>
      </c>
      <c r="AC89" s="121" t="str">
        <f t="shared" si="68"/>
        <v/>
      </c>
      <c r="AD89" s="118">
        <f t="shared" si="69"/>
        <v>0</v>
      </c>
      <c r="AE89" s="117">
        <f t="shared" si="70"/>
        <v>0</v>
      </c>
      <c r="AF89" s="117">
        <f t="shared" si="71"/>
        <v>1</v>
      </c>
      <c r="AG89" s="117">
        <f t="shared" si="72"/>
        <v>1</v>
      </c>
      <c r="AH89" s="117">
        <f t="shared" si="73"/>
        <v>0</v>
      </c>
      <c r="AI89" s="117">
        <f t="shared" si="74"/>
        <v>0</v>
      </c>
      <c r="AJ89" s="117">
        <f t="shared" si="75"/>
        <v>0</v>
      </c>
    </row>
    <row r="90" spans="2:36" ht="16.5" customHeight="1">
      <c r="B90" s="15"/>
      <c r="C90" s="15"/>
      <c r="D90" s="4"/>
      <c r="E90" s="4" t="s">
        <v>189</v>
      </c>
      <c r="F90" s="5">
        <v>2</v>
      </c>
      <c r="G90" s="6">
        <v>0</v>
      </c>
      <c r="H90" s="7" t="s">
        <v>224</v>
      </c>
      <c r="I90" s="7"/>
      <c r="J90" s="4"/>
      <c r="K90" s="4" t="s">
        <v>216</v>
      </c>
      <c r="L90" s="5">
        <v>2</v>
      </c>
      <c r="M90" s="6">
        <v>1</v>
      </c>
      <c r="N90" s="7" t="str">
        <f t="shared" si="59"/>
        <v/>
      </c>
      <c r="O90" s="7"/>
      <c r="P90" s="39"/>
      <c r="Q90" s="38"/>
      <c r="T90" s="121" t="str">
        <f t="shared" si="60"/>
        <v/>
      </c>
      <c r="U90" s="118">
        <f t="shared" si="61"/>
        <v>0</v>
      </c>
      <c r="V90" s="117">
        <f t="shared" si="62"/>
        <v>0</v>
      </c>
      <c r="W90" s="117">
        <f t="shared" si="63"/>
        <v>1</v>
      </c>
      <c r="X90" s="117">
        <f t="shared" si="64"/>
        <v>2</v>
      </c>
      <c r="Y90" s="117">
        <f t="shared" si="65"/>
        <v>0</v>
      </c>
      <c r="Z90" s="117">
        <f t="shared" si="66"/>
        <v>0</v>
      </c>
      <c r="AA90" s="117">
        <f t="shared" si="67"/>
        <v>0</v>
      </c>
      <c r="AC90" s="121" t="str">
        <f t="shared" si="68"/>
        <v/>
      </c>
      <c r="AD90" s="118">
        <f t="shared" si="69"/>
        <v>0</v>
      </c>
      <c r="AE90" s="117">
        <f t="shared" si="70"/>
        <v>0</v>
      </c>
      <c r="AF90" s="117">
        <f t="shared" si="71"/>
        <v>1</v>
      </c>
      <c r="AG90" s="117">
        <f t="shared" si="72"/>
        <v>1</v>
      </c>
      <c r="AH90" s="117">
        <f t="shared" si="73"/>
        <v>0</v>
      </c>
      <c r="AI90" s="117">
        <f t="shared" si="74"/>
        <v>0</v>
      </c>
      <c r="AJ90" s="117">
        <f t="shared" si="75"/>
        <v>0</v>
      </c>
    </row>
    <row r="91" spans="2:36" ht="16.5" customHeight="1">
      <c r="B91" s="15"/>
      <c r="C91" s="15"/>
      <c r="D91" s="8"/>
      <c r="E91" s="9" t="s">
        <v>190</v>
      </c>
      <c r="F91" s="5">
        <v>2</v>
      </c>
      <c r="G91" s="6">
        <v>2</v>
      </c>
      <c r="H91" s="7" t="s">
        <v>224</v>
      </c>
      <c r="I91" s="10"/>
      <c r="J91" s="8"/>
      <c r="K91" s="9" t="s">
        <v>217</v>
      </c>
      <c r="L91" s="5">
        <v>1</v>
      </c>
      <c r="M91" s="6">
        <v>1</v>
      </c>
      <c r="N91" s="7" t="str">
        <f t="shared" si="59"/>
        <v/>
      </c>
      <c r="O91" s="10"/>
      <c r="P91" s="39"/>
      <c r="Q91" s="38"/>
      <c r="T91" s="121" t="str">
        <f t="shared" si="60"/>
        <v/>
      </c>
      <c r="U91" s="118">
        <f t="shared" si="61"/>
        <v>0</v>
      </c>
      <c r="V91" s="117">
        <f t="shared" si="62"/>
        <v>0</v>
      </c>
      <c r="W91" s="117">
        <f t="shared" si="63"/>
        <v>0</v>
      </c>
      <c r="X91" s="117">
        <f t="shared" si="64"/>
        <v>0</v>
      </c>
      <c r="Y91" s="117">
        <f t="shared" si="65"/>
        <v>3</v>
      </c>
      <c r="Z91" s="117">
        <f t="shared" si="66"/>
        <v>1</v>
      </c>
      <c r="AA91" s="117">
        <f t="shared" si="67"/>
        <v>0</v>
      </c>
      <c r="AC91" s="121" t="str">
        <f t="shared" si="68"/>
        <v/>
      </c>
      <c r="AD91" s="118">
        <f t="shared" si="69"/>
        <v>0</v>
      </c>
      <c r="AE91" s="117">
        <f t="shared" si="70"/>
        <v>0</v>
      </c>
      <c r="AF91" s="117">
        <f t="shared" si="71"/>
        <v>0</v>
      </c>
      <c r="AG91" s="117">
        <f t="shared" si="72"/>
        <v>0</v>
      </c>
      <c r="AH91" s="117">
        <f t="shared" si="73"/>
        <v>3</v>
      </c>
      <c r="AI91" s="117">
        <f t="shared" si="74"/>
        <v>1</v>
      </c>
      <c r="AJ91" s="117">
        <f t="shared" si="75"/>
        <v>0</v>
      </c>
    </row>
    <row r="92" spans="2:36" ht="16.5" customHeight="1">
      <c r="B92" s="15"/>
      <c r="C92" s="15"/>
      <c r="D92" s="4"/>
      <c r="E92" s="4" t="s">
        <v>191</v>
      </c>
      <c r="F92" s="5">
        <v>1</v>
      </c>
      <c r="G92" s="6">
        <v>0</v>
      </c>
      <c r="H92" s="7" t="s">
        <v>224</v>
      </c>
      <c r="I92" s="7"/>
      <c r="J92" s="4"/>
      <c r="K92" s="4" t="s">
        <v>218</v>
      </c>
      <c r="L92" s="5">
        <v>2</v>
      </c>
      <c r="M92" s="6">
        <v>1</v>
      </c>
      <c r="N92" s="7" t="str">
        <f t="shared" si="59"/>
        <v/>
      </c>
      <c r="O92" s="7"/>
      <c r="P92" s="39"/>
      <c r="Q92" s="38"/>
      <c r="T92" s="121" t="str">
        <f t="shared" si="60"/>
        <v/>
      </c>
      <c r="U92" s="118">
        <f t="shared" si="61"/>
        <v>0</v>
      </c>
      <c r="V92" s="117">
        <f t="shared" si="62"/>
        <v>0</v>
      </c>
      <c r="W92" s="117">
        <f t="shared" si="63"/>
        <v>1</v>
      </c>
      <c r="X92" s="117">
        <f t="shared" si="64"/>
        <v>1</v>
      </c>
      <c r="Y92" s="117">
        <f t="shared" si="65"/>
        <v>0</v>
      </c>
      <c r="Z92" s="117">
        <f t="shared" si="66"/>
        <v>0</v>
      </c>
      <c r="AA92" s="117">
        <f t="shared" si="67"/>
        <v>0</v>
      </c>
      <c r="AC92" s="121" t="str">
        <f t="shared" si="68"/>
        <v/>
      </c>
      <c r="AD92" s="118">
        <f t="shared" si="69"/>
        <v>0</v>
      </c>
      <c r="AE92" s="117">
        <f t="shared" si="70"/>
        <v>0</v>
      </c>
      <c r="AF92" s="117">
        <f t="shared" si="71"/>
        <v>1</v>
      </c>
      <c r="AG92" s="117">
        <f t="shared" si="72"/>
        <v>1</v>
      </c>
      <c r="AH92" s="117">
        <f t="shared" si="73"/>
        <v>0</v>
      </c>
      <c r="AI92" s="117">
        <f t="shared" si="74"/>
        <v>0</v>
      </c>
      <c r="AJ92" s="117">
        <f t="shared" si="75"/>
        <v>0</v>
      </c>
    </row>
    <row r="93" spans="2:36" ht="16.5" customHeight="1">
      <c r="B93" s="15"/>
      <c r="C93" s="15"/>
      <c r="D93" s="8"/>
      <c r="E93" s="9" t="s">
        <v>192</v>
      </c>
      <c r="F93" s="5">
        <v>2</v>
      </c>
      <c r="G93" s="6">
        <v>0</v>
      </c>
      <c r="H93" s="7" t="s">
        <v>224</v>
      </c>
      <c r="I93" s="10"/>
      <c r="J93" s="8"/>
      <c r="K93" s="9" t="s">
        <v>219</v>
      </c>
      <c r="L93" s="5">
        <v>2</v>
      </c>
      <c r="M93" s="6">
        <v>2</v>
      </c>
      <c r="N93" s="7" t="str">
        <f t="shared" si="59"/>
        <v/>
      </c>
      <c r="O93" s="10"/>
      <c r="P93" s="39"/>
      <c r="Q93" s="38"/>
      <c r="T93" s="121" t="str">
        <f t="shared" si="60"/>
        <v/>
      </c>
      <c r="U93" s="118">
        <f t="shared" si="61"/>
        <v>0</v>
      </c>
      <c r="V93" s="117">
        <f t="shared" si="62"/>
        <v>0</v>
      </c>
      <c r="W93" s="117">
        <f t="shared" si="63"/>
        <v>1</v>
      </c>
      <c r="X93" s="117">
        <f t="shared" si="64"/>
        <v>2</v>
      </c>
      <c r="Y93" s="117">
        <f t="shared" si="65"/>
        <v>0</v>
      </c>
      <c r="Z93" s="117">
        <f t="shared" si="66"/>
        <v>0</v>
      </c>
      <c r="AA93" s="117">
        <f t="shared" si="67"/>
        <v>0</v>
      </c>
      <c r="AC93" s="121" t="str">
        <f t="shared" si="68"/>
        <v/>
      </c>
      <c r="AD93" s="118">
        <f t="shared" si="69"/>
        <v>0</v>
      </c>
      <c r="AE93" s="117">
        <f t="shared" si="70"/>
        <v>0</v>
      </c>
      <c r="AF93" s="117">
        <f t="shared" si="71"/>
        <v>0</v>
      </c>
      <c r="AG93" s="117">
        <f t="shared" si="72"/>
        <v>0</v>
      </c>
      <c r="AH93" s="117">
        <f t="shared" si="73"/>
        <v>3</v>
      </c>
      <c r="AI93" s="117">
        <f t="shared" si="74"/>
        <v>1</v>
      </c>
      <c r="AJ93" s="117">
        <f t="shared" si="75"/>
        <v>0</v>
      </c>
    </row>
    <row r="94" spans="2:36" ht="16.5" customHeight="1">
      <c r="B94" s="15"/>
      <c r="C94" s="15"/>
      <c r="D94" s="4"/>
      <c r="E94" s="4" t="s">
        <v>193</v>
      </c>
      <c r="F94" s="5">
        <v>2</v>
      </c>
      <c r="G94" s="6">
        <v>1</v>
      </c>
      <c r="H94" s="7" t="s">
        <v>224</v>
      </c>
      <c r="I94" s="7"/>
      <c r="J94" s="4"/>
      <c r="K94" s="4" t="s">
        <v>220</v>
      </c>
      <c r="L94" s="5">
        <v>1</v>
      </c>
      <c r="M94" s="6">
        <v>1</v>
      </c>
      <c r="N94" s="7" t="str">
        <f t="shared" si="59"/>
        <v/>
      </c>
      <c r="O94" s="7"/>
      <c r="P94" s="39"/>
      <c r="Q94" s="38"/>
      <c r="T94" s="121" t="str">
        <f t="shared" si="60"/>
        <v/>
      </c>
      <c r="U94" s="118">
        <f t="shared" si="61"/>
        <v>0</v>
      </c>
      <c r="V94" s="117">
        <f t="shared" si="62"/>
        <v>0</v>
      </c>
      <c r="W94" s="117">
        <f t="shared" si="63"/>
        <v>1</v>
      </c>
      <c r="X94" s="117">
        <f t="shared" si="64"/>
        <v>1</v>
      </c>
      <c r="Y94" s="117">
        <f t="shared" si="65"/>
        <v>0</v>
      </c>
      <c r="Z94" s="117">
        <f t="shared" si="66"/>
        <v>0</v>
      </c>
      <c r="AA94" s="117">
        <f t="shared" si="67"/>
        <v>0</v>
      </c>
      <c r="AC94" s="121" t="str">
        <f t="shared" si="68"/>
        <v/>
      </c>
      <c r="AD94" s="118">
        <f t="shared" si="69"/>
        <v>0</v>
      </c>
      <c r="AE94" s="117">
        <f t="shared" si="70"/>
        <v>0</v>
      </c>
      <c r="AF94" s="117">
        <f t="shared" si="71"/>
        <v>0</v>
      </c>
      <c r="AG94" s="117">
        <f t="shared" si="72"/>
        <v>0</v>
      </c>
      <c r="AH94" s="117">
        <f t="shared" si="73"/>
        <v>3</v>
      </c>
      <c r="AI94" s="117">
        <f t="shared" si="74"/>
        <v>1</v>
      </c>
      <c r="AJ94" s="117">
        <f t="shared" si="75"/>
        <v>0</v>
      </c>
    </row>
    <row r="95" spans="2:36" ht="16.5" customHeight="1">
      <c r="B95" s="15"/>
      <c r="C95" s="15"/>
      <c r="D95" s="8"/>
      <c r="E95" s="9" t="s">
        <v>194</v>
      </c>
      <c r="F95" s="5">
        <v>1</v>
      </c>
      <c r="G95" s="6">
        <v>2</v>
      </c>
      <c r="H95" s="7" t="s">
        <v>224</v>
      </c>
      <c r="I95" s="10"/>
      <c r="J95" s="8"/>
      <c r="K95" s="9" t="s">
        <v>221</v>
      </c>
      <c r="L95" s="5">
        <v>0</v>
      </c>
      <c r="M95" s="6">
        <v>1</v>
      </c>
      <c r="N95" s="7" t="str">
        <f t="shared" si="59"/>
        <v/>
      </c>
      <c r="O95" s="10"/>
      <c r="P95" s="39"/>
      <c r="Q95" s="38"/>
      <c r="T95" s="121" t="str">
        <f t="shared" si="60"/>
        <v/>
      </c>
      <c r="U95" s="118">
        <f t="shared" si="61"/>
        <v>0</v>
      </c>
      <c r="V95" s="117">
        <f t="shared" si="62"/>
        <v>0</v>
      </c>
      <c r="W95" s="117">
        <f t="shared" si="63"/>
        <v>2</v>
      </c>
      <c r="X95" s="117">
        <f t="shared" si="64"/>
        <v>-1</v>
      </c>
      <c r="Y95" s="117">
        <f t="shared" si="65"/>
        <v>0</v>
      </c>
      <c r="Z95" s="117">
        <f t="shared" si="66"/>
        <v>0</v>
      </c>
      <c r="AA95" s="117">
        <f t="shared" si="67"/>
        <v>0</v>
      </c>
      <c r="AC95" s="121" t="str">
        <f t="shared" si="68"/>
        <v/>
      </c>
      <c r="AD95" s="118">
        <f t="shared" si="69"/>
        <v>0</v>
      </c>
      <c r="AE95" s="117">
        <f t="shared" si="70"/>
        <v>0</v>
      </c>
      <c r="AF95" s="117">
        <f t="shared" si="71"/>
        <v>2</v>
      </c>
      <c r="AG95" s="117">
        <f t="shared" si="72"/>
        <v>-1</v>
      </c>
      <c r="AH95" s="117">
        <f t="shared" si="73"/>
        <v>0</v>
      </c>
      <c r="AI95" s="117">
        <f t="shared" si="74"/>
        <v>0</v>
      </c>
      <c r="AJ95" s="117">
        <f t="shared" si="75"/>
        <v>0</v>
      </c>
    </row>
    <row r="97" spans="2:36" ht="23.25">
      <c r="B97" s="33" t="s">
        <v>119</v>
      </c>
      <c r="D97" s="52"/>
      <c r="E97" s="55" t="s">
        <v>63</v>
      </c>
      <c r="F97" s="56"/>
      <c r="G97" s="57"/>
      <c r="H97" s="57"/>
      <c r="I97" s="56"/>
      <c r="J97" s="82"/>
      <c r="K97" s="82" t="s">
        <v>64</v>
      </c>
      <c r="M97" s="91"/>
      <c r="N97" s="92"/>
      <c r="O97" s="92"/>
      <c r="P97" s="93"/>
      <c r="Q97" s="92"/>
      <c r="R97" s="92"/>
    </row>
    <row r="99" spans="2:36" ht="16.5" customHeight="1">
      <c r="B99" s="12"/>
      <c r="C99" s="12" t="s">
        <v>7</v>
      </c>
      <c r="D99" s="4"/>
      <c r="E99" s="4" t="s">
        <v>32</v>
      </c>
      <c r="F99" s="5">
        <v>0</v>
      </c>
      <c r="G99" s="6">
        <v>0</v>
      </c>
      <c r="H99" s="7" t="s">
        <v>224</v>
      </c>
      <c r="I99" s="7"/>
      <c r="J99" s="4"/>
      <c r="K99" s="4" t="s">
        <v>195</v>
      </c>
      <c r="L99" s="5">
        <v>1</v>
      </c>
      <c r="M99" s="6">
        <v>1</v>
      </c>
      <c r="N99" s="7" t="str">
        <f>AC99</f>
        <v/>
      </c>
      <c r="O99" s="7"/>
      <c r="P99" s="24" t="s">
        <v>13</v>
      </c>
      <c r="Q99" s="13"/>
      <c r="T99" s="121" t="str">
        <f>IF($G$97="","",SUM(Y99:AA99))</f>
        <v/>
      </c>
      <c r="U99" s="118">
        <f t="shared" ref="U99" si="76">IF(V99&gt;0,1,IF(V99=0,0,2))</f>
        <v>0</v>
      </c>
      <c r="V99" s="117">
        <f>$G$97-$H$97</f>
        <v>0</v>
      </c>
      <c r="W99" s="117">
        <f t="shared" ref="W99" si="77">IF(X99&gt;0,1,IF(X99=0,0,2))</f>
        <v>0</v>
      </c>
      <c r="X99" s="117">
        <f>F99-G99</f>
        <v>0</v>
      </c>
      <c r="Y99" s="117">
        <f t="shared" ref="Y99" si="78">IF(U99=W99,3,0)</f>
        <v>3</v>
      </c>
      <c r="Z99" s="117">
        <f t="shared" ref="Z99" si="79">IF(V99=X99,1,0)</f>
        <v>1</v>
      </c>
      <c r="AA99" s="117">
        <f>IF(Z99=1,IF($G$97=F99,1,0),0)</f>
        <v>1</v>
      </c>
      <c r="AC99" s="121" t="str">
        <f>IF($G$97="","",SUM(AH99:AJ99))</f>
        <v/>
      </c>
      <c r="AD99" s="118">
        <f t="shared" ref="AD99" si="80">IF(AE99&gt;0,1,IF(AE99=0,0,2))</f>
        <v>0</v>
      </c>
      <c r="AE99" s="117">
        <f>$G$97-$H$97</f>
        <v>0</v>
      </c>
      <c r="AF99" s="117">
        <f t="shared" ref="AF99" si="81">IF(AG99&gt;0,1,IF(AG99=0,0,2))</f>
        <v>0</v>
      </c>
      <c r="AG99" s="117">
        <f>L99-M99</f>
        <v>0</v>
      </c>
      <c r="AH99" s="117">
        <f t="shared" ref="AH99" si="82">IF(AD99=AF99,3,0)</f>
        <v>3</v>
      </c>
      <c r="AI99" s="117">
        <f t="shared" ref="AI99" si="83">IF(AE99=AG99,1,0)</f>
        <v>1</v>
      </c>
      <c r="AJ99" s="117">
        <f>IF(AI99=1,IF($G$97=L99,1,0),0)</f>
        <v>0</v>
      </c>
    </row>
    <row r="100" spans="2:36" ht="16.5" customHeight="1">
      <c r="B100" s="12"/>
      <c r="C100" s="12"/>
      <c r="D100" s="8"/>
      <c r="E100" s="9" t="s">
        <v>170</v>
      </c>
      <c r="F100" s="5">
        <v>1</v>
      </c>
      <c r="G100" s="6">
        <v>0</v>
      </c>
      <c r="H100" s="7" t="s">
        <v>224</v>
      </c>
      <c r="I100" s="10"/>
      <c r="J100" s="8"/>
      <c r="K100" s="9" t="s">
        <v>196</v>
      </c>
      <c r="L100" s="5">
        <v>2</v>
      </c>
      <c r="M100" s="6">
        <v>2</v>
      </c>
      <c r="N100" s="7" t="str">
        <f t="shared" ref="N100:N126" si="84">AC100</f>
        <v/>
      </c>
      <c r="O100" s="10"/>
      <c r="P100" s="24"/>
      <c r="Q100" s="13"/>
      <c r="T100" s="121" t="str">
        <f t="shared" ref="T100:T126" si="85">IF($G$97="","",SUM(Y100:AA100))</f>
        <v/>
      </c>
      <c r="U100" s="118">
        <f t="shared" ref="U100:U126" si="86">IF(V100&gt;0,1,IF(V100=0,0,2))</f>
        <v>0</v>
      </c>
      <c r="V100" s="117">
        <f t="shared" ref="V100:V126" si="87">$G$97-$H$97</f>
        <v>0</v>
      </c>
      <c r="W100" s="117">
        <f t="shared" ref="W100:W126" si="88">IF(X100&gt;0,1,IF(X100=0,0,2))</f>
        <v>1</v>
      </c>
      <c r="X100" s="117">
        <f t="shared" ref="X100:X126" si="89">F100-G100</f>
        <v>1</v>
      </c>
      <c r="Y100" s="117">
        <f t="shared" ref="Y100:Y126" si="90">IF(U100=W100,3,0)</f>
        <v>0</v>
      </c>
      <c r="Z100" s="117">
        <f t="shared" ref="Z100:Z126" si="91">IF(V100=X100,1,0)</f>
        <v>0</v>
      </c>
      <c r="AA100" s="117">
        <f t="shared" ref="AA100:AA126" si="92">IF(Z100=1,IF($G$97=F100,1,0),0)</f>
        <v>0</v>
      </c>
      <c r="AC100" s="121" t="str">
        <f t="shared" ref="AC100:AC126" si="93">IF($G$97="","",SUM(AH100:AJ100))</f>
        <v/>
      </c>
      <c r="AD100" s="118">
        <f t="shared" ref="AD100:AD126" si="94">IF(AE100&gt;0,1,IF(AE100=0,0,2))</f>
        <v>0</v>
      </c>
      <c r="AE100" s="117">
        <f t="shared" ref="AE100:AE126" si="95">$G$97-$H$97</f>
        <v>0</v>
      </c>
      <c r="AF100" s="117">
        <f t="shared" ref="AF100:AF126" si="96">IF(AG100&gt;0,1,IF(AG100=0,0,2))</f>
        <v>0</v>
      </c>
      <c r="AG100" s="117">
        <f t="shared" ref="AG100:AG126" si="97">L100-M100</f>
        <v>0</v>
      </c>
      <c r="AH100" s="117">
        <f t="shared" ref="AH100:AH126" si="98">IF(AD100=AF100,3,0)</f>
        <v>3</v>
      </c>
      <c r="AI100" s="117">
        <f t="shared" ref="AI100:AI126" si="99">IF(AE100=AG100,1,0)</f>
        <v>1</v>
      </c>
      <c r="AJ100" s="117">
        <f t="shared" ref="AJ100:AJ126" si="100">IF(AI100=1,IF($G$97=L100,1,0),0)</f>
        <v>0</v>
      </c>
    </row>
    <row r="101" spans="2:36" ht="16.5" customHeight="1">
      <c r="B101" s="12"/>
      <c r="C101" s="12"/>
      <c r="D101" s="4"/>
      <c r="E101" s="4" t="s">
        <v>171</v>
      </c>
      <c r="F101" s="5">
        <v>1</v>
      </c>
      <c r="G101" s="6">
        <v>0</v>
      </c>
      <c r="H101" s="7" t="s">
        <v>224</v>
      </c>
      <c r="I101" s="7"/>
      <c r="J101" s="4"/>
      <c r="K101" s="4" t="s">
        <v>197</v>
      </c>
      <c r="L101" s="5">
        <v>2</v>
      </c>
      <c r="M101" s="6">
        <v>1</v>
      </c>
      <c r="N101" s="7" t="str">
        <f t="shared" si="84"/>
        <v/>
      </c>
      <c r="O101" s="7"/>
      <c r="P101" s="24"/>
      <c r="Q101" s="13"/>
      <c r="T101" s="121" t="str">
        <f t="shared" si="85"/>
        <v/>
      </c>
      <c r="U101" s="118">
        <f t="shared" si="86"/>
        <v>0</v>
      </c>
      <c r="V101" s="117">
        <f t="shared" si="87"/>
        <v>0</v>
      </c>
      <c r="W101" s="117">
        <f t="shared" si="88"/>
        <v>1</v>
      </c>
      <c r="X101" s="117">
        <f t="shared" si="89"/>
        <v>1</v>
      </c>
      <c r="Y101" s="117">
        <f t="shared" si="90"/>
        <v>0</v>
      </c>
      <c r="Z101" s="117">
        <f t="shared" si="91"/>
        <v>0</v>
      </c>
      <c r="AA101" s="117">
        <f t="shared" si="92"/>
        <v>0</v>
      </c>
      <c r="AC101" s="121" t="str">
        <f t="shared" si="93"/>
        <v/>
      </c>
      <c r="AD101" s="118">
        <f t="shared" si="94"/>
        <v>0</v>
      </c>
      <c r="AE101" s="117">
        <f t="shared" si="95"/>
        <v>0</v>
      </c>
      <c r="AF101" s="117">
        <f t="shared" si="96"/>
        <v>1</v>
      </c>
      <c r="AG101" s="117">
        <f t="shared" si="97"/>
        <v>1</v>
      </c>
      <c r="AH101" s="117">
        <f t="shared" si="98"/>
        <v>0</v>
      </c>
      <c r="AI101" s="117">
        <f t="shared" si="99"/>
        <v>0</v>
      </c>
      <c r="AJ101" s="117">
        <f t="shared" si="100"/>
        <v>0</v>
      </c>
    </row>
    <row r="102" spans="2:36" ht="16.5" customHeight="1">
      <c r="B102" s="12"/>
      <c r="C102" s="12"/>
      <c r="D102" s="8"/>
      <c r="E102" s="9" t="s">
        <v>172</v>
      </c>
      <c r="F102" s="5">
        <v>1</v>
      </c>
      <c r="G102" s="6">
        <v>1</v>
      </c>
      <c r="H102" s="7" t="s">
        <v>224</v>
      </c>
      <c r="I102" s="10"/>
      <c r="J102" s="8"/>
      <c r="K102" s="9" t="s">
        <v>198</v>
      </c>
      <c r="L102" s="5">
        <v>2</v>
      </c>
      <c r="M102" s="6">
        <v>0</v>
      </c>
      <c r="N102" s="7" t="str">
        <f t="shared" si="84"/>
        <v/>
      </c>
      <c r="O102" s="10"/>
      <c r="P102" s="24"/>
      <c r="Q102" s="13"/>
      <c r="T102" s="121" t="str">
        <f t="shared" si="85"/>
        <v/>
      </c>
      <c r="U102" s="118">
        <f t="shared" si="86"/>
        <v>0</v>
      </c>
      <c r="V102" s="117">
        <f t="shared" si="87"/>
        <v>0</v>
      </c>
      <c r="W102" s="117">
        <f t="shared" si="88"/>
        <v>0</v>
      </c>
      <c r="X102" s="117">
        <f t="shared" si="89"/>
        <v>0</v>
      </c>
      <c r="Y102" s="117">
        <f t="shared" si="90"/>
        <v>3</v>
      </c>
      <c r="Z102" s="117">
        <f t="shared" si="91"/>
        <v>1</v>
      </c>
      <c r="AA102" s="117">
        <f t="shared" si="92"/>
        <v>0</v>
      </c>
      <c r="AC102" s="121" t="str">
        <f t="shared" si="93"/>
        <v/>
      </c>
      <c r="AD102" s="118">
        <f t="shared" si="94"/>
        <v>0</v>
      </c>
      <c r="AE102" s="117">
        <f t="shared" si="95"/>
        <v>0</v>
      </c>
      <c r="AF102" s="117">
        <f t="shared" si="96"/>
        <v>1</v>
      </c>
      <c r="AG102" s="117">
        <f t="shared" si="97"/>
        <v>2</v>
      </c>
      <c r="AH102" s="117">
        <f t="shared" si="98"/>
        <v>0</v>
      </c>
      <c r="AI102" s="117">
        <f t="shared" si="99"/>
        <v>0</v>
      </c>
      <c r="AJ102" s="117">
        <f t="shared" si="100"/>
        <v>0</v>
      </c>
    </row>
    <row r="103" spans="2:36" ht="16.5" customHeight="1">
      <c r="B103" s="12"/>
      <c r="C103" s="12"/>
      <c r="D103" s="4"/>
      <c r="E103" s="4" t="s">
        <v>173</v>
      </c>
      <c r="F103" s="5">
        <v>2</v>
      </c>
      <c r="G103" s="6">
        <v>1</v>
      </c>
      <c r="H103" s="7" t="s">
        <v>224</v>
      </c>
      <c r="I103" s="7"/>
      <c r="J103" s="4"/>
      <c r="K103" s="4" t="s">
        <v>199</v>
      </c>
      <c r="L103" s="5">
        <v>2</v>
      </c>
      <c r="M103" s="6">
        <v>1</v>
      </c>
      <c r="N103" s="7" t="str">
        <f t="shared" si="84"/>
        <v/>
      </c>
      <c r="O103" s="7"/>
      <c r="P103" s="24"/>
      <c r="Q103" s="13"/>
      <c r="T103" s="121" t="str">
        <f t="shared" si="85"/>
        <v/>
      </c>
      <c r="U103" s="118">
        <f t="shared" si="86"/>
        <v>0</v>
      </c>
      <c r="V103" s="117">
        <f t="shared" si="87"/>
        <v>0</v>
      </c>
      <c r="W103" s="117">
        <f t="shared" si="88"/>
        <v>1</v>
      </c>
      <c r="X103" s="117">
        <f t="shared" si="89"/>
        <v>1</v>
      </c>
      <c r="Y103" s="117">
        <f t="shared" si="90"/>
        <v>0</v>
      </c>
      <c r="Z103" s="117">
        <f t="shared" si="91"/>
        <v>0</v>
      </c>
      <c r="AA103" s="117">
        <f t="shared" si="92"/>
        <v>0</v>
      </c>
      <c r="AC103" s="121" t="str">
        <f t="shared" si="93"/>
        <v/>
      </c>
      <c r="AD103" s="118">
        <f t="shared" si="94"/>
        <v>0</v>
      </c>
      <c r="AE103" s="117">
        <f t="shared" si="95"/>
        <v>0</v>
      </c>
      <c r="AF103" s="117">
        <f t="shared" si="96"/>
        <v>1</v>
      </c>
      <c r="AG103" s="117">
        <f t="shared" si="97"/>
        <v>1</v>
      </c>
      <c r="AH103" s="117">
        <f t="shared" si="98"/>
        <v>0</v>
      </c>
      <c r="AI103" s="117">
        <f t="shared" si="99"/>
        <v>0</v>
      </c>
      <c r="AJ103" s="117">
        <f t="shared" si="100"/>
        <v>0</v>
      </c>
    </row>
    <row r="104" spans="2:36" ht="16.5" customHeight="1">
      <c r="B104" s="12"/>
      <c r="C104" s="12"/>
      <c r="D104" s="8"/>
      <c r="E104" s="9" t="s">
        <v>174</v>
      </c>
      <c r="F104" s="5">
        <v>2</v>
      </c>
      <c r="G104" s="6">
        <v>1</v>
      </c>
      <c r="H104" s="7" t="s">
        <v>224</v>
      </c>
      <c r="I104" s="10"/>
      <c r="J104" s="8"/>
      <c r="K104" s="9" t="s">
        <v>200</v>
      </c>
      <c r="L104" s="5">
        <v>2</v>
      </c>
      <c r="M104" s="6">
        <v>1</v>
      </c>
      <c r="N104" s="7" t="str">
        <f t="shared" si="84"/>
        <v/>
      </c>
      <c r="O104" s="10"/>
      <c r="P104" s="24"/>
      <c r="Q104" s="13"/>
      <c r="T104" s="121" t="str">
        <f t="shared" si="85"/>
        <v/>
      </c>
      <c r="U104" s="118">
        <f t="shared" si="86"/>
        <v>0</v>
      </c>
      <c r="V104" s="117">
        <f t="shared" si="87"/>
        <v>0</v>
      </c>
      <c r="W104" s="117">
        <f t="shared" si="88"/>
        <v>1</v>
      </c>
      <c r="X104" s="117">
        <f t="shared" si="89"/>
        <v>1</v>
      </c>
      <c r="Y104" s="117">
        <f t="shared" si="90"/>
        <v>0</v>
      </c>
      <c r="Z104" s="117">
        <f t="shared" si="91"/>
        <v>0</v>
      </c>
      <c r="AA104" s="117">
        <f t="shared" si="92"/>
        <v>0</v>
      </c>
      <c r="AC104" s="121" t="str">
        <f t="shared" si="93"/>
        <v/>
      </c>
      <c r="AD104" s="118">
        <f t="shared" si="94"/>
        <v>0</v>
      </c>
      <c r="AE104" s="117">
        <f t="shared" si="95"/>
        <v>0</v>
      </c>
      <c r="AF104" s="117">
        <f t="shared" si="96"/>
        <v>1</v>
      </c>
      <c r="AG104" s="117">
        <f t="shared" si="97"/>
        <v>1</v>
      </c>
      <c r="AH104" s="117">
        <f t="shared" si="98"/>
        <v>0</v>
      </c>
      <c r="AI104" s="117">
        <f t="shared" si="99"/>
        <v>0</v>
      </c>
      <c r="AJ104" s="117">
        <f t="shared" si="100"/>
        <v>0</v>
      </c>
    </row>
    <row r="105" spans="2:36" ht="16.5" customHeight="1">
      <c r="B105" s="12"/>
      <c r="C105" s="12"/>
      <c r="D105" s="4"/>
      <c r="E105" s="4" t="s">
        <v>175</v>
      </c>
      <c r="F105" s="5">
        <v>2</v>
      </c>
      <c r="G105" s="6">
        <v>2</v>
      </c>
      <c r="H105" s="7" t="s">
        <v>224</v>
      </c>
      <c r="I105" s="7"/>
      <c r="J105" s="4"/>
      <c r="K105" s="4" t="s">
        <v>201</v>
      </c>
      <c r="L105" s="5">
        <v>1</v>
      </c>
      <c r="M105" s="6">
        <v>0</v>
      </c>
      <c r="N105" s="7" t="str">
        <f t="shared" si="84"/>
        <v/>
      </c>
      <c r="O105" s="7"/>
      <c r="P105" s="24"/>
      <c r="Q105" s="13"/>
      <c r="T105" s="121" t="str">
        <f t="shared" si="85"/>
        <v/>
      </c>
      <c r="U105" s="118">
        <f t="shared" si="86"/>
        <v>0</v>
      </c>
      <c r="V105" s="117">
        <f t="shared" si="87"/>
        <v>0</v>
      </c>
      <c r="W105" s="117">
        <f t="shared" si="88"/>
        <v>0</v>
      </c>
      <c r="X105" s="117">
        <f t="shared" si="89"/>
        <v>0</v>
      </c>
      <c r="Y105" s="117">
        <f t="shared" si="90"/>
        <v>3</v>
      </c>
      <c r="Z105" s="117">
        <f t="shared" si="91"/>
        <v>1</v>
      </c>
      <c r="AA105" s="117">
        <f t="shared" si="92"/>
        <v>0</v>
      </c>
      <c r="AC105" s="121" t="str">
        <f t="shared" si="93"/>
        <v/>
      </c>
      <c r="AD105" s="118">
        <f t="shared" si="94"/>
        <v>0</v>
      </c>
      <c r="AE105" s="117">
        <f t="shared" si="95"/>
        <v>0</v>
      </c>
      <c r="AF105" s="117">
        <f t="shared" si="96"/>
        <v>1</v>
      </c>
      <c r="AG105" s="117">
        <f t="shared" si="97"/>
        <v>1</v>
      </c>
      <c r="AH105" s="117">
        <f t="shared" si="98"/>
        <v>0</v>
      </c>
      <c r="AI105" s="117">
        <f t="shared" si="99"/>
        <v>0</v>
      </c>
      <c r="AJ105" s="117">
        <f t="shared" si="100"/>
        <v>0</v>
      </c>
    </row>
    <row r="106" spans="2:36" ht="16.5" customHeight="1">
      <c r="B106" s="14"/>
      <c r="C106" s="14" t="s">
        <v>8</v>
      </c>
      <c r="D106" s="8"/>
      <c r="E106" s="9" t="s">
        <v>33</v>
      </c>
      <c r="F106" s="5">
        <v>2</v>
      </c>
      <c r="G106" s="6">
        <v>1</v>
      </c>
      <c r="H106" s="7" t="s">
        <v>224</v>
      </c>
      <c r="I106" s="10"/>
      <c r="J106" s="8"/>
      <c r="K106" s="9" t="s">
        <v>225</v>
      </c>
      <c r="L106" s="5">
        <v>3</v>
      </c>
      <c r="M106" s="6">
        <v>1</v>
      </c>
      <c r="N106" s="7" t="str">
        <f t="shared" si="84"/>
        <v/>
      </c>
      <c r="O106" s="10"/>
      <c r="P106" s="31" t="s">
        <v>16</v>
      </c>
      <c r="Q106" s="30"/>
      <c r="T106" s="121" t="str">
        <f t="shared" si="85"/>
        <v/>
      </c>
      <c r="U106" s="118">
        <f t="shared" si="86"/>
        <v>0</v>
      </c>
      <c r="V106" s="117">
        <f t="shared" si="87"/>
        <v>0</v>
      </c>
      <c r="W106" s="117">
        <f t="shared" si="88"/>
        <v>1</v>
      </c>
      <c r="X106" s="117">
        <f t="shared" si="89"/>
        <v>1</v>
      </c>
      <c r="Y106" s="117">
        <f t="shared" si="90"/>
        <v>0</v>
      </c>
      <c r="Z106" s="117">
        <f t="shared" si="91"/>
        <v>0</v>
      </c>
      <c r="AA106" s="117">
        <f t="shared" si="92"/>
        <v>0</v>
      </c>
      <c r="AC106" s="121" t="str">
        <f t="shared" si="93"/>
        <v/>
      </c>
      <c r="AD106" s="118">
        <f t="shared" si="94"/>
        <v>0</v>
      </c>
      <c r="AE106" s="117">
        <f t="shared" si="95"/>
        <v>0</v>
      </c>
      <c r="AF106" s="117">
        <f t="shared" si="96"/>
        <v>1</v>
      </c>
      <c r="AG106" s="117">
        <f t="shared" si="97"/>
        <v>2</v>
      </c>
      <c r="AH106" s="117">
        <f t="shared" si="98"/>
        <v>0</v>
      </c>
      <c r="AI106" s="117">
        <f t="shared" si="99"/>
        <v>0</v>
      </c>
      <c r="AJ106" s="117">
        <f t="shared" si="100"/>
        <v>0</v>
      </c>
    </row>
    <row r="107" spans="2:36" ht="16.5" customHeight="1">
      <c r="B107" s="14"/>
      <c r="C107" s="14"/>
      <c r="D107" s="4"/>
      <c r="E107" s="4" t="s">
        <v>176</v>
      </c>
      <c r="F107" s="5">
        <v>2</v>
      </c>
      <c r="G107" s="6">
        <v>1</v>
      </c>
      <c r="H107" s="7" t="s">
        <v>224</v>
      </c>
      <c r="I107" s="7"/>
      <c r="J107" s="4"/>
      <c r="K107" s="4" t="s">
        <v>203</v>
      </c>
      <c r="L107" s="5">
        <v>1</v>
      </c>
      <c r="M107" s="6">
        <v>1</v>
      </c>
      <c r="N107" s="7" t="str">
        <f t="shared" si="84"/>
        <v/>
      </c>
      <c r="O107" s="7"/>
      <c r="P107" s="31"/>
      <c r="Q107" s="30"/>
      <c r="T107" s="121" t="str">
        <f t="shared" si="85"/>
        <v/>
      </c>
      <c r="U107" s="118">
        <f t="shared" si="86"/>
        <v>0</v>
      </c>
      <c r="V107" s="117">
        <f t="shared" si="87"/>
        <v>0</v>
      </c>
      <c r="W107" s="117">
        <f t="shared" si="88"/>
        <v>1</v>
      </c>
      <c r="X107" s="117">
        <f t="shared" si="89"/>
        <v>1</v>
      </c>
      <c r="Y107" s="117">
        <f t="shared" si="90"/>
        <v>0</v>
      </c>
      <c r="Z107" s="117">
        <f t="shared" si="91"/>
        <v>0</v>
      </c>
      <c r="AA107" s="117">
        <f t="shared" si="92"/>
        <v>0</v>
      </c>
      <c r="AC107" s="121" t="str">
        <f t="shared" si="93"/>
        <v/>
      </c>
      <c r="AD107" s="118">
        <f t="shared" si="94"/>
        <v>0</v>
      </c>
      <c r="AE107" s="117">
        <f t="shared" si="95"/>
        <v>0</v>
      </c>
      <c r="AF107" s="117">
        <f t="shared" si="96"/>
        <v>0</v>
      </c>
      <c r="AG107" s="117">
        <f t="shared" si="97"/>
        <v>0</v>
      </c>
      <c r="AH107" s="117">
        <f t="shared" si="98"/>
        <v>3</v>
      </c>
      <c r="AI107" s="117">
        <f t="shared" si="99"/>
        <v>1</v>
      </c>
      <c r="AJ107" s="117">
        <f t="shared" si="100"/>
        <v>0</v>
      </c>
    </row>
    <row r="108" spans="2:36" ht="16.5" customHeight="1">
      <c r="B108" s="14"/>
      <c r="C108" s="14"/>
      <c r="D108" s="8"/>
      <c r="E108" s="9" t="s">
        <v>177</v>
      </c>
      <c r="F108" s="5">
        <v>1</v>
      </c>
      <c r="G108" s="6">
        <v>2</v>
      </c>
      <c r="H108" s="7" t="s">
        <v>224</v>
      </c>
      <c r="I108" s="10"/>
      <c r="J108" s="8"/>
      <c r="K108" s="9" t="s">
        <v>204</v>
      </c>
      <c r="L108" s="5">
        <v>2</v>
      </c>
      <c r="M108" s="6">
        <v>1</v>
      </c>
      <c r="N108" s="7" t="str">
        <f t="shared" si="84"/>
        <v/>
      </c>
      <c r="O108" s="10"/>
      <c r="P108" s="31"/>
      <c r="Q108" s="30"/>
      <c r="T108" s="121" t="str">
        <f t="shared" si="85"/>
        <v/>
      </c>
      <c r="U108" s="118">
        <f t="shared" si="86"/>
        <v>0</v>
      </c>
      <c r="V108" s="117">
        <f t="shared" si="87"/>
        <v>0</v>
      </c>
      <c r="W108" s="117">
        <f t="shared" si="88"/>
        <v>2</v>
      </c>
      <c r="X108" s="117">
        <f t="shared" si="89"/>
        <v>-1</v>
      </c>
      <c r="Y108" s="117">
        <f t="shared" si="90"/>
        <v>0</v>
      </c>
      <c r="Z108" s="117">
        <f t="shared" si="91"/>
        <v>0</v>
      </c>
      <c r="AA108" s="117">
        <f t="shared" si="92"/>
        <v>0</v>
      </c>
      <c r="AC108" s="121" t="str">
        <f t="shared" si="93"/>
        <v/>
      </c>
      <c r="AD108" s="118">
        <f t="shared" si="94"/>
        <v>0</v>
      </c>
      <c r="AE108" s="117">
        <f t="shared" si="95"/>
        <v>0</v>
      </c>
      <c r="AF108" s="117">
        <f t="shared" si="96"/>
        <v>1</v>
      </c>
      <c r="AG108" s="117">
        <f t="shared" si="97"/>
        <v>1</v>
      </c>
      <c r="AH108" s="117">
        <f t="shared" si="98"/>
        <v>0</v>
      </c>
      <c r="AI108" s="117">
        <f t="shared" si="99"/>
        <v>0</v>
      </c>
      <c r="AJ108" s="117">
        <f t="shared" si="100"/>
        <v>0</v>
      </c>
    </row>
    <row r="109" spans="2:36" ht="16.5" customHeight="1">
      <c r="B109" s="14"/>
      <c r="C109" s="14"/>
      <c r="D109" s="4"/>
      <c r="E109" s="4" t="s">
        <v>178</v>
      </c>
      <c r="F109" s="5">
        <v>3</v>
      </c>
      <c r="G109" s="6">
        <v>0</v>
      </c>
      <c r="H109" s="7" t="s">
        <v>224</v>
      </c>
      <c r="I109" s="7"/>
      <c r="J109" s="4"/>
      <c r="K109" s="4" t="s">
        <v>223</v>
      </c>
      <c r="L109" s="5">
        <v>2</v>
      </c>
      <c r="M109" s="6">
        <v>2</v>
      </c>
      <c r="N109" s="7" t="str">
        <f t="shared" si="84"/>
        <v/>
      </c>
      <c r="O109" s="7"/>
      <c r="P109" s="31"/>
      <c r="Q109" s="30"/>
      <c r="T109" s="121" t="str">
        <f t="shared" si="85"/>
        <v/>
      </c>
      <c r="U109" s="118">
        <f t="shared" si="86"/>
        <v>0</v>
      </c>
      <c r="V109" s="117">
        <f t="shared" si="87"/>
        <v>0</v>
      </c>
      <c r="W109" s="117">
        <f t="shared" si="88"/>
        <v>1</v>
      </c>
      <c r="X109" s="117">
        <f t="shared" si="89"/>
        <v>3</v>
      </c>
      <c r="Y109" s="117">
        <f t="shared" si="90"/>
        <v>0</v>
      </c>
      <c r="Z109" s="117">
        <f t="shared" si="91"/>
        <v>0</v>
      </c>
      <c r="AA109" s="117">
        <f t="shared" si="92"/>
        <v>0</v>
      </c>
      <c r="AC109" s="121" t="str">
        <f t="shared" si="93"/>
        <v/>
      </c>
      <c r="AD109" s="118">
        <f t="shared" si="94"/>
        <v>0</v>
      </c>
      <c r="AE109" s="117">
        <f t="shared" si="95"/>
        <v>0</v>
      </c>
      <c r="AF109" s="117">
        <f t="shared" si="96"/>
        <v>0</v>
      </c>
      <c r="AG109" s="117">
        <f t="shared" si="97"/>
        <v>0</v>
      </c>
      <c r="AH109" s="117">
        <f t="shared" si="98"/>
        <v>3</v>
      </c>
      <c r="AI109" s="117">
        <f t="shared" si="99"/>
        <v>1</v>
      </c>
      <c r="AJ109" s="117">
        <f t="shared" si="100"/>
        <v>0</v>
      </c>
    </row>
    <row r="110" spans="2:36" ht="16.5" customHeight="1">
      <c r="B110" s="14"/>
      <c r="C110" s="14"/>
      <c r="D110" s="8"/>
      <c r="E110" s="9" t="s">
        <v>179</v>
      </c>
      <c r="F110" s="5">
        <v>2</v>
      </c>
      <c r="G110" s="6">
        <v>3</v>
      </c>
      <c r="H110" s="7" t="s">
        <v>224</v>
      </c>
      <c r="I110" s="10"/>
      <c r="J110" s="8"/>
      <c r="K110" s="9" t="s">
        <v>205</v>
      </c>
      <c r="L110" s="5">
        <v>0</v>
      </c>
      <c r="M110" s="6">
        <v>1</v>
      </c>
      <c r="N110" s="7" t="str">
        <f t="shared" si="84"/>
        <v/>
      </c>
      <c r="O110" s="10"/>
      <c r="P110" s="31"/>
      <c r="Q110" s="30"/>
      <c r="T110" s="121" t="str">
        <f t="shared" si="85"/>
        <v/>
      </c>
      <c r="U110" s="118">
        <f t="shared" si="86"/>
        <v>0</v>
      </c>
      <c r="V110" s="117">
        <f t="shared" si="87"/>
        <v>0</v>
      </c>
      <c r="W110" s="117">
        <f t="shared" si="88"/>
        <v>2</v>
      </c>
      <c r="X110" s="117">
        <f t="shared" si="89"/>
        <v>-1</v>
      </c>
      <c r="Y110" s="117">
        <f t="shared" si="90"/>
        <v>0</v>
      </c>
      <c r="Z110" s="117">
        <f t="shared" si="91"/>
        <v>0</v>
      </c>
      <c r="AA110" s="117">
        <f t="shared" si="92"/>
        <v>0</v>
      </c>
      <c r="AC110" s="121" t="str">
        <f t="shared" si="93"/>
        <v/>
      </c>
      <c r="AD110" s="118">
        <f t="shared" si="94"/>
        <v>0</v>
      </c>
      <c r="AE110" s="117">
        <f t="shared" si="95"/>
        <v>0</v>
      </c>
      <c r="AF110" s="117">
        <f t="shared" si="96"/>
        <v>2</v>
      </c>
      <c r="AG110" s="117">
        <f t="shared" si="97"/>
        <v>-1</v>
      </c>
      <c r="AH110" s="117">
        <f t="shared" si="98"/>
        <v>0</v>
      </c>
      <c r="AI110" s="117">
        <f t="shared" si="99"/>
        <v>0</v>
      </c>
      <c r="AJ110" s="117">
        <f t="shared" si="100"/>
        <v>0</v>
      </c>
    </row>
    <row r="111" spans="2:36" ht="16.5" customHeight="1">
      <c r="B111" s="14"/>
      <c r="C111" s="14"/>
      <c r="D111" s="4"/>
      <c r="E111" s="4" t="s">
        <v>180</v>
      </c>
      <c r="F111" s="5">
        <v>1</v>
      </c>
      <c r="G111" s="6">
        <v>2</v>
      </c>
      <c r="H111" s="7" t="s">
        <v>224</v>
      </c>
      <c r="I111" s="7"/>
      <c r="J111" s="4"/>
      <c r="K111" s="4" t="s">
        <v>206</v>
      </c>
      <c r="L111" s="5">
        <v>3</v>
      </c>
      <c r="M111" s="6">
        <v>0</v>
      </c>
      <c r="N111" s="7" t="str">
        <f t="shared" si="84"/>
        <v/>
      </c>
      <c r="O111" s="7"/>
      <c r="P111" s="31"/>
      <c r="Q111" s="30"/>
      <c r="T111" s="121" t="str">
        <f t="shared" si="85"/>
        <v/>
      </c>
      <c r="U111" s="118">
        <f t="shared" si="86"/>
        <v>0</v>
      </c>
      <c r="V111" s="117">
        <f t="shared" si="87"/>
        <v>0</v>
      </c>
      <c r="W111" s="117">
        <f t="shared" si="88"/>
        <v>2</v>
      </c>
      <c r="X111" s="117">
        <f t="shared" si="89"/>
        <v>-1</v>
      </c>
      <c r="Y111" s="117">
        <f t="shared" si="90"/>
        <v>0</v>
      </c>
      <c r="Z111" s="117">
        <f t="shared" si="91"/>
        <v>0</v>
      </c>
      <c r="AA111" s="117">
        <f t="shared" si="92"/>
        <v>0</v>
      </c>
      <c r="AC111" s="121" t="str">
        <f t="shared" si="93"/>
        <v/>
      </c>
      <c r="AD111" s="118">
        <f t="shared" si="94"/>
        <v>0</v>
      </c>
      <c r="AE111" s="117">
        <f t="shared" si="95"/>
        <v>0</v>
      </c>
      <c r="AF111" s="117">
        <f t="shared" si="96"/>
        <v>1</v>
      </c>
      <c r="AG111" s="117">
        <f t="shared" si="97"/>
        <v>3</v>
      </c>
      <c r="AH111" s="117">
        <f t="shared" si="98"/>
        <v>0</v>
      </c>
      <c r="AI111" s="117">
        <f t="shared" si="99"/>
        <v>0</v>
      </c>
      <c r="AJ111" s="117">
        <f t="shared" si="100"/>
        <v>0</v>
      </c>
    </row>
    <row r="112" spans="2:36" ht="16.5" customHeight="1">
      <c r="B112" s="14"/>
      <c r="C112" s="14"/>
      <c r="D112" s="8"/>
      <c r="E112" s="9" t="s">
        <v>181</v>
      </c>
      <c r="F112" s="5">
        <v>1</v>
      </c>
      <c r="G112" s="6">
        <v>1</v>
      </c>
      <c r="H112" s="7" t="s">
        <v>224</v>
      </c>
      <c r="I112" s="10"/>
      <c r="J112" s="8"/>
      <c r="K112" s="9" t="s">
        <v>207</v>
      </c>
      <c r="L112" s="5">
        <v>1</v>
      </c>
      <c r="M112" s="6">
        <v>1</v>
      </c>
      <c r="N112" s="7" t="str">
        <f t="shared" si="84"/>
        <v/>
      </c>
      <c r="O112" s="10"/>
      <c r="P112" s="31"/>
      <c r="Q112" s="30"/>
      <c r="T112" s="121" t="str">
        <f t="shared" si="85"/>
        <v/>
      </c>
      <c r="U112" s="118">
        <f t="shared" si="86"/>
        <v>0</v>
      </c>
      <c r="V112" s="117">
        <f t="shared" si="87"/>
        <v>0</v>
      </c>
      <c r="W112" s="117">
        <f t="shared" si="88"/>
        <v>0</v>
      </c>
      <c r="X112" s="117">
        <f t="shared" si="89"/>
        <v>0</v>
      </c>
      <c r="Y112" s="117">
        <f t="shared" si="90"/>
        <v>3</v>
      </c>
      <c r="Z112" s="117">
        <f t="shared" si="91"/>
        <v>1</v>
      </c>
      <c r="AA112" s="117">
        <f t="shared" si="92"/>
        <v>0</v>
      </c>
      <c r="AC112" s="121" t="str">
        <f t="shared" si="93"/>
        <v/>
      </c>
      <c r="AD112" s="118">
        <f t="shared" si="94"/>
        <v>0</v>
      </c>
      <c r="AE112" s="117">
        <f t="shared" si="95"/>
        <v>0</v>
      </c>
      <c r="AF112" s="117">
        <f t="shared" si="96"/>
        <v>0</v>
      </c>
      <c r="AG112" s="117">
        <f t="shared" si="97"/>
        <v>0</v>
      </c>
      <c r="AH112" s="117">
        <f t="shared" si="98"/>
        <v>3</v>
      </c>
      <c r="AI112" s="117">
        <f t="shared" si="99"/>
        <v>1</v>
      </c>
      <c r="AJ112" s="117">
        <f t="shared" si="100"/>
        <v>0</v>
      </c>
    </row>
    <row r="113" spans="2:36" ht="16.5" customHeight="1">
      <c r="B113" s="11"/>
      <c r="C113" s="11" t="s">
        <v>9</v>
      </c>
      <c r="D113" s="4"/>
      <c r="E113" s="4" t="s">
        <v>182</v>
      </c>
      <c r="F113" s="5">
        <v>2</v>
      </c>
      <c r="G113" s="6">
        <v>0</v>
      </c>
      <c r="H113" s="7" t="s">
        <v>224</v>
      </c>
      <c r="I113" s="7"/>
      <c r="J113" s="4"/>
      <c r="K113" s="4" t="s">
        <v>208</v>
      </c>
      <c r="L113" s="5">
        <v>2</v>
      </c>
      <c r="M113" s="6">
        <v>1</v>
      </c>
      <c r="N113" s="7" t="str">
        <f t="shared" si="84"/>
        <v/>
      </c>
      <c r="O113" s="7"/>
      <c r="P113" s="36" t="s">
        <v>25</v>
      </c>
      <c r="Q113" s="35"/>
      <c r="T113" s="121" t="str">
        <f t="shared" si="85"/>
        <v/>
      </c>
      <c r="U113" s="118">
        <f t="shared" si="86"/>
        <v>0</v>
      </c>
      <c r="V113" s="117">
        <f t="shared" si="87"/>
        <v>0</v>
      </c>
      <c r="W113" s="117">
        <f t="shared" si="88"/>
        <v>1</v>
      </c>
      <c r="X113" s="117">
        <f t="shared" si="89"/>
        <v>2</v>
      </c>
      <c r="Y113" s="117">
        <f t="shared" si="90"/>
        <v>0</v>
      </c>
      <c r="Z113" s="117">
        <f t="shared" si="91"/>
        <v>0</v>
      </c>
      <c r="AA113" s="117">
        <f t="shared" si="92"/>
        <v>0</v>
      </c>
      <c r="AC113" s="121" t="str">
        <f t="shared" si="93"/>
        <v/>
      </c>
      <c r="AD113" s="118">
        <f t="shared" si="94"/>
        <v>0</v>
      </c>
      <c r="AE113" s="117">
        <f t="shared" si="95"/>
        <v>0</v>
      </c>
      <c r="AF113" s="117">
        <f t="shared" si="96"/>
        <v>1</v>
      </c>
      <c r="AG113" s="117">
        <f t="shared" si="97"/>
        <v>1</v>
      </c>
      <c r="AH113" s="117">
        <f t="shared" si="98"/>
        <v>0</v>
      </c>
      <c r="AI113" s="117">
        <f t="shared" si="99"/>
        <v>0</v>
      </c>
      <c r="AJ113" s="117">
        <f t="shared" si="100"/>
        <v>0</v>
      </c>
    </row>
    <row r="114" spans="2:36" ht="16.5" customHeight="1">
      <c r="B114" s="11"/>
      <c r="C114" s="11"/>
      <c r="D114" s="8"/>
      <c r="E114" s="9" t="s">
        <v>183</v>
      </c>
      <c r="F114" s="5">
        <v>2</v>
      </c>
      <c r="G114" s="6">
        <v>2</v>
      </c>
      <c r="H114" s="7" t="s">
        <v>224</v>
      </c>
      <c r="I114" s="10"/>
      <c r="J114" s="8"/>
      <c r="K114" s="9" t="s">
        <v>209</v>
      </c>
      <c r="L114" s="5">
        <v>2</v>
      </c>
      <c r="M114" s="6">
        <v>0</v>
      </c>
      <c r="N114" s="7" t="str">
        <f t="shared" si="84"/>
        <v/>
      </c>
      <c r="O114" s="10"/>
      <c r="P114" s="36"/>
      <c r="Q114" s="35"/>
      <c r="T114" s="121" t="str">
        <f t="shared" si="85"/>
        <v/>
      </c>
      <c r="U114" s="118">
        <f t="shared" si="86"/>
        <v>0</v>
      </c>
      <c r="V114" s="117">
        <f t="shared" si="87"/>
        <v>0</v>
      </c>
      <c r="W114" s="117">
        <f t="shared" si="88"/>
        <v>0</v>
      </c>
      <c r="X114" s="117">
        <f t="shared" si="89"/>
        <v>0</v>
      </c>
      <c r="Y114" s="117">
        <f t="shared" si="90"/>
        <v>3</v>
      </c>
      <c r="Z114" s="117">
        <f t="shared" si="91"/>
        <v>1</v>
      </c>
      <c r="AA114" s="117">
        <f t="shared" si="92"/>
        <v>0</v>
      </c>
      <c r="AC114" s="121" t="str">
        <f t="shared" si="93"/>
        <v/>
      </c>
      <c r="AD114" s="118">
        <f t="shared" si="94"/>
        <v>0</v>
      </c>
      <c r="AE114" s="117">
        <f t="shared" si="95"/>
        <v>0</v>
      </c>
      <c r="AF114" s="117">
        <f t="shared" si="96"/>
        <v>1</v>
      </c>
      <c r="AG114" s="117">
        <f t="shared" si="97"/>
        <v>2</v>
      </c>
      <c r="AH114" s="117">
        <f t="shared" si="98"/>
        <v>0</v>
      </c>
      <c r="AI114" s="117">
        <f t="shared" si="99"/>
        <v>0</v>
      </c>
      <c r="AJ114" s="117">
        <f t="shared" si="100"/>
        <v>0</v>
      </c>
    </row>
    <row r="115" spans="2:36" ht="16.5" customHeight="1">
      <c r="B115" s="11"/>
      <c r="C115" s="11"/>
      <c r="D115" s="4"/>
      <c r="E115" s="4" t="s">
        <v>184</v>
      </c>
      <c r="F115" s="5">
        <v>2</v>
      </c>
      <c r="G115" s="6">
        <v>1</v>
      </c>
      <c r="H115" s="7" t="s">
        <v>224</v>
      </c>
      <c r="I115" s="7"/>
      <c r="J115" s="4"/>
      <c r="K115" s="4" t="s">
        <v>210</v>
      </c>
      <c r="L115" s="5">
        <v>1</v>
      </c>
      <c r="M115" s="6">
        <v>1</v>
      </c>
      <c r="N115" s="7" t="str">
        <f t="shared" si="84"/>
        <v/>
      </c>
      <c r="O115" s="7"/>
      <c r="P115" s="36"/>
      <c r="Q115" s="35"/>
      <c r="T115" s="121" t="str">
        <f t="shared" si="85"/>
        <v/>
      </c>
      <c r="U115" s="118">
        <f t="shared" si="86"/>
        <v>0</v>
      </c>
      <c r="V115" s="117">
        <f t="shared" si="87"/>
        <v>0</v>
      </c>
      <c r="W115" s="117">
        <f t="shared" si="88"/>
        <v>1</v>
      </c>
      <c r="X115" s="117">
        <f t="shared" si="89"/>
        <v>1</v>
      </c>
      <c r="Y115" s="117">
        <f t="shared" si="90"/>
        <v>0</v>
      </c>
      <c r="Z115" s="117">
        <f t="shared" si="91"/>
        <v>0</v>
      </c>
      <c r="AA115" s="117">
        <f t="shared" si="92"/>
        <v>0</v>
      </c>
      <c r="AC115" s="121" t="str">
        <f t="shared" si="93"/>
        <v/>
      </c>
      <c r="AD115" s="118">
        <f t="shared" si="94"/>
        <v>0</v>
      </c>
      <c r="AE115" s="117">
        <f t="shared" si="95"/>
        <v>0</v>
      </c>
      <c r="AF115" s="117">
        <f t="shared" si="96"/>
        <v>0</v>
      </c>
      <c r="AG115" s="117">
        <f t="shared" si="97"/>
        <v>0</v>
      </c>
      <c r="AH115" s="117">
        <f t="shared" si="98"/>
        <v>3</v>
      </c>
      <c r="AI115" s="117">
        <f t="shared" si="99"/>
        <v>1</v>
      </c>
      <c r="AJ115" s="117">
        <f t="shared" si="100"/>
        <v>0</v>
      </c>
    </row>
    <row r="116" spans="2:36" ht="16.5" customHeight="1">
      <c r="B116" s="11"/>
      <c r="C116" s="11"/>
      <c r="D116" s="8"/>
      <c r="E116" s="9" t="s">
        <v>222</v>
      </c>
      <c r="F116" s="5">
        <v>2</v>
      </c>
      <c r="G116" s="6">
        <v>0</v>
      </c>
      <c r="H116" s="7" t="s">
        <v>224</v>
      </c>
      <c r="I116" s="10"/>
      <c r="J116" s="8"/>
      <c r="K116" s="9" t="s">
        <v>211</v>
      </c>
      <c r="L116" s="5">
        <v>1</v>
      </c>
      <c r="M116" s="6">
        <v>2</v>
      </c>
      <c r="N116" s="7" t="str">
        <f t="shared" si="84"/>
        <v/>
      </c>
      <c r="O116" s="10"/>
      <c r="P116" s="36"/>
      <c r="Q116" s="35"/>
      <c r="T116" s="121" t="str">
        <f t="shared" si="85"/>
        <v/>
      </c>
      <c r="U116" s="118">
        <f t="shared" si="86"/>
        <v>0</v>
      </c>
      <c r="V116" s="117">
        <f t="shared" si="87"/>
        <v>0</v>
      </c>
      <c r="W116" s="117">
        <f t="shared" si="88"/>
        <v>1</v>
      </c>
      <c r="X116" s="117">
        <f t="shared" si="89"/>
        <v>2</v>
      </c>
      <c r="Y116" s="117">
        <f t="shared" si="90"/>
        <v>0</v>
      </c>
      <c r="Z116" s="117">
        <f t="shared" si="91"/>
        <v>0</v>
      </c>
      <c r="AA116" s="117">
        <f t="shared" si="92"/>
        <v>0</v>
      </c>
      <c r="AC116" s="121" t="str">
        <f t="shared" si="93"/>
        <v/>
      </c>
      <c r="AD116" s="118">
        <f t="shared" si="94"/>
        <v>0</v>
      </c>
      <c r="AE116" s="117">
        <f t="shared" si="95"/>
        <v>0</v>
      </c>
      <c r="AF116" s="117">
        <f t="shared" si="96"/>
        <v>2</v>
      </c>
      <c r="AG116" s="117">
        <f t="shared" si="97"/>
        <v>-1</v>
      </c>
      <c r="AH116" s="117">
        <f t="shared" si="98"/>
        <v>0</v>
      </c>
      <c r="AI116" s="117">
        <f t="shared" si="99"/>
        <v>0</v>
      </c>
      <c r="AJ116" s="117">
        <f t="shared" si="100"/>
        <v>0</v>
      </c>
    </row>
    <row r="117" spans="2:36" ht="16.5" customHeight="1">
      <c r="B117" s="11"/>
      <c r="C117" s="11"/>
      <c r="D117" s="4"/>
      <c r="E117" s="4" t="s">
        <v>185</v>
      </c>
      <c r="F117" s="5">
        <v>1</v>
      </c>
      <c r="G117" s="6">
        <v>2</v>
      </c>
      <c r="H117" s="7" t="s">
        <v>224</v>
      </c>
      <c r="I117" s="7"/>
      <c r="J117" s="4"/>
      <c r="K117" s="4" t="s">
        <v>212</v>
      </c>
      <c r="L117" s="5">
        <v>2</v>
      </c>
      <c r="M117" s="6">
        <v>0</v>
      </c>
      <c r="N117" s="7" t="str">
        <f t="shared" si="84"/>
        <v/>
      </c>
      <c r="O117" s="7"/>
      <c r="P117" s="36"/>
      <c r="Q117" s="35"/>
      <c r="T117" s="121" t="str">
        <f t="shared" si="85"/>
        <v/>
      </c>
      <c r="U117" s="118">
        <f t="shared" si="86"/>
        <v>0</v>
      </c>
      <c r="V117" s="117">
        <f t="shared" si="87"/>
        <v>0</v>
      </c>
      <c r="W117" s="117">
        <f t="shared" si="88"/>
        <v>2</v>
      </c>
      <c r="X117" s="117">
        <f t="shared" si="89"/>
        <v>-1</v>
      </c>
      <c r="Y117" s="117">
        <f t="shared" si="90"/>
        <v>0</v>
      </c>
      <c r="Z117" s="117">
        <f t="shared" si="91"/>
        <v>0</v>
      </c>
      <c r="AA117" s="117">
        <f t="shared" si="92"/>
        <v>0</v>
      </c>
      <c r="AC117" s="121" t="str">
        <f t="shared" si="93"/>
        <v/>
      </c>
      <c r="AD117" s="118">
        <f t="shared" si="94"/>
        <v>0</v>
      </c>
      <c r="AE117" s="117">
        <f t="shared" si="95"/>
        <v>0</v>
      </c>
      <c r="AF117" s="117">
        <f t="shared" si="96"/>
        <v>1</v>
      </c>
      <c r="AG117" s="117">
        <f t="shared" si="97"/>
        <v>2</v>
      </c>
      <c r="AH117" s="117">
        <f t="shared" si="98"/>
        <v>0</v>
      </c>
      <c r="AI117" s="117">
        <f t="shared" si="99"/>
        <v>0</v>
      </c>
      <c r="AJ117" s="117">
        <f t="shared" si="100"/>
        <v>0</v>
      </c>
    </row>
    <row r="118" spans="2:36" ht="16.5" customHeight="1">
      <c r="B118" s="11"/>
      <c r="C118" s="11"/>
      <c r="D118" s="8"/>
      <c r="E118" s="9" t="s">
        <v>186</v>
      </c>
      <c r="F118" s="5">
        <v>3</v>
      </c>
      <c r="G118" s="6">
        <v>0</v>
      </c>
      <c r="H118" s="7" t="s">
        <v>224</v>
      </c>
      <c r="I118" s="10"/>
      <c r="J118" s="8"/>
      <c r="K118" s="9" t="s">
        <v>213</v>
      </c>
      <c r="L118" s="5">
        <v>2</v>
      </c>
      <c r="M118" s="6">
        <v>0</v>
      </c>
      <c r="N118" s="7" t="str">
        <f t="shared" si="84"/>
        <v/>
      </c>
      <c r="O118" s="10"/>
      <c r="P118" s="36"/>
      <c r="Q118" s="35"/>
      <c r="T118" s="121" t="str">
        <f t="shared" si="85"/>
        <v/>
      </c>
      <c r="U118" s="118">
        <f t="shared" si="86"/>
        <v>0</v>
      </c>
      <c r="V118" s="117">
        <f t="shared" si="87"/>
        <v>0</v>
      </c>
      <c r="W118" s="117">
        <f t="shared" si="88"/>
        <v>1</v>
      </c>
      <c r="X118" s="117">
        <f t="shared" si="89"/>
        <v>3</v>
      </c>
      <c r="Y118" s="117">
        <f t="shared" si="90"/>
        <v>0</v>
      </c>
      <c r="Z118" s="117">
        <f t="shared" si="91"/>
        <v>0</v>
      </c>
      <c r="AA118" s="117">
        <f t="shared" si="92"/>
        <v>0</v>
      </c>
      <c r="AC118" s="121" t="str">
        <f t="shared" si="93"/>
        <v/>
      </c>
      <c r="AD118" s="118">
        <f t="shared" si="94"/>
        <v>0</v>
      </c>
      <c r="AE118" s="117">
        <f t="shared" si="95"/>
        <v>0</v>
      </c>
      <c r="AF118" s="117">
        <f t="shared" si="96"/>
        <v>1</v>
      </c>
      <c r="AG118" s="117">
        <f t="shared" si="97"/>
        <v>2</v>
      </c>
      <c r="AH118" s="117">
        <f t="shared" si="98"/>
        <v>0</v>
      </c>
      <c r="AI118" s="117">
        <f t="shared" si="99"/>
        <v>0</v>
      </c>
      <c r="AJ118" s="117">
        <f t="shared" si="100"/>
        <v>0</v>
      </c>
    </row>
    <row r="119" spans="2:36" ht="16.5" customHeight="1">
      <c r="B119" s="11"/>
      <c r="C119" s="11"/>
      <c r="D119" s="4"/>
      <c r="E119" s="4" t="s">
        <v>187</v>
      </c>
      <c r="F119" s="5">
        <v>1</v>
      </c>
      <c r="G119" s="6">
        <v>3</v>
      </c>
      <c r="H119" s="7" t="s">
        <v>224</v>
      </c>
      <c r="I119" s="7"/>
      <c r="J119" s="4"/>
      <c r="K119" s="4" t="s">
        <v>214</v>
      </c>
      <c r="L119" s="5">
        <v>2</v>
      </c>
      <c r="M119" s="6">
        <v>1</v>
      </c>
      <c r="N119" s="7" t="str">
        <f t="shared" si="84"/>
        <v/>
      </c>
      <c r="O119" s="7"/>
      <c r="P119" s="36"/>
      <c r="Q119" s="35"/>
      <c r="T119" s="121" t="str">
        <f t="shared" si="85"/>
        <v/>
      </c>
      <c r="U119" s="118">
        <f t="shared" si="86"/>
        <v>0</v>
      </c>
      <c r="V119" s="117">
        <f t="shared" si="87"/>
        <v>0</v>
      </c>
      <c r="W119" s="117">
        <f t="shared" si="88"/>
        <v>2</v>
      </c>
      <c r="X119" s="117">
        <f t="shared" si="89"/>
        <v>-2</v>
      </c>
      <c r="Y119" s="117">
        <f t="shared" si="90"/>
        <v>0</v>
      </c>
      <c r="Z119" s="117">
        <f t="shared" si="91"/>
        <v>0</v>
      </c>
      <c r="AA119" s="117">
        <f t="shared" si="92"/>
        <v>0</v>
      </c>
      <c r="AC119" s="121" t="str">
        <f t="shared" si="93"/>
        <v/>
      </c>
      <c r="AD119" s="118">
        <f t="shared" si="94"/>
        <v>0</v>
      </c>
      <c r="AE119" s="117">
        <f t="shared" si="95"/>
        <v>0</v>
      </c>
      <c r="AF119" s="117">
        <f t="shared" si="96"/>
        <v>1</v>
      </c>
      <c r="AG119" s="117">
        <f t="shared" si="97"/>
        <v>1</v>
      </c>
      <c r="AH119" s="117">
        <f t="shared" si="98"/>
        <v>0</v>
      </c>
      <c r="AI119" s="117">
        <f t="shared" si="99"/>
        <v>0</v>
      </c>
      <c r="AJ119" s="117">
        <f t="shared" si="100"/>
        <v>0</v>
      </c>
    </row>
    <row r="120" spans="2:36" ht="16.5" customHeight="1">
      <c r="B120" s="15"/>
      <c r="C120" s="15" t="s">
        <v>10</v>
      </c>
      <c r="D120" s="8"/>
      <c r="E120" s="9" t="s">
        <v>188</v>
      </c>
      <c r="F120" s="5">
        <v>1</v>
      </c>
      <c r="G120" s="6">
        <v>2</v>
      </c>
      <c r="H120" s="7" t="s">
        <v>224</v>
      </c>
      <c r="I120" s="10"/>
      <c r="J120" s="8"/>
      <c r="K120" s="9" t="s">
        <v>215</v>
      </c>
      <c r="L120" s="5">
        <v>2</v>
      </c>
      <c r="M120" s="6">
        <v>0</v>
      </c>
      <c r="N120" s="7" t="str">
        <f t="shared" si="84"/>
        <v/>
      </c>
      <c r="O120" s="10"/>
      <c r="P120" s="39" t="s">
        <v>26</v>
      </c>
      <c r="Q120" s="38"/>
      <c r="T120" s="121" t="str">
        <f t="shared" si="85"/>
        <v/>
      </c>
      <c r="U120" s="118">
        <f t="shared" si="86"/>
        <v>0</v>
      </c>
      <c r="V120" s="117">
        <f t="shared" si="87"/>
        <v>0</v>
      </c>
      <c r="W120" s="117">
        <f t="shared" si="88"/>
        <v>2</v>
      </c>
      <c r="X120" s="117">
        <f t="shared" si="89"/>
        <v>-1</v>
      </c>
      <c r="Y120" s="117">
        <f t="shared" si="90"/>
        <v>0</v>
      </c>
      <c r="Z120" s="117">
        <f t="shared" si="91"/>
        <v>0</v>
      </c>
      <c r="AA120" s="117">
        <f t="shared" si="92"/>
        <v>0</v>
      </c>
      <c r="AC120" s="121" t="str">
        <f t="shared" si="93"/>
        <v/>
      </c>
      <c r="AD120" s="118">
        <f t="shared" si="94"/>
        <v>0</v>
      </c>
      <c r="AE120" s="117">
        <f t="shared" si="95"/>
        <v>0</v>
      </c>
      <c r="AF120" s="117">
        <f t="shared" si="96"/>
        <v>1</v>
      </c>
      <c r="AG120" s="117">
        <f t="shared" si="97"/>
        <v>2</v>
      </c>
      <c r="AH120" s="117">
        <f t="shared" si="98"/>
        <v>0</v>
      </c>
      <c r="AI120" s="117">
        <f t="shared" si="99"/>
        <v>0</v>
      </c>
      <c r="AJ120" s="117">
        <f t="shared" si="100"/>
        <v>0</v>
      </c>
    </row>
    <row r="121" spans="2:36" ht="16.5" customHeight="1">
      <c r="B121" s="15"/>
      <c r="C121" s="15"/>
      <c r="D121" s="4"/>
      <c r="E121" s="4" t="s">
        <v>189</v>
      </c>
      <c r="F121" s="5">
        <v>2</v>
      </c>
      <c r="G121" s="6">
        <v>0</v>
      </c>
      <c r="H121" s="7" t="s">
        <v>224</v>
      </c>
      <c r="I121" s="7"/>
      <c r="J121" s="4"/>
      <c r="K121" s="4" t="s">
        <v>216</v>
      </c>
      <c r="L121" s="5">
        <v>2</v>
      </c>
      <c r="M121" s="6">
        <v>1</v>
      </c>
      <c r="N121" s="7" t="str">
        <f t="shared" si="84"/>
        <v/>
      </c>
      <c r="O121" s="7"/>
      <c r="P121" s="39"/>
      <c r="Q121" s="38"/>
      <c r="T121" s="121" t="str">
        <f t="shared" si="85"/>
        <v/>
      </c>
      <c r="U121" s="118">
        <f t="shared" si="86"/>
        <v>0</v>
      </c>
      <c r="V121" s="117">
        <f t="shared" si="87"/>
        <v>0</v>
      </c>
      <c r="W121" s="117">
        <f t="shared" si="88"/>
        <v>1</v>
      </c>
      <c r="X121" s="117">
        <f t="shared" si="89"/>
        <v>2</v>
      </c>
      <c r="Y121" s="117">
        <f t="shared" si="90"/>
        <v>0</v>
      </c>
      <c r="Z121" s="117">
        <f t="shared" si="91"/>
        <v>0</v>
      </c>
      <c r="AA121" s="117">
        <f t="shared" si="92"/>
        <v>0</v>
      </c>
      <c r="AC121" s="121" t="str">
        <f t="shared" si="93"/>
        <v/>
      </c>
      <c r="AD121" s="118">
        <f t="shared" si="94"/>
        <v>0</v>
      </c>
      <c r="AE121" s="117">
        <f t="shared" si="95"/>
        <v>0</v>
      </c>
      <c r="AF121" s="117">
        <f t="shared" si="96"/>
        <v>1</v>
      </c>
      <c r="AG121" s="117">
        <f t="shared" si="97"/>
        <v>1</v>
      </c>
      <c r="AH121" s="117">
        <f t="shared" si="98"/>
        <v>0</v>
      </c>
      <c r="AI121" s="117">
        <f t="shared" si="99"/>
        <v>0</v>
      </c>
      <c r="AJ121" s="117">
        <f t="shared" si="100"/>
        <v>0</v>
      </c>
    </row>
    <row r="122" spans="2:36" ht="16.5" customHeight="1">
      <c r="B122" s="15"/>
      <c r="C122" s="15"/>
      <c r="D122" s="8"/>
      <c r="E122" s="9" t="s">
        <v>190</v>
      </c>
      <c r="F122" s="5">
        <v>1</v>
      </c>
      <c r="G122" s="6">
        <v>0</v>
      </c>
      <c r="H122" s="7" t="s">
        <v>224</v>
      </c>
      <c r="I122" s="10"/>
      <c r="J122" s="8"/>
      <c r="K122" s="9" t="s">
        <v>217</v>
      </c>
      <c r="L122" s="5">
        <v>2</v>
      </c>
      <c r="M122" s="6">
        <v>0</v>
      </c>
      <c r="N122" s="7" t="str">
        <f t="shared" si="84"/>
        <v/>
      </c>
      <c r="O122" s="10"/>
      <c r="P122" s="39"/>
      <c r="Q122" s="38"/>
      <c r="T122" s="121" t="str">
        <f t="shared" si="85"/>
        <v/>
      </c>
      <c r="U122" s="118">
        <f t="shared" si="86"/>
        <v>0</v>
      </c>
      <c r="V122" s="117">
        <f t="shared" si="87"/>
        <v>0</v>
      </c>
      <c r="W122" s="117">
        <f t="shared" si="88"/>
        <v>1</v>
      </c>
      <c r="X122" s="117">
        <f t="shared" si="89"/>
        <v>1</v>
      </c>
      <c r="Y122" s="117">
        <f t="shared" si="90"/>
        <v>0</v>
      </c>
      <c r="Z122" s="117">
        <f t="shared" si="91"/>
        <v>0</v>
      </c>
      <c r="AA122" s="117">
        <f t="shared" si="92"/>
        <v>0</v>
      </c>
      <c r="AC122" s="121" t="str">
        <f t="shared" si="93"/>
        <v/>
      </c>
      <c r="AD122" s="118">
        <f t="shared" si="94"/>
        <v>0</v>
      </c>
      <c r="AE122" s="117">
        <f t="shared" si="95"/>
        <v>0</v>
      </c>
      <c r="AF122" s="117">
        <f t="shared" si="96"/>
        <v>1</v>
      </c>
      <c r="AG122" s="117">
        <f t="shared" si="97"/>
        <v>2</v>
      </c>
      <c r="AH122" s="117">
        <f t="shared" si="98"/>
        <v>0</v>
      </c>
      <c r="AI122" s="117">
        <f t="shared" si="99"/>
        <v>0</v>
      </c>
      <c r="AJ122" s="117">
        <f t="shared" si="100"/>
        <v>0</v>
      </c>
    </row>
    <row r="123" spans="2:36" ht="16.5" customHeight="1">
      <c r="B123" s="15"/>
      <c r="C123" s="15"/>
      <c r="D123" s="4"/>
      <c r="E123" s="4" t="s">
        <v>191</v>
      </c>
      <c r="F123" s="5">
        <v>1</v>
      </c>
      <c r="G123" s="6">
        <v>1</v>
      </c>
      <c r="H123" s="7" t="s">
        <v>224</v>
      </c>
      <c r="I123" s="7"/>
      <c r="J123" s="4"/>
      <c r="K123" s="4" t="s">
        <v>218</v>
      </c>
      <c r="L123" s="5">
        <v>1</v>
      </c>
      <c r="M123" s="6">
        <v>1</v>
      </c>
      <c r="N123" s="7" t="str">
        <f t="shared" si="84"/>
        <v/>
      </c>
      <c r="O123" s="7"/>
      <c r="P123" s="39"/>
      <c r="Q123" s="38"/>
      <c r="T123" s="121" t="str">
        <f t="shared" si="85"/>
        <v/>
      </c>
      <c r="U123" s="118">
        <f t="shared" si="86"/>
        <v>0</v>
      </c>
      <c r="V123" s="117">
        <f t="shared" si="87"/>
        <v>0</v>
      </c>
      <c r="W123" s="117">
        <f t="shared" si="88"/>
        <v>0</v>
      </c>
      <c r="X123" s="117">
        <f t="shared" si="89"/>
        <v>0</v>
      </c>
      <c r="Y123" s="117">
        <f t="shared" si="90"/>
        <v>3</v>
      </c>
      <c r="Z123" s="117">
        <f t="shared" si="91"/>
        <v>1</v>
      </c>
      <c r="AA123" s="117">
        <f t="shared" si="92"/>
        <v>0</v>
      </c>
      <c r="AC123" s="121" t="str">
        <f t="shared" si="93"/>
        <v/>
      </c>
      <c r="AD123" s="118">
        <f t="shared" si="94"/>
        <v>0</v>
      </c>
      <c r="AE123" s="117">
        <f t="shared" si="95"/>
        <v>0</v>
      </c>
      <c r="AF123" s="117">
        <f t="shared" si="96"/>
        <v>0</v>
      </c>
      <c r="AG123" s="117">
        <f t="shared" si="97"/>
        <v>0</v>
      </c>
      <c r="AH123" s="117">
        <f t="shared" si="98"/>
        <v>3</v>
      </c>
      <c r="AI123" s="117">
        <f t="shared" si="99"/>
        <v>1</v>
      </c>
      <c r="AJ123" s="117">
        <f t="shared" si="100"/>
        <v>0</v>
      </c>
    </row>
    <row r="124" spans="2:36" ht="16.5" customHeight="1">
      <c r="B124" s="15"/>
      <c r="C124" s="15"/>
      <c r="D124" s="8"/>
      <c r="E124" s="9" t="s">
        <v>192</v>
      </c>
      <c r="F124" s="5">
        <v>2</v>
      </c>
      <c r="G124" s="6">
        <v>0</v>
      </c>
      <c r="H124" s="7" t="s">
        <v>224</v>
      </c>
      <c r="I124" s="10"/>
      <c r="J124" s="8"/>
      <c r="K124" s="9" t="s">
        <v>219</v>
      </c>
      <c r="L124" s="5">
        <v>3</v>
      </c>
      <c r="M124" s="6">
        <v>1</v>
      </c>
      <c r="N124" s="7" t="str">
        <f t="shared" si="84"/>
        <v/>
      </c>
      <c r="O124" s="10"/>
      <c r="P124" s="39"/>
      <c r="Q124" s="38"/>
      <c r="T124" s="121" t="str">
        <f t="shared" si="85"/>
        <v/>
      </c>
      <c r="U124" s="118">
        <f t="shared" si="86"/>
        <v>0</v>
      </c>
      <c r="V124" s="117">
        <f t="shared" si="87"/>
        <v>0</v>
      </c>
      <c r="W124" s="117">
        <f t="shared" si="88"/>
        <v>1</v>
      </c>
      <c r="X124" s="117">
        <f t="shared" si="89"/>
        <v>2</v>
      </c>
      <c r="Y124" s="117">
        <f t="shared" si="90"/>
        <v>0</v>
      </c>
      <c r="Z124" s="117">
        <f t="shared" si="91"/>
        <v>0</v>
      </c>
      <c r="AA124" s="117">
        <f t="shared" si="92"/>
        <v>0</v>
      </c>
      <c r="AC124" s="121" t="str">
        <f t="shared" si="93"/>
        <v/>
      </c>
      <c r="AD124" s="118">
        <f t="shared" si="94"/>
        <v>0</v>
      </c>
      <c r="AE124" s="117">
        <f t="shared" si="95"/>
        <v>0</v>
      </c>
      <c r="AF124" s="117">
        <f t="shared" si="96"/>
        <v>1</v>
      </c>
      <c r="AG124" s="117">
        <f t="shared" si="97"/>
        <v>2</v>
      </c>
      <c r="AH124" s="117">
        <f t="shared" si="98"/>
        <v>0</v>
      </c>
      <c r="AI124" s="117">
        <f t="shared" si="99"/>
        <v>0</v>
      </c>
      <c r="AJ124" s="117">
        <f t="shared" si="100"/>
        <v>0</v>
      </c>
    </row>
    <row r="125" spans="2:36" ht="16.5" customHeight="1">
      <c r="B125" s="15"/>
      <c r="C125" s="15"/>
      <c r="D125" s="4"/>
      <c r="E125" s="4" t="s">
        <v>193</v>
      </c>
      <c r="F125" s="5">
        <v>2</v>
      </c>
      <c r="G125" s="6">
        <v>1</v>
      </c>
      <c r="H125" s="7" t="s">
        <v>224</v>
      </c>
      <c r="I125" s="7"/>
      <c r="J125" s="4"/>
      <c r="K125" s="4" t="s">
        <v>220</v>
      </c>
      <c r="L125" s="5">
        <v>2</v>
      </c>
      <c r="M125" s="6">
        <v>2</v>
      </c>
      <c r="N125" s="7" t="str">
        <f t="shared" si="84"/>
        <v/>
      </c>
      <c r="O125" s="7"/>
      <c r="P125" s="39"/>
      <c r="Q125" s="38"/>
      <c r="T125" s="121" t="str">
        <f t="shared" si="85"/>
        <v/>
      </c>
      <c r="U125" s="118">
        <f t="shared" si="86"/>
        <v>0</v>
      </c>
      <c r="V125" s="117">
        <f t="shared" si="87"/>
        <v>0</v>
      </c>
      <c r="W125" s="117">
        <f t="shared" si="88"/>
        <v>1</v>
      </c>
      <c r="X125" s="117">
        <f t="shared" si="89"/>
        <v>1</v>
      </c>
      <c r="Y125" s="117">
        <f t="shared" si="90"/>
        <v>0</v>
      </c>
      <c r="Z125" s="117">
        <f t="shared" si="91"/>
        <v>0</v>
      </c>
      <c r="AA125" s="117">
        <f t="shared" si="92"/>
        <v>0</v>
      </c>
      <c r="AC125" s="121" t="str">
        <f t="shared" si="93"/>
        <v/>
      </c>
      <c r="AD125" s="118">
        <f t="shared" si="94"/>
        <v>0</v>
      </c>
      <c r="AE125" s="117">
        <f t="shared" si="95"/>
        <v>0</v>
      </c>
      <c r="AF125" s="117">
        <f t="shared" si="96"/>
        <v>0</v>
      </c>
      <c r="AG125" s="117">
        <f t="shared" si="97"/>
        <v>0</v>
      </c>
      <c r="AH125" s="117">
        <f t="shared" si="98"/>
        <v>3</v>
      </c>
      <c r="AI125" s="117">
        <f t="shared" si="99"/>
        <v>1</v>
      </c>
      <c r="AJ125" s="117">
        <f t="shared" si="100"/>
        <v>0</v>
      </c>
    </row>
    <row r="126" spans="2:36" ht="16.5" customHeight="1">
      <c r="B126" s="15"/>
      <c r="C126" s="15"/>
      <c r="D126" s="8"/>
      <c r="E126" s="9" t="s">
        <v>194</v>
      </c>
      <c r="F126" s="5">
        <v>2</v>
      </c>
      <c r="G126" s="6">
        <v>1</v>
      </c>
      <c r="H126" s="7" t="s">
        <v>224</v>
      </c>
      <c r="I126" s="10"/>
      <c r="J126" s="8"/>
      <c r="K126" s="9" t="s">
        <v>221</v>
      </c>
      <c r="L126" s="5">
        <v>2</v>
      </c>
      <c r="M126" s="6">
        <v>0</v>
      </c>
      <c r="N126" s="7" t="str">
        <f t="shared" si="84"/>
        <v/>
      </c>
      <c r="O126" s="10"/>
      <c r="P126" s="39"/>
      <c r="Q126" s="38"/>
      <c r="T126" s="121" t="str">
        <f t="shared" si="85"/>
        <v/>
      </c>
      <c r="U126" s="118">
        <f t="shared" si="86"/>
        <v>0</v>
      </c>
      <c r="V126" s="117">
        <f t="shared" si="87"/>
        <v>0</v>
      </c>
      <c r="W126" s="117">
        <f t="shared" si="88"/>
        <v>1</v>
      </c>
      <c r="X126" s="117">
        <f t="shared" si="89"/>
        <v>1</v>
      </c>
      <c r="Y126" s="117">
        <f t="shared" si="90"/>
        <v>0</v>
      </c>
      <c r="Z126" s="117">
        <f t="shared" si="91"/>
        <v>0</v>
      </c>
      <c r="AA126" s="117">
        <f t="shared" si="92"/>
        <v>0</v>
      </c>
      <c r="AC126" s="121" t="str">
        <f t="shared" si="93"/>
        <v/>
      </c>
      <c r="AD126" s="118">
        <f t="shared" si="94"/>
        <v>0</v>
      </c>
      <c r="AE126" s="117">
        <f t="shared" si="95"/>
        <v>0</v>
      </c>
      <c r="AF126" s="117">
        <f t="shared" si="96"/>
        <v>1</v>
      </c>
      <c r="AG126" s="117">
        <f t="shared" si="97"/>
        <v>2</v>
      </c>
      <c r="AH126" s="117">
        <f t="shared" si="98"/>
        <v>0</v>
      </c>
      <c r="AI126" s="117">
        <f t="shared" si="99"/>
        <v>0</v>
      </c>
      <c r="AJ126" s="117">
        <f t="shared" si="100"/>
        <v>0</v>
      </c>
    </row>
    <row r="128" spans="2:36" ht="23.25">
      <c r="B128" s="33" t="s">
        <v>120</v>
      </c>
      <c r="D128" s="52"/>
      <c r="E128" s="55" t="s">
        <v>65</v>
      </c>
      <c r="F128" s="56"/>
      <c r="G128" s="57"/>
      <c r="H128" s="57"/>
      <c r="I128" s="56"/>
      <c r="J128" s="82"/>
      <c r="K128" s="82" t="s">
        <v>23</v>
      </c>
      <c r="M128" s="91"/>
      <c r="N128" s="92"/>
      <c r="O128" s="92"/>
      <c r="P128" s="93"/>
      <c r="Q128" s="92"/>
      <c r="R128" s="92"/>
    </row>
    <row r="129" spans="2:36" ht="16.5" customHeight="1">
      <c r="C129" s="1"/>
      <c r="D129" s="1"/>
      <c r="E129" s="1"/>
      <c r="H129" s="1"/>
      <c r="I129" s="1"/>
      <c r="J129" s="1"/>
      <c r="P129" s="1"/>
    </row>
    <row r="130" spans="2:36" ht="16.5" customHeight="1">
      <c r="B130" s="12"/>
      <c r="C130" s="12" t="s">
        <v>7</v>
      </c>
      <c r="D130" s="4"/>
      <c r="E130" s="4" t="s">
        <v>32</v>
      </c>
      <c r="F130" s="5">
        <v>0</v>
      </c>
      <c r="G130" s="6">
        <v>2</v>
      </c>
      <c r="H130" s="7" t="s">
        <v>224</v>
      </c>
      <c r="I130" s="7"/>
      <c r="J130" s="4"/>
      <c r="K130" s="4" t="s">
        <v>195</v>
      </c>
      <c r="L130" s="5">
        <v>0</v>
      </c>
      <c r="M130" s="6">
        <v>2</v>
      </c>
      <c r="N130" s="7" t="str">
        <f>AC130</f>
        <v/>
      </c>
      <c r="O130" s="7"/>
      <c r="P130" s="24" t="s">
        <v>13</v>
      </c>
      <c r="Q130" s="13"/>
      <c r="T130" s="121" t="str">
        <f>IF($G$128="","",SUM(Y130:AA130))</f>
        <v/>
      </c>
      <c r="U130" s="118">
        <f t="shared" ref="U130" si="101">IF(V130&gt;0,1,IF(V130=0,0,2))</f>
        <v>0</v>
      </c>
      <c r="V130" s="117">
        <f>$G$128-$H$128</f>
        <v>0</v>
      </c>
      <c r="W130" s="117">
        <f t="shared" ref="W130" si="102">IF(X130&gt;0,1,IF(X130=0,0,2))</f>
        <v>2</v>
      </c>
      <c r="X130" s="117">
        <f>F130-G130</f>
        <v>-2</v>
      </c>
      <c r="Y130" s="117">
        <f t="shared" ref="Y130" si="103">IF(U130=W130,3,0)</f>
        <v>0</v>
      </c>
      <c r="Z130" s="117">
        <f t="shared" ref="Z130" si="104">IF(V130=X130,1,0)</f>
        <v>0</v>
      </c>
      <c r="AA130" s="117">
        <f>IF(Z130=1,IF($G$128=F130,1,0),0)</f>
        <v>0</v>
      </c>
      <c r="AC130" s="121" t="str">
        <f>IF($G$128="","",SUM(AH130:AJ130))</f>
        <v/>
      </c>
      <c r="AD130" s="118">
        <f t="shared" ref="AD130" si="105">IF(AE130&gt;0,1,IF(AE130=0,0,2))</f>
        <v>0</v>
      </c>
      <c r="AE130" s="117">
        <f>$G$128-$H$128</f>
        <v>0</v>
      </c>
      <c r="AF130" s="117">
        <f t="shared" ref="AF130" si="106">IF(AG130&gt;0,1,IF(AG130=0,0,2))</f>
        <v>2</v>
      </c>
      <c r="AG130" s="117">
        <f>L130-M130</f>
        <v>-2</v>
      </c>
      <c r="AH130" s="117">
        <f t="shared" ref="AH130" si="107">IF(AD130=AF130,3,0)</f>
        <v>0</v>
      </c>
      <c r="AI130" s="117">
        <f t="shared" ref="AI130" si="108">IF(AE130=AG130,1,0)</f>
        <v>0</v>
      </c>
      <c r="AJ130" s="117">
        <f>IF(AI130=1,IF($G$128=L130,1,0),0)</f>
        <v>0</v>
      </c>
    </row>
    <row r="131" spans="2:36" ht="16.5" customHeight="1">
      <c r="B131" s="12"/>
      <c r="C131" s="12"/>
      <c r="D131" s="8"/>
      <c r="E131" s="9" t="s">
        <v>170</v>
      </c>
      <c r="F131" s="5">
        <v>0</v>
      </c>
      <c r="G131" s="6">
        <v>3</v>
      </c>
      <c r="H131" s="7" t="s">
        <v>224</v>
      </c>
      <c r="I131" s="10"/>
      <c r="J131" s="8"/>
      <c r="K131" s="9" t="s">
        <v>196</v>
      </c>
      <c r="L131" s="5">
        <v>0</v>
      </c>
      <c r="M131" s="6">
        <v>3</v>
      </c>
      <c r="N131" s="7" t="str">
        <f t="shared" ref="N131:N157" si="109">AC131</f>
        <v/>
      </c>
      <c r="O131" s="10"/>
      <c r="P131" s="24"/>
      <c r="Q131" s="13"/>
      <c r="T131" s="121" t="str">
        <f t="shared" ref="T131:T157" si="110">IF($G$128="","",SUM(Y131:AA131))</f>
        <v/>
      </c>
      <c r="U131" s="118">
        <f t="shared" ref="U131:U157" si="111">IF(V131&gt;0,1,IF(V131=0,0,2))</f>
        <v>0</v>
      </c>
      <c r="V131" s="117">
        <f t="shared" ref="V131:V157" si="112">$G$128-$H$128</f>
        <v>0</v>
      </c>
      <c r="W131" s="117">
        <f t="shared" ref="W131:W157" si="113">IF(X131&gt;0,1,IF(X131=0,0,2))</f>
        <v>2</v>
      </c>
      <c r="X131" s="117">
        <f t="shared" ref="X131:X157" si="114">F131-G131</f>
        <v>-3</v>
      </c>
      <c r="Y131" s="117">
        <f t="shared" ref="Y131:Y157" si="115">IF(U131=W131,3,0)</f>
        <v>0</v>
      </c>
      <c r="Z131" s="117">
        <f t="shared" ref="Z131:Z157" si="116">IF(V131=X131,1,0)</f>
        <v>0</v>
      </c>
      <c r="AA131" s="117">
        <f t="shared" ref="AA131:AA157" si="117">IF(Z131=1,IF($G$128=F131,1,0),0)</f>
        <v>0</v>
      </c>
      <c r="AC131" s="121" t="str">
        <f t="shared" ref="AC131:AC157" si="118">IF($G$128="","",SUM(AH131:AJ131))</f>
        <v/>
      </c>
      <c r="AD131" s="118">
        <f t="shared" ref="AD131:AD157" si="119">IF(AE131&gt;0,1,IF(AE131=0,0,2))</f>
        <v>0</v>
      </c>
      <c r="AE131" s="117">
        <f t="shared" ref="AE131:AE157" si="120">$G$128-$H$128</f>
        <v>0</v>
      </c>
      <c r="AF131" s="117">
        <f t="shared" ref="AF131:AF157" si="121">IF(AG131&gt;0,1,IF(AG131=0,0,2))</f>
        <v>2</v>
      </c>
      <c r="AG131" s="117">
        <f t="shared" ref="AG131:AG157" si="122">L131-M131</f>
        <v>-3</v>
      </c>
      <c r="AH131" s="117">
        <f t="shared" ref="AH131:AH157" si="123">IF(AD131=AF131,3,0)</f>
        <v>0</v>
      </c>
      <c r="AI131" s="117">
        <f t="shared" ref="AI131:AI157" si="124">IF(AE131=AG131,1,0)</f>
        <v>0</v>
      </c>
      <c r="AJ131" s="117">
        <f t="shared" ref="AJ131:AJ157" si="125">IF(AI131=1,IF($G$128=L131,1,0),0)</f>
        <v>0</v>
      </c>
    </row>
    <row r="132" spans="2:36" ht="16.5" customHeight="1">
      <c r="B132" s="12"/>
      <c r="C132" s="12"/>
      <c r="D132" s="4"/>
      <c r="E132" s="4" t="s">
        <v>171</v>
      </c>
      <c r="F132" s="5">
        <v>0</v>
      </c>
      <c r="G132" s="6">
        <v>3</v>
      </c>
      <c r="H132" s="7" t="s">
        <v>224</v>
      </c>
      <c r="I132" s="7"/>
      <c r="J132" s="4"/>
      <c r="K132" s="4" t="s">
        <v>197</v>
      </c>
      <c r="L132" s="5">
        <v>0</v>
      </c>
      <c r="M132" s="6">
        <v>2</v>
      </c>
      <c r="N132" s="7" t="str">
        <f t="shared" si="109"/>
        <v/>
      </c>
      <c r="O132" s="7"/>
      <c r="P132" s="24"/>
      <c r="Q132" s="13"/>
      <c r="T132" s="121" t="str">
        <f t="shared" si="110"/>
        <v/>
      </c>
      <c r="U132" s="118">
        <f t="shared" si="111"/>
        <v>0</v>
      </c>
      <c r="V132" s="117">
        <f t="shared" si="112"/>
        <v>0</v>
      </c>
      <c r="W132" s="117">
        <f t="shared" si="113"/>
        <v>2</v>
      </c>
      <c r="X132" s="117">
        <f t="shared" si="114"/>
        <v>-3</v>
      </c>
      <c r="Y132" s="117">
        <f t="shared" si="115"/>
        <v>0</v>
      </c>
      <c r="Z132" s="117">
        <f t="shared" si="116"/>
        <v>0</v>
      </c>
      <c r="AA132" s="117">
        <f t="shared" si="117"/>
        <v>0</v>
      </c>
      <c r="AC132" s="121" t="str">
        <f t="shared" si="118"/>
        <v/>
      </c>
      <c r="AD132" s="118">
        <f t="shared" si="119"/>
        <v>0</v>
      </c>
      <c r="AE132" s="117">
        <f t="shared" si="120"/>
        <v>0</v>
      </c>
      <c r="AF132" s="117">
        <f t="shared" si="121"/>
        <v>2</v>
      </c>
      <c r="AG132" s="117">
        <f t="shared" si="122"/>
        <v>-2</v>
      </c>
      <c r="AH132" s="117">
        <f t="shared" si="123"/>
        <v>0</v>
      </c>
      <c r="AI132" s="117">
        <f t="shared" si="124"/>
        <v>0</v>
      </c>
      <c r="AJ132" s="117">
        <f t="shared" si="125"/>
        <v>0</v>
      </c>
    </row>
    <row r="133" spans="2:36" ht="16.5" customHeight="1">
      <c r="B133" s="12"/>
      <c r="C133" s="12"/>
      <c r="D133" s="8"/>
      <c r="E133" s="9" t="s">
        <v>172</v>
      </c>
      <c r="F133" s="5">
        <v>1</v>
      </c>
      <c r="G133" s="6">
        <v>0</v>
      </c>
      <c r="H133" s="7" t="s">
        <v>224</v>
      </c>
      <c r="I133" s="10"/>
      <c r="J133" s="8"/>
      <c r="K133" s="9" t="s">
        <v>198</v>
      </c>
      <c r="L133" s="5">
        <v>0</v>
      </c>
      <c r="M133" s="6">
        <v>2</v>
      </c>
      <c r="N133" s="7" t="str">
        <f t="shared" si="109"/>
        <v/>
      </c>
      <c r="O133" s="10"/>
      <c r="P133" s="24"/>
      <c r="Q133" s="13"/>
      <c r="T133" s="121" t="str">
        <f t="shared" si="110"/>
        <v/>
      </c>
      <c r="U133" s="118">
        <f t="shared" si="111"/>
        <v>0</v>
      </c>
      <c r="V133" s="117">
        <f t="shared" si="112"/>
        <v>0</v>
      </c>
      <c r="W133" s="117">
        <f t="shared" si="113"/>
        <v>1</v>
      </c>
      <c r="X133" s="117">
        <f t="shared" si="114"/>
        <v>1</v>
      </c>
      <c r="Y133" s="117">
        <f t="shared" si="115"/>
        <v>0</v>
      </c>
      <c r="Z133" s="117">
        <f t="shared" si="116"/>
        <v>0</v>
      </c>
      <c r="AA133" s="117">
        <f t="shared" si="117"/>
        <v>0</v>
      </c>
      <c r="AC133" s="121" t="str">
        <f t="shared" si="118"/>
        <v/>
      </c>
      <c r="AD133" s="118">
        <f t="shared" si="119"/>
        <v>0</v>
      </c>
      <c r="AE133" s="117">
        <f t="shared" si="120"/>
        <v>0</v>
      </c>
      <c r="AF133" s="117">
        <f t="shared" si="121"/>
        <v>2</v>
      </c>
      <c r="AG133" s="117">
        <f t="shared" si="122"/>
        <v>-2</v>
      </c>
      <c r="AH133" s="117">
        <f t="shared" si="123"/>
        <v>0</v>
      </c>
      <c r="AI133" s="117">
        <f t="shared" si="124"/>
        <v>0</v>
      </c>
      <c r="AJ133" s="117">
        <f t="shared" si="125"/>
        <v>0</v>
      </c>
    </row>
    <row r="134" spans="2:36" ht="16.5" customHeight="1">
      <c r="B134" s="12"/>
      <c r="C134" s="12"/>
      <c r="D134" s="4"/>
      <c r="E134" s="4" t="s">
        <v>173</v>
      </c>
      <c r="F134" s="5">
        <v>0</v>
      </c>
      <c r="G134" s="6">
        <v>2</v>
      </c>
      <c r="H134" s="7" t="s">
        <v>224</v>
      </c>
      <c r="I134" s="7"/>
      <c r="J134" s="4"/>
      <c r="K134" s="4" t="s">
        <v>199</v>
      </c>
      <c r="L134" s="5">
        <v>0</v>
      </c>
      <c r="M134" s="6">
        <v>2</v>
      </c>
      <c r="N134" s="7" t="str">
        <f t="shared" si="109"/>
        <v/>
      </c>
      <c r="O134" s="7"/>
      <c r="P134" s="24"/>
      <c r="Q134" s="13"/>
      <c r="T134" s="121" t="str">
        <f t="shared" si="110"/>
        <v/>
      </c>
      <c r="U134" s="118">
        <f t="shared" si="111"/>
        <v>0</v>
      </c>
      <c r="V134" s="117">
        <f t="shared" si="112"/>
        <v>0</v>
      </c>
      <c r="W134" s="117">
        <f t="shared" si="113"/>
        <v>2</v>
      </c>
      <c r="X134" s="117">
        <f t="shared" si="114"/>
        <v>-2</v>
      </c>
      <c r="Y134" s="117">
        <f t="shared" si="115"/>
        <v>0</v>
      </c>
      <c r="Z134" s="117">
        <f t="shared" si="116"/>
        <v>0</v>
      </c>
      <c r="AA134" s="117">
        <f t="shared" si="117"/>
        <v>0</v>
      </c>
      <c r="AC134" s="121" t="str">
        <f t="shared" si="118"/>
        <v/>
      </c>
      <c r="AD134" s="118">
        <f t="shared" si="119"/>
        <v>0</v>
      </c>
      <c r="AE134" s="117">
        <f t="shared" si="120"/>
        <v>0</v>
      </c>
      <c r="AF134" s="117">
        <f t="shared" si="121"/>
        <v>2</v>
      </c>
      <c r="AG134" s="117">
        <f t="shared" si="122"/>
        <v>-2</v>
      </c>
      <c r="AH134" s="117">
        <f t="shared" si="123"/>
        <v>0</v>
      </c>
      <c r="AI134" s="117">
        <f t="shared" si="124"/>
        <v>0</v>
      </c>
      <c r="AJ134" s="117">
        <f t="shared" si="125"/>
        <v>0</v>
      </c>
    </row>
    <row r="135" spans="2:36" ht="16.5" customHeight="1">
      <c r="B135" s="12"/>
      <c r="C135" s="12"/>
      <c r="D135" s="8"/>
      <c r="E135" s="9" t="s">
        <v>174</v>
      </c>
      <c r="F135" s="5">
        <v>1</v>
      </c>
      <c r="G135" s="6">
        <v>2</v>
      </c>
      <c r="H135" s="7" t="s">
        <v>224</v>
      </c>
      <c r="I135" s="10"/>
      <c r="J135" s="8"/>
      <c r="K135" s="9" t="s">
        <v>200</v>
      </c>
      <c r="L135" s="5">
        <v>0</v>
      </c>
      <c r="M135" s="6">
        <v>3</v>
      </c>
      <c r="N135" s="7" t="str">
        <f t="shared" si="109"/>
        <v/>
      </c>
      <c r="O135" s="10"/>
      <c r="P135" s="24"/>
      <c r="Q135" s="13"/>
      <c r="T135" s="121" t="str">
        <f t="shared" si="110"/>
        <v/>
      </c>
      <c r="U135" s="118">
        <f t="shared" si="111"/>
        <v>0</v>
      </c>
      <c r="V135" s="117">
        <f t="shared" si="112"/>
        <v>0</v>
      </c>
      <c r="W135" s="117">
        <f t="shared" si="113"/>
        <v>2</v>
      </c>
      <c r="X135" s="117">
        <f t="shared" si="114"/>
        <v>-1</v>
      </c>
      <c r="Y135" s="117">
        <f t="shared" si="115"/>
        <v>0</v>
      </c>
      <c r="Z135" s="117">
        <f t="shared" si="116"/>
        <v>0</v>
      </c>
      <c r="AA135" s="117">
        <f t="shared" si="117"/>
        <v>0</v>
      </c>
      <c r="AC135" s="121" t="str">
        <f t="shared" si="118"/>
        <v/>
      </c>
      <c r="AD135" s="118">
        <f t="shared" si="119"/>
        <v>0</v>
      </c>
      <c r="AE135" s="117">
        <f t="shared" si="120"/>
        <v>0</v>
      </c>
      <c r="AF135" s="117">
        <f t="shared" si="121"/>
        <v>2</v>
      </c>
      <c r="AG135" s="117">
        <f t="shared" si="122"/>
        <v>-3</v>
      </c>
      <c r="AH135" s="117">
        <f t="shared" si="123"/>
        <v>0</v>
      </c>
      <c r="AI135" s="117">
        <f t="shared" si="124"/>
        <v>0</v>
      </c>
      <c r="AJ135" s="117">
        <f t="shared" si="125"/>
        <v>0</v>
      </c>
    </row>
    <row r="136" spans="2:36" ht="16.5" customHeight="1">
      <c r="B136" s="12"/>
      <c r="C136" s="12"/>
      <c r="D136" s="4"/>
      <c r="E136" s="4" t="s">
        <v>175</v>
      </c>
      <c r="F136" s="5">
        <v>1</v>
      </c>
      <c r="G136" s="6">
        <v>2</v>
      </c>
      <c r="H136" s="7" t="s">
        <v>224</v>
      </c>
      <c r="I136" s="7"/>
      <c r="J136" s="4"/>
      <c r="K136" s="4" t="s">
        <v>201</v>
      </c>
      <c r="L136" s="5">
        <v>0</v>
      </c>
      <c r="M136" s="6">
        <v>2</v>
      </c>
      <c r="N136" s="7" t="str">
        <f t="shared" si="109"/>
        <v/>
      </c>
      <c r="O136" s="7"/>
      <c r="P136" s="24"/>
      <c r="Q136" s="13"/>
      <c r="T136" s="121" t="str">
        <f t="shared" si="110"/>
        <v/>
      </c>
      <c r="U136" s="118">
        <f t="shared" si="111"/>
        <v>0</v>
      </c>
      <c r="V136" s="117">
        <f t="shared" si="112"/>
        <v>0</v>
      </c>
      <c r="W136" s="117">
        <f t="shared" si="113"/>
        <v>2</v>
      </c>
      <c r="X136" s="117">
        <f t="shared" si="114"/>
        <v>-1</v>
      </c>
      <c r="Y136" s="117">
        <f t="shared" si="115"/>
        <v>0</v>
      </c>
      <c r="Z136" s="117">
        <f t="shared" si="116"/>
        <v>0</v>
      </c>
      <c r="AA136" s="117">
        <f t="shared" si="117"/>
        <v>0</v>
      </c>
      <c r="AC136" s="121" t="str">
        <f t="shared" si="118"/>
        <v/>
      </c>
      <c r="AD136" s="118">
        <f t="shared" si="119"/>
        <v>0</v>
      </c>
      <c r="AE136" s="117">
        <f t="shared" si="120"/>
        <v>0</v>
      </c>
      <c r="AF136" s="117">
        <f t="shared" si="121"/>
        <v>2</v>
      </c>
      <c r="AG136" s="117">
        <f t="shared" si="122"/>
        <v>-2</v>
      </c>
      <c r="AH136" s="117">
        <f t="shared" si="123"/>
        <v>0</v>
      </c>
      <c r="AI136" s="117">
        <f t="shared" si="124"/>
        <v>0</v>
      </c>
      <c r="AJ136" s="117">
        <f t="shared" si="125"/>
        <v>0</v>
      </c>
    </row>
    <row r="137" spans="2:36" ht="16.5" customHeight="1">
      <c r="B137" s="14"/>
      <c r="C137" s="14" t="s">
        <v>8</v>
      </c>
      <c r="D137" s="8"/>
      <c r="E137" s="9" t="s">
        <v>33</v>
      </c>
      <c r="F137" s="5">
        <v>0</v>
      </c>
      <c r="G137" s="6">
        <v>2</v>
      </c>
      <c r="H137" s="7" t="s">
        <v>224</v>
      </c>
      <c r="I137" s="10"/>
      <c r="J137" s="8"/>
      <c r="K137" s="9" t="s">
        <v>225</v>
      </c>
      <c r="L137" s="5">
        <v>0</v>
      </c>
      <c r="M137" s="6">
        <v>1</v>
      </c>
      <c r="N137" s="7" t="str">
        <f t="shared" si="109"/>
        <v/>
      </c>
      <c r="O137" s="10"/>
      <c r="P137" s="31" t="s">
        <v>16</v>
      </c>
      <c r="Q137" s="30"/>
      <c r="T137" s="121" t="str">
        <f t="shared" si="110"/>
        <v/>
      </c>
      <c r="U137" s="118">
        <f t="shared" si="111"/>
        <v>0</v>
      </c>
      <c r="V137" s="117">
        <f t="shared" si="112"/>
        <v>0</v>
      </c>
      <c r="W137" s="117">
        <f t="shared" si="113"/>
        <v>2</v>
      </c>
      <c r="X137" s="117">
        <f t="shared" si="114"/>
        <v>-2</v>
      </c>
      <c r="Y137" s="117">
        <f t="shared" si="115"/>
        <v>0</v>
      </c>
      <c r="Z137" s="117">
        <f t="shared" si="116"/>
        <v>0</v>
      </c>
      <c r="AA137" s="117">
        <f t="shared" si="117"/>
        <v>0</v>
      </c>
      <c r="AC137" s="121" t="str">
        <f t="shared" si="118"/>
        <v/>
      </c>
      <c r="AD137" s="118">
        <f t="shared" si="119"/>
        <v>0</v>
      </c>
      <c r="AE137" s="117">
        <f t="shared" si="120"/>
        <v>0</v>
      </c>
      <c r="AF137" s="117">
        <f t="shared" si="121"/>
        <v>2</v>
      </c>
      <c r="AG137" s="117">
        <f t="shared" si="122"/>
        <v>-1</v>
      </c>
      <c r="AH137" s="117">
        <f t="shared" si="123"/>
        <v>0</v>
      </c>
      <c r="AI137" s="117">
        <f t="shared" si="124"/>
        <v>0</v>
      </c>
      <c r="AJ137" s="117">
        <f t="shared" si="125"/>
        <v>0</v>
      </c>
    </row>
    <row r="138" spans="2:36" ht="16.5" customHeight="1">
      <c r="B138" s="14"/>
      <c r="C138" s="14"/>
      <c r="D138" s="4"/>
      <c r="E138" s="4" t="s">
        <v>176</v>
      </c>
      <c r="F138" s="5">
        <v>0</v>
      </c>
      <c r="G138" s="6">
        <v>2</v>
      </c>
      <c r="H138" s="7" t="s">
        <v>224</v>
      </c>
      <c r="I138" s="7"/>
      <c r="J138" s="4"/>
      <c r="K138" s="4" t="s">
        <v>203</v>
      </c>
      <c r="L138" s="5">
        <v>0</v>
      </c>
      <c r="M138" s="6">
        <v>2</v>
      </c>
      <c r="N138" s="7" t="str">
        <f t="shared" si="109"/>
        <v/>
      </c>
      <c r="O138" s="7"/>
      <c r="P138" s="31"/>
      <c r="Q138" s="30"/>
      <c r="T138" s="121" t="str">
        <f t="shared" si="110"/>
        <v/>
      </c>
      <c r="U138" s="118">
        <f t="shared" si="111"/>
        <v>0</v>
      </c>
      <c r="V138" s="117">
        <f t="shared" si="112"/>
        <v>0</v>
      </c>
      <c r="W138" s="117">
        <f t="shared" si="113"/>
        <v>2</v>
      </c>
      <c r="X138" s="117">
        <f t="shared" si="114"/>
        <v>-2</v>
      </c>
      <c r="Y138" s="117">
        <f t="shared" si="115"/>
        <v>0</v>
      </c>
      <c r="Z138" s="117">
        <f t="shared" si="116"/>
        <v>0</v>
      </c>
      <c r="AA138" s="117">
        <f t="shared" si="117"/>
        <v>0</v>
      </c>
      <c r="AC138" s="121" t="str">
        <f t="shared" si="118"/>
        <v/>
      </c>
      <c r="AD138" s="118">
        <f t="shared" si="119"/>
        <v>0</v>
      </c>
      <c r="AE138" s="117">
        <f t="shared" si="120"/>
        <v>0</v>
      </c>
      <c r="AF138" s="117">
        <f t="shared" si="121"/>
        <v>2</v>
      </c>
      <c r="AG138" s="117">
        <f t="shared" si="122"/>
        <v>-2</v>
      </c>
      <c r="AH138" s="117">
        <f t="shared" si="123"/>
        <v>0</v>
      </c>
      <c r="AI138" s="117">
        <f t="shared" si="124"/>
        <v>0</v>
      </c>
      <c r="AJ138" s="117">
        <f t="shared" si="125"/>
        <v>0</v>
      </c>
    </row>
    <row r="139" spans="2:36" ht="16.5" customHeight="1">
      <c r="B139" s="14"/>
      <c r="C139" s="14"/>
      <c r="D139" s="8"/>
      <c r="E139" s="9" t="s">
        <v>177</v>
      </c>
      <c r="F139" s="5">
        <v>1</v>
      </c>
      <c r="G139" s="6">
        <v>2</v>
      </c>
      <c r="H139" s="7" t="s">
        <v>224</v>
      </c>
      <c r="I139" s="10"/>
      <c r="J139" s="8"/>
      <c r="K139" s="9" t="s">
        <v>204</v>
      </c>
      <c r="L139" s="5">
        <v>1</v>
      </c>
      <c r="M139" s="6">
        <v>0</v>
      </c>
      <c r="N139" s="7" t="str">
        <f t="shared" si="109"/>
        <v/>
      </c>
      <c r="O139" s="10"/>
      <c r="P139" s="31"/>
      <c r="Q139" s="30"/>
      <c r="T139" s="121" t="str">
        <f t="shared" si="110"/>
        <v/>
      </c>
      <c r="U139" s="118">
        <f t="shared" si="111"/>
        <v>0</v>
      </c>
      <c r="V139" s="117">
        <f t="shared" si="112"/>
        <v>0</v>
      </c>
      <c r="W139" s="117">
        <f t="shared" si="113"/>
        <v>2</v>
      </c>
      <c r="X139" s="117">
        <f t="shared" si="114"/>
        <v>-1</v>
      </c>
      <c r="Y139" s="117">
        <f t="shared" si="115"/>
        <v>0</v>
      </c>
      <c r="Z139" s="117">
        <f t="shared" si="116"/>
        <v>0</v>
      </c>
      <c r="AA139" s="117">
        <f t="shared" si="117"/>
        <v>0</v>
      </c>
      <c r="AC139" s="121" t="str">
        <f t="shared" si="118"/>
        <v/>
      </c>
      <c r="AD139" s="118">
        <f t="shared" si="119"/>
        <v>0</v>
      </c>
      <c r="AE139" s="117">
        <f t="shared" si="120"/>
        <v>0</v>
      </c>
      <c r="AF139" s="117">
        <f t="shared" si="121"/>
        <v>1</v>
      </c>
      <c r="AG139" s="117">
        <f t="shared" si="122"/>
        <v>1</v>
      </c>
      <c r="AH139" s="117">
        <f t="shared" si="123"/>
        <v>0</v>
      </c>
      <c r="AI139" s="117">
        <f t="shared" si="124"/>
        <v>0</v>
      </c>
      <c r="AJ139" s="117">
        <f t="shared" si="125"/>
        <v>0</v>
      </c>
    </row>
    <row r="140" spans="2:36" ht="16.5" customHeight="1">
      <c r="B140" s="14"/>
      <c r="C140" s="14"/>
      <c r="D140" s="4"/>
      <c r="E140" s="4" t="s">
        <v>178</v>
      </c>
      <c r="F140" s="5">
        <v>0</v>
      </c>
      <c r="G140" s="6">
        <v>2</v>
      </c>
      <c r="H140" s="7" t="s">
        <v>224</v>
      </c>
      <c r="I140" s="7"/>
      <c r="J140" s="4"/>
      <c r="K140" s="4" t="s">
        <v>223</v>
      </c>
      <c r="L140" s="5">
        <v>1</v>
      </c>
      <c r="M140" s="6">
        <v>2</v>
      </c>
      <c r="N140" s="7" t="str">
        <f t="shared" si="109"/>
        <v/>
      </c>
      <c r="O140" s="7"/>
      <c r="P140" s="31"/>
      <c r="Q140" s="30"/>
      <c r="T140" s="121" t="str">
        <f t="shared" si="110"/>
        <v/>
      </c>
      <c r="U140" s="118">
        <f t="shared" si="111"/>
        <v>0</v>
      </c>
      <c r="V140" s="117">
        <f t="shared" si="112"/>
        <v>0</v>
      </c>
      <c r="W140" s="117">
        <f t="shared" si="113"/>
        <v>2</v>
      </c>
      <c r="X140" s="117">
        <f t="shared" si="114"/>
        <v>-2</v>
      </c>
      <c r="Y140" s="117">
        <f t="shared" si="115"/>
        <v>0</v>
      </c>
      <c r="Z140" s="117">
        <f t="shared" si="116"/>
        <v>0</v>
      </c>
      <c r="AA140" s="117">
        <f t="shared" si="117"/>
        <v>0</v>
      </c>
      <c r="AC140" s="121" t="str">
        <f t="shared" si="118"/>
        <v/>
      </c>
      <c r="AD140" s="118">
        <f t="shared" si="119"/>
        <v>0</v>
      </c>
      <c r="AE140" s="117">
        <f t="shared" si="120"/>
        <v>0</v>
      </c>
      <c r="AF140" s="117">
        <f t="shared" si="121"/>
        <v>2</v>
      </c>
      <c r="AG140" s="117">
        <f t="shared" si="122"/>
        <v>-1</v>
      </c>
      <c r="AH140" s="117">
        <f t="shared" si="123"/>
        <v>0</v>
      </c>
      <c r="AI140" s="117">
        <f t="shared" si="124"/>
        <v>0</v>
      </c>
      <c r="AJ140" s="117">
        <f t="shared" si="125"/>
        <v>0</v>
      </c>
    </row>
    <row r="141" spans="2:36" ht="16.5" customHeight="1">
      <c r="B141" s="14"/>
      <c r="C141" s="14"/>
      <c r="D141" s="8"/>
      <c r="E141" s="9" t="s">
        <v>179</v>
      </c>
      <c r="F141" s="5">
        <v>0</v>
      </c>
      <c r="G141" s="6">
        <v>3</v>
      </c>
      <c r="H141" s="7" t="s">
        <v>224</v>
      </c>
      <c r="I141" s="10"/>
      <c r="J141" s="8"/>
      <c r="K141" s="9" t="s">
        <v>205</v>
      </c>
      <c r="L141" s="5">
        <v>0</v>
      </c>
      <c r="M141" s="6">
        <v>2</v>
      </c>
      <c r="N141" s="7" t="str">
        <f t="shared" si="109"/>
        <v/>
      </c>
      <c r="O141" s="10"/>
      <c r="P141" s="31"/>
      <c r="Q141" s="30"/>
      <c r="T141" s="121" t="str">
        <f t="shared" si="110"/>
        <v/>
      </c>
      <c r="U141" s="118">
        <f t="shared" si="111"/>
        <v>0</v>
      </c>
      <c r="V141" s="117">
        <f t="shared" si="112"/>
        <v>0</v>
      </c>
      <c r="W141" s="117">
        <f t="shared" si="113"/>
        <v>2</v>
      </c>
      <c r="X141" s="117">
        <f t="shared" si="114"/>
        <v>-3</v>
      </c>
      <c r="Y141" s="117">
        <f t="shared" si="115"/>
        <v>0</v>
      </c>
      <c r="Z141" s="117">
        <f t="shared" si="116"/>
        <v>0</v>
      </c>
      <c r="AA141" s="117">
        <f t="shared" si="117"/>
        <v>0</v>
      </c>
      <c r="AC141" s="121" t="str">
        <f t="shared" si="118"/>
        <v/>
      </c>
      <c r="AD141" s="118">
        <f t="shared" si="119"/>
        <v>0</v>
      </c>
      <c r="AE141" s="117">
        <f t="shared" si="120"/>
        <v>0</v>
      </c>
      <c r="AF141" s="117">
        <f t="shared" si="121"/>
        <v>2</v>
      </c>
      <c r="AG141" s="117">
        <f t="shared" si="122"/>
        <v>-2</v>
      </c>
      <c r="AH141" s="117">
        <f t="shared" si="123"/>
        <v>0</v>
      </c>
      <c r="AI141" s="117">
        <f t="shared" si="124"/>
        <v>0</v>
      </c>
      <c r="AJ141" s="117">
        <f t="shared" si="125"/>
        <v>0</v>
      </c>
    </row>
    <row r="142" spans="2:36" ht="16.5" customHeight="1">
      <c r="B142" s="14"/>
      <c r="C142" s="14"/>
      <c r="D142" s="4"/>
      <c r="E142" s="4" t="s">
        <v>180</v>
      </c>
      <c r="F142" s="5">
        <v>0</v>
      </c>
      <c r="G142" s="6">
        <v>2</v>
      </c>
      <c r="H142" s="7" t="s">
        <v>224</v>
      </c>
      <c r="I142" s="7"/>
      <c r="J142" s="4"/>
      <c r="K142" s="4" t="s">
        <v>206</v>
      </c>
      <c r="L142" s="5">
        <v>0</v>
      </c>
      <c r="M142" s="6">
        <v>3</v>
      </c>
      <c r="N142" s="7" t="str">
        <f t="shared" si="109"/>
        <v/>
      </c>
      <c r="O142" s="7"/>
      <c r="P142" s="31"/>
      <c r="Q142" s="30"/>
      <c r="T142" s="121" t="str">
        <f t="shared" si="110"/>
        <v/>
      </c>
      <c r="U142" s="118">
        <f t="shared" si="111"/>
        <v>0</v>
      </c>
      <c r="V142" s="117">
        <f t="shared" si="112"/>
        <v>0</v>
      </c>
      <c r="W142" s="117">
        <f t="shared" si="113"/>
        <v>2</v>
      </c>
      <c r="X142" s="117">
        <f t="shared" si="114"/>
        <v>-2</v>
      </c>
      <c r="Y142" s="117">
        <f t="shared" si="115"/>
        <v>0</v>
      </c>
      <c r="Z142" s="117">
        <f t="shared" si="116"/>
        <v>0</v>
      </c>
      <c r="AA142" s="117">
        <f t="shared" si="117"/>
        <v>0</v>
      </c>
      <c r="AC142" s="121" t="str">
        <f t="shared" si="118"/>
        <v/>
      </c>
      <c r="AD142" s="118">
        <f t="shared" si="119"/>
        <v>0</v>
      </c>
      <c r="AE142" s="117">
        <f t="shared" si="120"/>
        <v>0</v>
      </c>
      <c r="AF142" s="117">
        <f t="shared" si="121"/>
        <v>2</v>
      </c>
      <c r="AG142" s="117">
        <f t="shared" si="122"/>
        <v>-3</v>
      </c>
      <c r="AH142" s="117">
        <f t="shared" si="123"/>
        <v>0</v>
      </c>
      <c r="AI142" s="117">
        <f t="shared" si="124"/>
        <v>0</v>
      </c>
      <c r="AJ142" s="117">
        <f t="shared" si="125"/>
        <v>0</v>
      </c>
    </row>
    <row r="143" spans="2:36" ht="16.5" customHeight="1">
      <c r="B143" s="14"/>
      <c r="C143" s="14"/>
      <c r="D143" s="8"/>
      <c r="E143" s="9" t="s">
        <v>181</v>
      </c>
      <c r="F143" s="5">
        <v>0</v>
      </c>
      <c r="G143" s="6">
        <v>2</v>
      </c>
      <c r="H143" s="7" t="s">
        <v>224</v>
      </c>
      <c r="I143" s="10"/>
      <c r="J143" s="8"/>
      <c r="K143" s="9" t="s">
        <v>207</v>
      </c>
      <c r="L143" s="5">
        <v>0</v>
      </c>
      <c r="M143" s="6">
        <v>3</v>
      </c>
      <c r="N143" s="7" t="str">
        <f t="shared" si="109"/>
        <v/>
      </c>
      <c r="O143" s="10"/>
      <c r="P143" s="31"/>
      <c r="Q143" s="30"/>
      <c r="T143" s="121" t="str">
        <f t="shared" si="110"/>
        <v/>
      </c>
      <c r="U143" s="118">
        <f t="shared" si="111"/>
        <v>0</v>
      </c>
      <c r="V143" s="117">
        <f t="shared" si="112"/>
        <v>0</v>
      </c>
      <c r="W143" s="117">
        <f t="shared" si="113"/>
        <v>2</v>
      </c>
      <c r="X143" s="117">
        <f t="shared" si="114"/>
        <v>-2</v>
      </c>
      <c r="Y143" s="117">
        <f t="shared" si="115"/>
        <v>0</v>
      </c>
      <c r="Z143" s="117">
        <f t="shared" si="116"/>
        <v>0</v>
      </c>
      <c r="AA143" s="117">
        <f t="shared" si="117"/>
        <v>0</v>
      </c>
      <c r="AC143" s="121" t="str">
        <f t="shared" si="118"/>
        <v/>
      </c>
      <c r="AD143" s="118">
        <f t="shared" si="119"/>
        <v>0</v>
      </c>
      <c r="AE143" s="117">
        <f t="shared" si="120"/>
        <v>0</v>
      </c>
      <c r="AF143" s="117">
        <f t="shared" si="121"/>
        <v>2</v>
      </c>
      <c r="AG143" s="117">
        <f t="shared" si="122"/>
        <v>-3</v>
      </c>
      <c r="AH143" s="117">
        <f t="shared" si="123"/>
        <v>0</v>
      </c>
      <c r="AI143" s="117">
        <f t="shared" si="124"/>
        <v>0</v>
      </c>
      <c r="AJ143" s="117">
        <f t="shared" si="125"/>
        <v>0</v>
      </c>
    </row>
    <row r="144" spans="2:36" ht="16.5" customHeight="1">
      <c r="B144" s="11"/>
      <c r="C144" s="11" t="s">
        <v>9</v>
      </c>
      <c r="D144" s="4"/>
      <c r="E144" s="4" t="s">
        <v>182</v>
      </c>
      <c r="F144" s="5">
        <v>0</v>
      </c>
      <c r="G144" s="6">
        <v>2</v>
      </c>
      <c r="H144" s="7" t="s">
        <v>224</v>
      </c>
      <c r="I144" s="7"/>
      <c r="J144" s="4"/>
      <c r="K144" s="4" t="s">
        <v>208</v>
      </c>
      <c r="L144" s="5">
        <v>0</v>
      </c>
      <c r="M144" s="6">
        <v>3</v>
      </c>
      <c r="N144" s="7" t="str">
        <f t="shared" si="109"/>
        <v/>
      </c>
      <c r="O144" s="7"/>
      <c r="P144" s="36" t="s">
        <v>25</v>
      </c>
      <c r="Q144" s="35"/>
      <c r="T144" s="121" t="str">
        <f t="shared" si="110"/>
        <v/>
      </c>
      <c r="U144" s="118">
        <f t="shared" si="111"/>
        <v>0</v>
      </c>
      <c r="V144" s="117">
        <f t="shared" si="112"/>
        <v>0</v>
      </c>
      <c r="W144" s="117">
        <f t="shared" si="113"/>
        <v>2</v>
      </c>
      <c r="X144" s="117">
        <f t="shared" si="114"/>
        <v>-2</v>
      </c>
      <c r="Y144" s="117">
        <f t="shared" si="115"/>
        <v>0</v>
      </c>
      <c r="Z144" s="117">
        <f t="shared" si="116"/>
        <v>0</v>
      </c>
      <c r="AA144" s="117">
        <f t="shared" si="117"/>
        <v>0</v>
      </c>
      <c r="AC144" s="121" t="str">
        <f t="shared" si="118"/>
        <v/>
      </c>
      <c r="AD144" s="118">
        <f t="shared" si="119"/>
        <v>0</v>
      </c>
      <c r="AE144" s="117">
        <f t="shared" si="120"/>
        <v>0</v>
      </c>
      <c r="AF144" s="117">
        <f t="shared" si="121"/>
        <v>2</v>
      </c>
      <c r="AG144" s="117">
        <f t="shared" si="122"/>
        <v>-3</v>
      </c>
      <c r="AH144" s="117">
        <f t="shared" si="123"/>
        <v>0</v>
      </c>
      <c r="AI144" s="117">
        <f t="shared" si="124"/>
        <v>0</v>
      </c>
      <c r="AJ144" s="117">
        <f t="shared" si="125"/>
        <v>0</v>
      </c>
    </row>
    <row r="145" spans="2:36" ht="16.5" customHeight="1">
      <c r="B145" s="11"/>
      <c r="C145" s="11"/>
      <c r="D145" s="8"/>
      <c r="E145" s="9" t="s">
        <v>183</v>
      </c>
      <c r="F145" s="5">
        <v>1</v>
      </c>
      <c r="G145" s="6">
        <v>2</v>
      </c>
      <c r="H145" s="7" t="s">
        <v>224</v>
      </c>
      <c r="I145" s="10"/>
      <c r="J145" s="8"/>
      <c r="K145" s="9" t="s">
        <v>209</v>
      </c>
      <c r="L145" s="5">
        <v>2</v>
      </c>
      <c r="M145" s="6">
        <v>0</v>
      </c>
      <c r="N145" s="7" t="str">
        <f t="shared" si="109"/>
        <v/>
      </c>
      <c r="O145" s="10"/>
      <c r="P145" s="36"/>
      <c r="Q145" s="35"/>
      <c r="T145" s="121" t="str">
        <f t="shared" si="110"/>
        <v/>
      </c>
      <c r="U145" s="118">
        <f t="shared" si="111"/>
        <v>0</v>
      </c>
      <c r="V145" s="117">
        <f t="shared" si="112"/>
        <v>0</v>
      </c>
      <c r="W145" s="117">
        <f t="shared" si="113"/>
        <v>2</v>
      </c>
      <c r="X145" s="117">
        <f t="shared" si="114"/>
        <v>-1</v>
      </c>
      <c r="Y145" s="117">
        <f t="shared" si="115"/>
        <v>0</v>
      </c>
      <c r="Z145" s="117">
        <f t="shared" si="116"/>
        <v>0</v>
      </c>
      <c r="AA145" s="117">
        <f t="shared" si="117"/>
        <v>0</v>
      </c>
      <c r="AC145" s="121" t="str">
        <f t="shared" si="118"/>
        <v/>
      </c>
      <c r="AD145" s="118">
        <f t="shared" si="119"/>
        <v>0</v>
      </c>
      <c r="AE145" s="117">
        <f t="shared" si="120"/>
        <v>0</v>
      </c>
      <c r="AF145" s="117">
        <f t="shared" si="121"/>
        <v>1</v>
      </c>
      <c r="AG145" s="117">
        <f t="shared" si="122"/>
        <v>2</v>
      </c>
      <c r="AH145" s="117">
        <f t="shared" si="123"/>
        <v>0</v>
      </c>
      <c r="AI145" s="117">
        <f t="shared" si="124"/>
        <v>0</v>
      </c>
      <c r="AJ145" s="117">
        <f t="shared" si="125"/>
        <v>0</v>
      </c>
    </row>
    <row r="146" spans="2:36" ht="16.5" customHeight="1">
      <c r="B146" s="11"/>
      <c r="C146" s="11"/>
      <c r="D146" s="4"/>
      <c r="E146" s="4" t="s">
        <v>184</v>
      </c>
      <c r="F146" s="5">
        <v>0</v>
      </c>
      <c r="G146" s="6">
        <v>2</v>
      </c>
      <c r="H146" s="7" t="s">
        <v>224</v>
      </c>
      <c r="I146" s="7"/>
      <c r="J146" s="4"/>
      <c r="K146" s="4" t="s">
        <v>210</v>
      </c>
      <c r="L146" s="5">
        <v>0</v>
      </c>
      <c r="M146" s="6">
        <v>3</v>
      </c>
      <c r="N146" s="7" t="str">
        <f t="shared" si="109"/>
        <v/>
      </c>
      <c r="O146" s="7"/>
      <c r="P146" s="36"/>
      <c r="Q146" s="35"/>
      <c r="T146" s="121" t="str">
        <f t="shared" si="110"/>
        <v/>
      </c>
      <c r="U146" s="118">
        <f t="shared" si="111"/>
        <v>0</v>
      </c>
      <c r="V146" s="117">
        <f t="shared" si="112"/>
        <v>0</v>
      </c>
      <c r="W146" s="117">
        <f t="shared" si="113"/>
        <v>2</v>
      </c>
      <c r="X146" s="117">
        <f t="shared" si="114"/>
        <v>-2</v>
      </c>
      <c r="Y146" s="117">
        <f t="shared" si="115"/>
        <v>0</v>
      </c>
      <c r="Z146" s="117">
        <f t="shared" si="116"/>
        <v>0</v>
      </c>
      <c r="AA146" s="117">
        <f t="shared" si="117"/>
        <v>0</v>
      </c>
      <c r="AC146" s="121" t="str">
        <f t="shared" si="118"/>
        <v/>
      </c>
      <c r="AD146" s="118">
        <f t="shared" si="119"/>
        <v>0</v>
      </c>
      <c r="AE146" s="117">
        <f t="shared" si="120"/>
        <v>0</v>
      </c>
      <c r="AF146" s="117">
        <f t="shared" si="121"/>
        <v>2</v>
      </c>
      <c r="AG146" s="117">
        <f t="shared" si="122"/>
        <v>-3</v>
      </c>
      <c r="AH146" s="117">
        <f t="shared" si="123"/>
        <v>0</v>
      </c>
      <c r="AI146" s="117">
        <f t="shared" si="124"/>
        <v>0</v>
      </c>
      <c r="AJ146" s="117">
        <f t="shared" si="125"/>
        <v>0</v>
      </c>
    </row>
    <row r="147" spans="2:36" ht="16.5" customHeight="1">
      <c r="B147" s="11"/>
      <c r="C147" s="11"/>
      <c r="D147" s="8"/>
      <c r="E147" s="9" t="s">
        <v>222</v>
      </c>
      <c r="F147" s="5">
        <v>0</v>
      </c>
      <c r="G147" s="6">
        <v>2</v>
      </c>
      <c r="H147" s="7" t="s">
        <v>224</v>
      </c>
      <c r="I147" s="10"/>
      <c r="J147" s="8"/>
      <c r="K147" s="9" t="s">
        <v>211</v>
      </c>
      <c r="L147" s="5">
        <v>1</v>
      </c>
      <c r="M147" s="6">
        <v>1</v>
      </c>
      <c r="N147" s="7" t="str">
        <f t="shared" si="109"/>
        <v/>
      </c>
      <c r="O147" s="10"/>
      <c r="P147" s="36"/>
      <c r="Q147" s="35"/>
      <c r="T147" s="121" t="str">
        <f t="shared" si="110"/>
        <v/>
      </c>
      <c r="U147" s="118">
        <f t="shared" si="111"/>
        <v>0</v>
      </c>
      <c r="V147" s="117">
        <f t="shared" si="112"/>
        <v>0</v>
      </c>
      <c r="W147" s="117">
        <f t="shared" si="113"/>
        <v>2</v>
      </c>
      <c r="X147" s="117">
        <f t="shared" si="114"/>
        <v>-2</v>
      </c>
      <c r="Y147" s="117">
        <f t="shared" si="115"/>
        <v>0</v>
      </c>
      <c r="Z147" s="117">
        <f t="shared" si="116"/>
        <v>0</v>
      </c>
      <c r="AA147" s="117">
        <f t="shared" si="117"/>
        <v>0</v>
      </c>
      <c r="AC147" s="121" t="str">
        <f t="shared" si="118"/>
        <v/>
      </c>
      <c r="AD147" s="118">
        <f t="shared" si="119"/>
        <v>0</v>
      </c>
      <c r="AE147" s="117">
        <f t="shared" si="120"/>
        <v>0</v>
      </c>
      <c r="AF147" s="117">
        <f t="shared" si="121"/>
        <v>0</v>
      </c>
      <c r="AG147" s="117">
        <f t="shared" si="122"/>
        <v>0</v>
      </c>
      <c r="AH147" s="117">
        <f t="shared" si="123"/>
        <v>3</v>
      </c>
      <c r="AI147" s="117">
        <f t="shared" si="124"/>
        <v>1</v>
      </c>
      <c r="AJ147" s="117">
        <f t="shared" si="125"/>
        <v>0</v>
      </c>
    </row>
    <row r="148" spans="2:36" ht="16.5" customHeight="1">
      <c r="B148" s="11"/>
      <c r="C148" s="11"/>
      <c r="D148" s="4"/>
      <c r="E148" s="4" t="s">
        <v>185</v>
      </c>
      <c r="F148" s="5">
        <v>2</v>
      </c>
      <c r="G148" s="6">
        <v>0</v>
      </c>
      <c r="H148" s="7" t="s">
        <v>224</v>
      </c>
      <c r="I148" s="7"/>
      <c r="J148" s="4"/>
      <c r="K148" s="4" t="s">
        <v>212</v>
      </c>
      <c r="L148" s="5">
        <v>1</v>
      </c>
      <c r="M148" s="6">
        <v>3</v>
      </c>
      <c r="N148" s="7" t="str">
        <f t="shared" si="109"/>
        <v/>
      </c>
      <c r="O148" s="7"/>
      <c r="P148" s="36"/>
      <c r="Q148" s="35"/>
      <c r="T148" s="121" t="str">
        <f t="shared" si="110"/>
        <v/>
      </c>
      <c r="U148" s="118">
        <f t="shared" si="111"/>
        <v>0</v>
      </c>
      <c r="V148" s="117">
        <f t="shared" si="112"/>
        <v>0</v>
      </c>
      <c r="W148" s="117">
        <f t="shared" si="113"/>
        <v>1</v>
      </c>
      <c r="X148" s="117">
        <f t="shared" si="114"/>
        <v>2</v>
      </c>
      <c r="Y148" s="117">
        <f t="shared" si="115"/>
        <v>0</v>
      </c>
      <c r="Z148" s="117">
        <f t="shared" si="116"/>
        <v>0</v>
      </c>
      <c r="AA148" s="117">
        <f t="shared" si="117"/>
        <v>0</v>
      </c>
      <c r="AC148" s="121" t="str">
        <f t="shared" si="118"/>
        <v/>
      </c>
      <c r="AD148" s="118">
        <f t="shared" si="119"/>
        <v>0</v>
      </c>
      <c r="AE148" s="117">
        <f t="shared" si="120"/>
        <v>0</v>
      </c>
      <c r="AF148" s="117">
        <f t="shared" si="121"/>
        <v>2</v>
      </c>
      <c r="AG148" s="117">
        <f t="shared" si="122"/>
        <v>-2</v>
      </c>
      <c r="AH148" s="117">
        <f t="shared" si="123"/>
        <v>0</v>
      </c>
      <c r="AI148" s="117">
        <f t="shared" si="124"/>
        <v>0</v>
      </c>
      <c r="AJ148" s="117">
        <f t="shared" si="125"/>
        <v>0</v>
      </c>
    </row>
    <row r="149" spans="2:36" ht="16.5" customHeight="1">
      <c r="B149" s="11"/>
      <c r="C149" s="11"/>
      <c r="D149" s="8"/>
      <c r="E149" s="9" t="s">
        <v>186</v>
      </c>
      <c r="F149" s="5">
        <v>0</v>
      </c>
      <c r="G149" s="6">
        <v>3</v>
      </c>
      <c r="H149" s="7" t="s">
        <v>224</v>
      </c>
      <c r="I149" s="10"/>
      <c r="J149" s="8"/>
      <c r="K149" s="9" t="s">
        <v>213</v>
      </c>
      <c r="L149" s="5">
        <v>0</v>
      </c>
      <c r="M149" s="6">
        <v>2</v>
      </c>
      <c r="N149" s="7" t="str">
        <f t="shared" si="109"/>
        <v/>
      </c>
      <c r="O149" s="10"/>
      <c r="P149" s="36"/>
      <c r="Q149" s="35"/>
      <c r="T149" s="121" t="str">
        <f t="shared" si="110"/>
        <v/>
      </c>
      <c r="U149" s="118">
        <f t="shared" si="111"/>
        <v>0</v>
      </c>
      <c r="V149" s="117">
        <f t="shared" si="112"/>
        <v>0</v>
      </c>
      <c r="W149" s="117">
        <f t="shared" si="113"/>
        <v>2</v>
      </c>
      <c r="X149" s="117">
        <f t="shared" si="114"/>
        <v>-3</v>
      </c>
      <c r="Y149" s="117">
        <f t="shared" si="115"/>
        <v>0</v>
      </c>
      <c r="Z149" s="117">
        <f t="shared" si="116"/>
        <v>0</v>
      </c>
      <c r="AA149" s="117">
        <f t="shared" si="117"/>
        <v>0</v>
      </c>
      <c r="AC149" s="121" t="str">
        <f t="shared" si="118"/>
        <v/>
      </c>
      <c r="AD149" s="118">
        <f t="shared" si="119"/>
        <v>0</v>
      </c>
      <c r="AE149" s="117">
        <f t="shared" si="120"/>
        <v>0</v>
      </c>
      <c r="AF149" s="117">
        <f t="shared" si="121"/>
        <v>2</v>
      </c>
      <c r="AG149" s="117">
        <f t="shared" si="122"/>
        <v>-2</v>
      </c>
      <c r="AH149" s="117">
        <f t="shared" si="123"/>
        <v>0</v>
      </c>
      <c r="AI149" s="117">
        <f t="shared" si="124"/>
        <v>0</v>
      </c>
      <c r="AJ149" s="117">
        <f t="shared" si="125"/>
        <v>0</v>
      </c>
    </row>
    <row r="150" spans="2:36" ht="16.5" customHeight="1">
      <c r="B150" s="11"/>
      <c r="C150" s="11"/>
      <c r="D150" s="4"/>
      <c r="E150" s="4" t="s">
        <v>187</v>
      </c>
      <c r="F150" s="5">
        <v>0</v>
      </c>
      <c r="G150" s="6">
        <v>2</v>
      </c>
      <c r="H150" s="7" t="s">
        <v>224</v>
      </c>
      <c r="I150" s="7"/>
      <c r="J150" s="4"/>
      <c r="K150" s="4" t="s">
        <v>214</v>
      </c>
      <c r="L150" s="5">
        <v>0</v>
      </c>
      <c r="M150" s="6">
        <v>2</v>
      </c>
      <c r="N150" s="7" t="str">
        <f t="shared" si="109"/>
        <v/>
      </c>
      <c r="O150" s="7"/>
      <c r="P150" s="36"/>
      <c r="Q150" s="35"/>
      <c r="T150" s="121" t="str">
        <f t="shared" si="110"/>
        <v/>
      </c>
      <c r="U150" s="118">
        <f t="shared" si="111"/>
        <v>0</v>
      </c>
      <c r="V150" s="117">
        <f t="shared" si="112"/>
        <v>0</v>
      </c>
      <c r="W150" s="117">
        <f t="shared" si="113"/>
        <v>2</v>
      </c>
      <c r="X150" s="117">
        <f t="shared" si="114"/>
        <v>-2</v>
      </c>
      <c r="Y150" s="117">
        <f t="shared" si="115"/>
        <v>0</v>
      </c>
      <c r="Z150" s="117">
        <f t="shared" si="116"/>
        <v>0</v>
      </c>
      <c r="AA150" s="117">
        <f t="shared" si="117"/>
        <v>0</v>
      </c>
      <c r="AC150" s="121" t="str">
        <f t="shared" si="118"/>
        <v/>
      </c>
      <c r="AD150" s="118">
        <f t="shared" si="119"/>
        <v>0</v>
      </c>
      <c r="AE150" s="117">
        <f t="shared" si="120"/>
        <v>0</v>
      </c>
      <c r="AF150" s="117">
        <f t="shared" si="121"/>
        <v>2</v>
      </c>
      <c r="AG150" s="117">
        <f t="shared" si="122"/>
        <v>-2</v>
      </c>
      <c r="AH150" s="117">
        <f t="shared" si="123"/>
        <v>0</v>
      </c>
      <c r="AI150" s="117">
        <f t="shared" si="124"/>
        <v>0</v>
      </c>
      <c r="AJ150" s="117">
        <f t="shared" si="125"/>
        <v>0</v>
      </c>
    </row>
    <row r="151" spans="2:36" ht="16.5" customHeight="1">
      <c r="B151" s="15"/>
      <c r="C151" s="15" t="s">
        <v>10</v>
      </c>
      <c r="D151" s="8"/>
      <c r="E151" s="9" t="s">
        <v>188</v>
      </c>
      <c r="F151" s="5">
        <v>1</v>
      </c>
      <c r="G151" s="6">
        <v>2</v>
      </c>
      <c r="H151" s="7" t="s">
        <v>224</v>
      </c>
      <c r="I151" s="10"/>
      <c r="J151" s="8"/>
      <c r="K151" s="9" t="s">
        <v>215</v>
      </c>
      <c r="L151" s="5">
        <v>1</v>
      </c>
      <c r="M151" s="6">
        <v>2</v>
      </c>
      <c r="N151" s="7" t="str">
        <f t="shared" si="109"/>
        <v/>
      </c>
      <c r="O151" s="10"/>
      <c r="P151" s="39" t="s">
        <v>26</v>
      </c>
      <c r="Q151" s="38"/>
      <c r="T151" s="121" t="str">
        <f t="shared" si="110"/>
        <v/>
      </c>
      <c r="U151" s="118">
        <f t="shared" si="111"/>
        <v>0</v>
      </c>
      <c r="V151" s="117">
        <f t="shared" si="112"/>
        <v>0</v>
      </c>
      <c r="W151" s="117">
        <f t="shared" si="113"/>
        <v>2</v>
      </c>
      <c r="X151" s="117">
        <f t="shared" si="114"/>
        <v>-1</v>
      </c>
      <c r="Y151" s="117">
        <f t="shared" si="115"/>
        <v>0</v>
      </c>
      <c r="Z151" s="117">
        <f t="shared" si="116"/>
        <v>0</v>
      </c>
      <c r="AA151" s="117">
        <f t="shared" si="117"/>
        <v>0</v>
      </c>
      <c r="AC151" s="121" t="str">
        <f t="shared" si="118"/>
        <v/>
      </c>
      <c r="AD151" s="118">
        <f t="shared" si="119"/>
        <v>0</v>
      </c>
      <c r="AE151" s="117">
        <f t="shared" si="120"/>
        <v>0</v>
      </c>
      <c r="AF151" s="117">
        <f t="shared" si="121"/>
        <v>2</v>
      </c>
      <c r="AG151" s="117">
        <f t="shared" si="122"/>
        <v>-1</v>
      </c>
      <c r="AH151" s="117">
        <f t="shared" si="123"/>
        <v>0</v>
      </c>
      <c r="AI151" s="117">
        <f t="shared" si="124"/>
        <v>0</v>
      </c>
      <c r="AJ151" s="117">
        <f t="shared" si="125"/>
        <v>0</v>
      </c>
    </row>
    <row r="152" spans="2:36" ht="16.5" customHeight="1">
      <c r="B152" s="15"/>
      <c r="C152" s="15"/>
      <c r="D152" s="4"/>
      <c r="E152" s="4" t="s">
        <v>189</v>
      </c>
      <c r="F152" s="5">
        <v>0</v>
      </c>
      <c r="G152" s="6">
        <v>3</v>
      </c>
      <c r="H152" s="7" t="s">
        <v>224</v>
      </c>
      <c r="I152" s="7"/>
      <c r="J152" s="4"/>
      <c r="K152" s="4" t="s">
        <v>216</v>
      </c>
      <c r="L152" s="5">
        <v>0</v>
      </c>
      <c r="M152" s="6">
        <v>2</v>
      </c>
      <c r="N152" s="7" t="str">
        <f t="shared" si="109"/>
        <v/>
      </c>
      <c r="O152" s="7"/>
      <c r="P152" s="39"/>
      <c r="Q152" s="38"/>
      <c r="T152" s="121" t="str">
        <f t="shared" si="110"/>
        <v/>
      </c>
      <c r="U152" s="118">
        <f t="shared" si="111"/>
        <v>0</v>
      </c>
      <c r="V152" s="117">
        <f t="shared" si="112"/>
        <v>0</v>
      </c>
      <c r="W152" s="117">
        <f t="shared" si="113"/>
        <v>2</v>
      </c>
      <c r="X152" s="117">
        <f t="shared" si="114"/>
        <v>-3</v>
      </c>
      <c r="Y152" s="117">
        <f t="shared" si="115"/>
        <v>0</v>
      </c>
      <c r="Z152" s="117">
        <f t="shared" si="116"/>
        <v>0</v>
      </c>
      <c r="AA152" s="117">
        <f t="shared" si="117"/>
        <v>0</v>
      </c>
      <c r="AC152" s="121" t="str">
        <f t="shared" si="118"/>
        <v/>
      </c>
      <c r="AD152" s="118">
        <f t="shared" si="119"/>
        <v>0</v>
      </c>
      <c r="AE152" s="117">
        <f t="shared" si="120"/>
        <v>0</v>
      </c>
      <c r="AF152" s="117">
        <f t="shared" si="121"/>
        <v>2</v>
      </c>
      <c r="AG152" s="117">
        <f t="shared" si="122"/>
        <v>-2</v>
      </c>
      <c r="AH152" s="117">
        <f t="shared" si="123"/>
        <v>0</v>
      </c>
      <c r="AI152" s="117">
        <f t="shared" si="124"/>
        <v>0</v>
      </c>
      <c r="AJ152" s="117">
        <f t="shared" si="125"/>
        <v>0</v>
      </c>
    </row>
    <row r="153" spans="2:36" ht="16.5" customHeight="1">
      <c r="B153" s="15"/>
      <c r="C153" s="15"/>
      <c r="D153" s="8"/>
      <c r="E153" s="9" t="s">
        <v>190</v>
      </c>
      <c r="F153" s="5">
        <v>0</v>
      </c>
      <c r="G153" s="6">
        <v>3</v>
      </c>
      <c r="H153" s="7" t="s">
        <v>224</v>
      </c>
      <c r="I153" s="10"/>
      <c r="J153" s="8"/>
      <c r="K153" s="9" t="s">
        <v>217</v>
      </c>
      <c r="L153" s="5">
        <v>0</v>
      </c>
      <c r="M153" s="6">
        <v>3</v>
      </c>
      <c r="N153" s="7" t="str">
        <f t="shared" si="109"/>
        <v/>
      </c>
      <c r="O153" s="10"/>
      <c r="P153" s="39"/>
      <c r="Q153" s="38"/>
      <c r="T153" s="121" t="str">
        <f t="shared" si="110"/>
        <v/>
      </c>
      <c r="U153" s="118">
        <f t="shared" si="111"/>
        <v>0</v>
      </c>
      <c r="V153" s="117">
        <f t="shared" si="112"/>
        <v>0</v>
      </c>
      <c r="W153" s="117">
        <f t="shared" si="113"/>
        <v>2</v>
      </c>
      <c r="X153" s="117">
        <f t="shared" si="114"/>
        <v>-3</v>
      </c>
      <c r="Y153" s="117">
        <f t="shared" si="115"/>
        <v>0</v>
      </c>
      <c r="Z153" s="117">
        <f t="shared" si="116"/>
        <v>0</v>
      </c>
      <c r="AA153" s="117">
        <f t="shared" si="117"/>
        <v>0</v>
      </c>
      <c r="AC153" s="121" t="str">
        <f t="shared" si="118"/>
        <v/>
      </c>
      <c r="AD153" s="118">
        <f t="shared" si="119"/>
        <v>0</v>
      </c>
      <c r="AE153" s="117">
        <f t="shared" si="120"/>
        <v>0</v>
      </c>
      <c r="AF153" s="117">
        <f t="shared" si="121"/>
        <v>2</v>
      </c>
      <c r="AG153" s="117">
        <f t="shared" si="122"/>
        <v>-3</v>
      </c>
      <c r="AH153" s="117">
        <f t="shared" si="123"/>
        <v>0</v>
      </c>
      <c r="AI153" s="117">
        <f t="shared" si="124"/>
        <v>0</v>
      </c>
      <c r="AJ153" s="117">
        <f t="shared" si="125"/>
        <v>0</v>
      </c>
    </row>
    <row r="154" spans="2:36" ht="16.5" customHeight="1">
      <c r="B154" s="15"/>
      <c r="C154" s="15"/>
      <c r="D154" s="4"/>
      <c r="E154" s="4" t="s">
        <v>191</v>
      </c>
      <c r="F154" s="5">
        <v>0</v>
      </c>
      <c r="G154" s="6">
        <v>2</v>
      </c>
      <c r="H154" s="7" t="s">
        <v>224</v>
      </c>
      <c r="I154" s="7"/>
      <c r="J154" s="4"/>
      <c r="K154" s="4" t="s">
        <v>218</v>
      </c>
      <c r="L154" s="5">
        <v>0</v>
      </c>
      <c r="M154" s="6">
        <v>2</v>
      </c>
      <c r="N154" s="7" t="str">
        <f t="shared" si="109"/>
        <v/>
      </c>
      <c r="O154" s="7"/>
      <c r="P154" s="39"/>
      <c r="Q154" s="38"/>
      <c r="T154" s="121" t="str">
        <f t="shared" si="110"/>
        <v/>
      </c>
      <c r="U154" s="118">
        <f t="shared" si="111"/>
        <v>0</v>
      </c>
      <c r="V154" s="117">
        <f t="shared" si="112"/>
        <v>0</v>
      </c>
      <c r="W154" s="117">
        <f t="shared" si="113"/>
        <v>2</v>
      </c>
      <c r="X154" s="117">
        <f t="shared" si="114"/>
        <v>-2</v>
      </c>
      <c r="Y154" s="117">
        <f t="shared" si="115"/>
        <v>0</v>
      </c>
      <c r="Z154" s="117">
        <f t="shared" si="116"/>
        <v>0</v>
      </c>
      <c r="AA154" s="117">
        <f t="shared" si="117"/>
        <v>0</v>
      </c>
      <c r="AC154" s="121" t="str">
        <f t="shared" si="118"/>
        <v/>
      </c>
      <c r="AD154" s="118">
        <f t="shared" si="119"/>
        <v>0</v>
      </c>
      <c r="AE154" s="117">
        <f t="shared" si="120"/>
        <v>0</v>
      </c>
      <c r="AF154" s="117">
        <f t="shared" si="121"/>
        <v>2</v>
      </c>
      <c r="AG154" s="117">
        <f t="shared" si="122"/>
        <v>-2</v>
      </c>
      <c r="AH154" s="117">
        <f t="shared" si="123"/>
        <v>0</v>
      </c>
      <c r="AI154" s="117">
        <f t="shared" si="124"/>
        <v>0</v>
      </c>
      <c r="AJ154" s="117">
        <f t="shared" si="125"/>
        <v>0</v>
      </c>
    </row>
    <row r="155" spans="2:36" ht="16.5" customHeight="1">
      <c r="B155" s="15"/>
      <c r="C155" s="15"/>
      <c r="D155" s="8"/>
      <c r="E155" s="9" t="s">
        <v>192</v>
      </c>
      <c r="F155" s="5">
        <v>0</v>
      </c>
      <c r="G155" s="6">
        <v>2</v>
      </c>
      <c r="H155" s="7" t="s">
        <v>224</v>
      </c>
      <c r="I155" s="10"/>
      <c r="J155" s="8"/>
      <c r="K155" s="9" t="s">
        <v>219</v>
      </c>
      <c r="L155" s="5">
        <v>0</v>
      </c>
      <c r="M155" s="6">
        <v>1</v>
      </c>
      <c r="N155" s="7" t="str">
        <f t="shared" si="109"/>
        <v/>
      </c>
      <c r="O155" s="10"/>
      <c r="P155" s="39"/>
      <c r="Q155" s="38"/>
      <c r="T155" s="121" t="str">
        <f t="shared" si="110"/>
        <v/>
      </c>
      <c r="U155" s="118">
        <f t="shared" si="111"/>
        <v>0</v>
      </c>
      <c r="V155" s="117">
        <f t="shared" si="112"/>
        <v>0</v>
      </c>
      <c r="W155" s="117">
        <f t="shared" si="113"/>
        <v>2</v>
      </c>
      <c r="X155" s="117">
        <f t="shared" si="114"/>
        <v>-2</v>
      </c>
      <c r="Y155" s="117">
        <f t="shared" si="115"/>
        <v>0</v>
      </c>
      <c r="Z155" s="117">
        <f t="shared" si="116"/>
        <v>0</v>
      </c>
      <c r="AA155" s="117">
        <f t="shared" si="117"/>
        <v>0</v>
      </c>
      <c r="AC155" s="121" t="str">
        <f t="shared" si="118"/>
        <v/>
      </c>
      <c r="AD155" s="118">
        <f t="shared" si="119"/>
        <v>0</v>
      </c>
      <c r="AE155" s="117">
        <f t="shared" si="120"/>
        <v>0</v>
      </c>
      <c r="AF155" s="117">
        <f t="shared" si="121"/>
        <v>2</v>
      </c>
      <c r="AG155" s="117">
        <f t="shared" si="122"/>
        <v>-1</v>
      </c>
      <c r="AH155" s="117">
        <f t="shared" si="123"/>
        <v>0</v>
      </c>
      <c r="AI155" s="117">
        <f t="shared" si="124"/>
        <v>0</v>
      </c>
      <c r="AJ155" s="117">
        <f t="shared" si="125"/>
        <v>0</v>
      </c>
    </row>
    <row r="156" spans="2:36" ht="16.5" customHeight="1">
      <c r="B156" s="15"/>
      <c r="C156" s="15"/>
      <c r="D156" s="4"/>
      <c r="E156" s="4" t="s">
        <v>193</v>
      </c>
      <c r="F156" s="5">
        <v>0</v>
      </c>
      <c r="G156" s="6">
        <v>2</v>
      </c>
      <c r="H156" s="7" t="s">
        <v>224</v>
      </c>
      <c r="I156" s="7"/>
      <c r="J156" s="4"/>
      <c r="K156" s="4" t="s">
        <v>220</v>
      </c>
      <c r="L156" s="5">
        <v>0</v>
      </c>
      <c r="M156" s="6">
        <v>2</v>
      </c>
      <c r="N156" s="7" t="str">
        <f t="shared" si="109"/>
        <v/>
      </c>
      <c r="O156" s="7"/>
      <c r="P156" s="39"/>
      <c r="Q156" s="38"/>
      <c r="T156" s="121" t="str">
        <f t="shared" si="110"/>
        <v/>
      </c>
      <c r="U156" s="118">
        <f t="shared" si="111"/>
        <v>0</v>
      </c>
      <c r="V156" s="117">
        <f t="shared" si="112"/>
        <v>0</v>
      </c>
      <c r="W156" s="117">
        <f t="shared" si="113"/>
        <v>2</v>
      </c>
      <c r="X156" s="117">
        <f t="shared" si="114"/>
        <v>-2</v>
      </c>
      <c r="Y156" s="117">
        <f t="shared" si="115"/>
        <v>0</v>
      </c>
      <c r="Z156" s="117">
        <f t="shared" si="116"/>
        <v>0</v>
      </c>
      <c r="AA156" s="117">
        <f t="shared" si="117"/>
        <v>0</v>
      </c>
      <c r="AC156" s="121" t="str">
        <f t="shared" si="118"/>
        <v/>
      </c>
      <c r="AD156" s="118">
        <f t="shared" si="119"/>
        <v>0</v>
      </c>
      <c r="AE156" s="117">
        <f t="shared" si="120"/>
        <v>0</v>
      </c>
      <c r="AF156" s="117">
        <f t="shared" si="121"/>
        <v>2</v>
      </c>
      <c r="AG156" s="117">
        <f t="shared" si="122"/>
        <v>-2</v>
      </c>
      <c r="AH156" s="117">
        <f t="shared" si="123"/>
        <v>0</v>
      </c>
      <c r="AI156" s="117">
        <f t="shared" si="124"/>
        <v>0</v>
      </c>
      <c r="AJ156" s="117">
        <f t="shared" si="125"/>
        <v>0</v>
      </c>
    </row>
    <row r="157" spans="2:36" ht="16.5" customHeight="1">
      <c r="B157" s="15"/>
      <c r="C157" s="15"/>
      <c r="D157" s="8"/>
      <c r="E157" s="9" t="s">
        <v>194</v>
      </c>
      <c r="F157" s="5">
        <v>0</v>
      </c>
      <c r="G157" s="6">
        <v>2</v>
      </c>
      <c r="H157" s="7" t="s">
        <v>224</v>
      </c>
      <c r="I157" s="10"/>
      <c r="J157" s="8"/>
      <c r="K157" s="9" t="s">
        <v>221</v>
      </c>
      <c r="L157" s="5">
        <v>0</v>
      </c>
      <c r="M157" s="6">
        <v>4</v>
      </c>
      <c r="N157" s="7" t="str">
        <f t="shared" si="109"/>
        <v/>
      </c>
      <c r="O157" s="10"/>
      <c r="P157" s="39"/>
      <c r="Q157" s="38"/>
      <c r="T157" s="121" t="str">
        <f t="shared" si="110"/>
        <v/>
      </c>
      <c r="U157" s="118">
        <f t="shared" si="111"/>
        <v>0</v>
      </c>
      <c r="V157" s="117">
        <f t="shared" si="112"/>
        <v>0</v>
      </c>
      <c r="W157" s="117">
        <f t="shared" si="113"/>
        <v>2</v>
      </c>
      <c r="X157" s="117">
        <f t="shared" si="114"/>
        <v>-2</v>
      </c>
      <c r="Y157" s="117">
        <f t="shared" si="115"/>
        <v>0</v>
      </c>
      <c r="Z157" s="117">
        <f t="shared" si="116"/>
        <v>0</v>
      </c>
      <c r="AA157" s="117">
        <f t="shared" si="117"/>
        <v>0</v>
      </c>
      <c r="AC157" s="121" t="str">
        <f t="shared" si="118"/>
        <v/>
      </c>
      <c r="AD157" s="118">
        <f t="shared" si="119"/>
        <v>0</v>
      </c>
      <c r="AE157" s="117">
        <f t="shared" si="120"/>
        <v>0</v>
      </c>
      <c r="AF157" s="117">
        <f t="shared" si="121"/>
        <v>2</v>
      </c>
      <c r="AG157" s="117">
        <f t="shared" si="122"/>
        <v>-4</v>
      </c>
      <c r="AH157" s="117">
        <f t="shared" si="123"/>
        <v>0</v>
      </c>
      <c r="AI157" s="117">
        <f t="shared" si="124"/>
        <v>0</v>
      </c>
      <c r="AJ157" s="117">
        <f t="shared" si="125"/>
        <v>0</v>
      </c>
    </row>
    <row r="158" spans="2:36" ht="16.5" customHeight="1">
      <c r="K158" s="3"/>
    </row>
    <row r="159" spans="2:36" ht="23.25">
      <c r="B159" s="33" t="s">
        <v>121</v>
      </c>
      <c r="D159" s="52"/>
      <c r="E159" s="55" t="s">
        <v>66</v>
      </c>
      <c r="F159" s="56"/>
      <c r="G159" s="57"/>
      <c r="H159" s="57"/>
      <c r="I159" s="56"/>
      <c r="J159" s="82"/>
      <c r="K159" s="82" t="s">
        <v>67</v>
      </c>
      <c r="M159" s="91"/>
      <c r="N159" s="92"/>
      <c r="O159" s="92"/>
      <c r="P159" s="93"/>
      <c r="Q159" s="92"/>
      <c r="R159" s="92"/>
    </row>
    <row r="160" spans="2:36" ht="16.5" customHeight="1">
      <c r="C160" s="1"/>
      <c r="D160" s="1"/>
      <c r="E160" s="1"/>
      <c r="H160" s="1"/>
      <c r="I160" s="1"/>
      <c r="J160" s="1"/>
      <c r="P160" s="1"/>
    </row>
    <row r="161" spans="2:36" ht="16.5" customHeight="1">
      <c r="B161" s="12"/>
      <c r="C161" s="12" t="s">
        <v>7</v>
      </c>
      <c r="D161" s="4"/>
      <c r="E161" s="4" t="s">
        <v>32</v>
      </c>
      <c r="F161" s="5">
        <v>2</v>
      </c>
      <c r="G161" s="6">
        <v>1</v>
      </c>
      <c r="H161" s="7" t="s">
        <v>224</v>
      </c>
      <c r="I161" s="7"/>
      <c r="J161" s="4"/>
      <c r="K161" s="4" t="s">
        <v>195</v>
      </c>
      <c r="L161" s="5">
        <v>2</v>
      </c>
      <c r="M161" s="6">
        <v>0</v>
      </c>
      <c r="N161" s="7" t="str">
        <f>AC161</f>
        <v/>
      </c>
      <c r="O161" s="7"/>
      <c r="P161" s="24" t="s">
        <v>13</v>
      </c>
      <c r="Q161" s="13"/>
      <c r="T161" s="121" t="str">
        <f>IF($G$159="","",SUM(Y161:AA161))</f>
        <v/>
      </c>
      <c r="U161" s="118">
        <f t="shared" ref="U161" si="126">IF(V161&gt;0,1,IF(V161=0,0,2))</f>
        <v>0</v>
      </c>
      <c r="V161" s="117">
        <f>$G$159-$H$159</f>
        <v>0</v>
      </c>
      <c r="W161" s="117">
        <f t="shared" ref="W161" si="127">IF(X161&gt;0,1,IF(X161=0,0,2))</f>
        <v>1</v>
      </c>
      <c r="X161" s="117">
        <f>F161-G161</f>
        <v>1</v>
      </c>
      <c r="Y161" s="117">
        <f t="shared" ref="Y161" si="128">IF(U161=W161,3,0)</f>
        <v>0</v>
      </c>
      <c r="Z161" s="117">
        <f t="shared" ref="Z161" si="129">IF(V161=X161,1,0)</f>
        <v>0</v>
      </c>
      <c r="AA161" s="117">
        <f>IF(Z161=1,IF($G$159=F161,1,0),0)</f>
        <v>0</v>
      </c>
      <c r="AC161" s="121" t="str">
        <f>IF($G$159="","",SUM(AH161:AJ161))</f>
        <v/>
      </c>
      <c r="AD161" s="118">
        <f t="shared" ref="AD161" si="130">IF(AE161&gt;0,1,IF(AE161=0,0,2))</f>
        <v>0</v>
      </c>
      <c r="AE161" s="117">
        <f>$G$159-$H$159</f>
        <v>0</v>
      </c>
      <c r="AF161" s="117">
        <f t="shared" ref="AF161" si="131">IF(AG161&gt;0,1,IF(AG161=0,0,2))</f>
        <v>1</v>
      </c>
      <c r="AG161" s="117">
        <f>L161-M161</f>
        <v>2</v>
      </c>
      <c r="AH161" s="117">
        <f t="shared" ref="AH161" si="132">IF(AD161=AF161,3,0)</f>
        <v>0</v>
      </c>
      <c r="AI161" s="117">
        <f t="shared" ref="AI161" si="133">IF(AE161=AG161,1,0)</f>
        <v>0</v>
      </c>
      <c r="AJ161" s="117">
        <f>IF(AI161=1,IF($G$159=L161,1,0),0)</f>
        <v>0</v>
      </c>
    </row>
    <row r="162" spans="2:36" ht="16.5" customHeight="1">
      <c r="B162" s="12"/>
      <c r="C162" s="12"/>
      <c r="D162" s="8"/>
      <c r="E162" s="9" t="s">
        <v>170</v>
      </c>
      <c r="F162" s="5">
        <v>2</v>
      </c>
      <c r="G162" s="6">
        <v>1</v>
      </c>
      <c r="H162" s="7" t="s">
        <v>224</v>
      </c>
      <c r="I162" s="10"/>
      <c r="J162" s="8"/>
      <c r="K162" s="9" t="s">
        <v>196</v>
      </c>
      <c r="L162" s="5">
        <v>4</v>
      </c>
      <c r="M162" s="6">
        <v>2</v>
      </c>
      <c r="N162" s="7" t="str">
        <f t="shared" ref="N162:N188" si="134">AC162</f>
        <v/>
      </c>
      <c r="O162" s="10"/>
      <c r="P162" s="24"/>
      <c r="Q162" s="13"/>
      <c r="T162" s="121" t="str">
        <f t="shared" ref="T162:T188" si="135">IF($G$159="","",SUM(Y162:AA162))</f>
        <v/>
      </c>
      <c r="U162" s="118">
        <f t="shared" ref="U162:U188" si="136">IF(V162&gt;0,1,IF(V162=0,0,2))</f>
        <v>0</v>
      </c>
      <c r="V162" s="117">
        <f t="shared" ref="V162:V188" si="137">$G$159-$H$159</f>
        <v>0</v>
      </c>
      <c r="W162" s="117">
        <f t="shared" ref="W162:W188" si="138">IF(X162&gt;0,1,IF(X162=0,0,2))</f>
        <v>1</v>
      </c>
      <c r="X162" s="117">
        <f t="shared" ref="X162:X188" si="139">F162-G162</f>
        <v>1</v>
      </c>
      <c r="Y162" s="117">
        <f t="shared" ref="Y162:Y188" si="140">IF(U162=W162,3,0)</f>
        <v>0</v>
      </c>
      <c r="Z162" s="117">
        <f t="shared" ref="Z162:Z188" si="141">IF(V162=X162,1,0)</f>
        <v>0</v>
      </c>
      <c r="AA162" s="117">
        <f t="shared" ref="AA162:AA188" si="142">IF(Z162=1,IF($G$159=F162,1,0),0)</f>
        <v>0</v>
      </c>
      <c r="AC162" s="121" t="str">
        <f t="shared" ref="AC162:AC188" si="143">IF($G$159="","",SUM(AH162:AJ162))</f>
        <v/>
      </c>
      <c r="AD162" s="118">
        <f t="shared" ref="AD162:AD188" si="144">IF(AE162&gt;0,1,IF(AE162=0,0,2))</f>
        <v>0</v>
      </c>
      <c r="AE162" s="117">
        <f t="shared" ref="AE162:AE188" si="145">$G$159-$H$159</f>
        <v>0</v>
      </c>
      <c r="AF162" s="117">
        <f t="shared" ref="AF162:AF188" si="146">IF(AG162&gt;0,1,IF(AG162=0,0,2))</f>
        <v>1</v>
      </c>
      <c r="AG162" s="117">
        <f t="shared" ref="AG162:AG188" si="147">L162-M162</f>
        <v>2</v>
      </c>
      <c r="AH162" s="117">
        <f t="shared" ref="AH162:AH188" si="148">IF(AD162=AF162,3,0)</f>
        <v>0</v>
      </c>
      <c r="AI162" s="117">
        <f t="shared" ref="AI162:AI188" si="149">IF(AE162=AG162,1,0)</f>
        <v>0</v>
      </c>
      <c r="AJ162" s="117">
        <f t="shared" ref="AJ162:AJ188" si="150">IF(AI162=1,IF($G$159=L162,1,0),0)</f>
        <v>0</v>
      </c>
    </row>
    <row r="163" spans="2:36" ht="16.5" customHeight="1">
      <c r="B163" s="12"/>
      <c r="C163" s="12"/>
      <c r="D163" s="4"/>
      <c r="E163" s="4" t="s">
        <v>171</v>
      </c>
      <c r="F163" s="5">
        <v>2</v>
      </c>
      <c r="G163" s="6">
        <v>0</v>
      </c>
      <c r="H163" s="7" t="s">
        <v>224</v>
      </c>
      <c r="I163" s="7"/>
      <c r="J163" s="4"/>
      <c r="K163" s="4" t="s">
        <v>197</v>
      </c>
      <c r="L163" s="5">
        <v>3</v>
      </c>
      <c r="M163" s="6">
        <v>1</v>
      </c>
      <c r="N163" s="7" t="str">
        <f t="shared" si="134"/>
        <v/>
      </c>
      <c r="O163" s="7"/>
      <c r="P163" s="24"/>
      <c r="Q163" s="13"/>
      <c r="T163" s="121" t="str">
        <f t="shared" si="135"/>
        <v/>
      </c>
      <c r="U163" s="118">
        <f t="shared" si="136"/>
        <v>0</v>
      </c>
      <c r="V163" s="117">
        <f t="shared" si="137"/>
        <v>0</v>
      </c>
      <c r="W163" s="117">
        <f t="shared" si="138"/>
        <v>1</v>
      </c>
      <c r="X163" s="117">
        <f t="shared" si="139"/>
        <v>2</v>
      </c>
      <c r="Y163" s="117">
        <f t="shared" si="140"/>
        <v>0</v>
      </c>
      <c r="Z163" s="117">
        <f t="shared" si="141"/>
        <v>0</v>
      </c>
      <c r="AA163" s="117">
        <f t="shared" si="142"/>
        <v>0</v>
      </c>
      <c r="AC163" s="121" t="str">
        <f t="shared" si="143"/>
        <v/>
      </c>
      <c r="AD163" s="118">
        <f t="shared" si="144"/>
        <v>0</v>
      </c>
      <c r="AE163" s="117">
        <f t="shared" si="145"/>
        <v>0</v>
      </c>
      <c r="AF163" s="117">
        <f t="shared" si="146"/>
        <v>1</v>
      </c>
      <c r="AG163" s="117">
        <f t="shared" si="147"/>
        <v>2</v>
      </c>
      <c r="AH163" s="117">
        <f t="shared" si="148"/>
        <v>0</v>
      </c>
      <c r="AI163" s="117">
        <f t="shared" si="149"/>
        <v>0</v>
      </c>
      <c r="AJ163" s="117">
        <f t="shared" si="150"/>
        <v>0</v>
      </c>
    </row>
    <row r="164" spans="2:36" ht="16.5" customHeight="1">
      <c r="B164" s="12"/>
      <c r="C164" s="12"/>
      <c r="D164" s="8"/>
      <c r="E164" s="9" t="s">
        <v>172</v>
      </c>
      <c r="F164" s="5">
        <v>3</v>
      </c>
      <c r="G164" s="6">
        <v>0</v>
      </c>
      <c r="H164" s="7" t="s">
        <v>224</v>
      </c>
      <c r="I164" s="10"/>
      <c r="J164" s="8"/>
      <c r="K164" s="9" t="s">
        <v>198</v>
      </c>
      <c r="L164" s="5">
        <v>3</v>
      </c>
      <c r="M164" s="6">
        <v>1</v>
      </c>
      <c r="N164" s="7" t="str">
        <f t="shared" si="134"/>
        <v/>
      </c>
      <c r="O164" s="10"/>
      <c r="P164" s="24"/>
      <c r="Q164" s="13"/>
      <c r="T164" s="121" t="str">
        <f t="shared" si="135"/>
        <v/>
      </c>
      <c r="U164" s="118">
        <f t="shared" si="136"/>
        <v>0</v>
      </c>
      <c r="V164" s="117">
        <f t="shared" si="137"/>
        <v>0</v>
      </c>
      <c r="W164" s="117">
        <f t="shared" si="138"/>
        <v>1</v>
      </c>
      <c r="X164" s="117">
        <f t="shared" si="139"/>
        <v>3</v>
      </c>
      <c r="Y164" s="117">
        <f t="shared" si="140"/>
        <v>0</v>
      </c>
      <c r="Z164" s="117">
        <f t="shared" si="141"/>
        <v>0</v>
      </c>
      <c r="AA164" s="117">
        <f t="shared" si="142"/>
        <v>0</v>
      </c>
      <c r="AC164" s="121" t="str">
        <f t="shared" si="143"/>
        <v/>
      </c>
      <c r="AD164" s="118">
        <f t="shared" si="144"/>
        <v>0</v>
      </c>
      <c r="AE164" s="117">
        <f t="shared" si="145"/>
        <v>0</v>
      </c>
      <c r="AF164" s="117">
        <f t="shared" si="146"/>
        <v>1</v>
      </c>
      <c r="AG164" s="117">
        <f t="shared" si="147"/>
        <v>2</v>
      </c>
      <c r="AH164" s="117">
        <f t="shared" si="148"/>
        <v>0</v>
      </c>
      <c r="AI164" s="117">
        <f t="shared" si="149"/>
        <v>0</v>
      </c>
      <c r="AJ164" s="117">
        <f t="shared" si="150"/>
        <v>0</v>
      </c>
    </row>
    <row r="165" spans="2:36" ht="16.5" customHeight="1">
      <c r="B165" s="12"/>
      <c r="C165" s="12"/>
      <c r="D165" s="4"/>
      <c r="E165" s="4" t="s">
        <v>173</v>
      </c>
      <c r="F165" s="5">
        <v>3</v>
      </c>
      <c r="G165" s="6">
        <v>1</v>
      </c>
      <c r="H165" s="7" t="s">
        <v>224</v>
      </c>
      <c r="I165" s="7"/>
      <c r="J165" s="4"/>
      <c r="K165" s="4" t="s">
        <v>199</v>
      </c>
      <c r="L165" s="5">
        <v>2</v>
      </c>
      <c r="M165" s="6">
        <v>1</v>
      </c>
      <c r="N165" s="7" t="str">
        <f t="shared" si="134"/>
        <v/>
      </c>
      <c r="O165" s="7"/>
      <c r="P165" s="24"/>
      <c r="Q165" s="13"/>
      <c r="T165" s="121" t="str">
        <f t="shared" si="135"/>
        <v/>
      </c>
      <c r="U165" s="118">
        <f t="shared" si="136"/>
        <v>0</v>
      </c>
      <c r="V165" s="117">
        <f t="shared" si="137"/>
        <v>0</v>
      </c>
      <c r="W165" s="117">
        <f t="shared" si="138"/>
        <v>1</v>
      </c>
      <c r="X165" s="117">
        <f t="shared" si="139"/>
        <v>2</v>
      </c>
      <c r="Y165" s="117">
        <f t="shared" si="140"/>
        <v>0</v>
      </c>
      <c r="Z165" s="117">
        <f t="shared" si="141"/>
        <v>0</v>
      </c>
      <c r="AA165" s="117">
        <f t="shared" si="142"/>
        <v>0</v>
      </c>
      <c r="AC165" s="121" t="str">
        <f t="shared" si="143"/>
        <v/>
      </c>
      <c r="AD165" s="118">
        <f t="shared" si="144"/>
        <v>0</v>
      </c>
      <c r="AE165" s="117">
        <f t="shared" si="145"/>
        <v>0</v>
      </c>
      <c r="AF165" s="117">
        <f t="shared" si="146"/>
        <v>1</v>
      </c>
      <c r="AG165" s="117">
        <f t="shared" si="147"/>
        <v>1</v>
      </c>
      <c r="AH165" s="117">
        <f t="shared" si="148"/>
        <v>0</v>
      </c>
      <c r="AI165" s="117">
        <f t="shared" si="149"/>
        <v>0</v>
      </c>
      <c r="AJ165" s="117">
        <f t="shared" si="150"/>
        <v>0</v>
      </c>
    </row>
    <row r="166" spans="2:36" ht="16.5" customHeight="1">
      <c r="B166" s="12"/>
      <c r="C166" s="12"/>
      <c r="D166" s="8"/>
      <c r="E166" s="9" t="s">
        <v>174</v>
      </c>
      <c r="F166" s="5">
        <v>2</v>
      </c>
      <c r="G166" s="6">
        <v>1</v>
      </c>
      <c r="H166" s="7" t="s">
        <v>224</v>
      </c>
      <c r="I166" s="10"/>
      <c r="J166" s="8"/>
      <c r="K166" s="9" t="s">
        <v>200</v>
      </c>
      <c r="L166" s="5">
        <v>2</v>
      </c>
      <c r="M166" s="6">
        <v>1</v>
      </c>
      <c r="N166" s="7" t="str">
        <f t="shared" si="134"/>
        <v/>
      </c>
      <c r="O166" s="10"/>
      <c r="P166" s="24"/>
      <c r="Q166" s="13"/>
      <c r="T166" s="121" t="str">
        <f t="shared" si="135"/>
        <v/>
      </c>
      <c r="U166" s="118">
        <f t="shared" si="136"/>
        <v>0</v>
      </c>
      <c r="V166" s="117">
        <f t="shared" si="137"/>
        <v>0</v>
      </c>
      <c r="W166" s="117">
        <f t="shared" si="138"/>
        <v>1</v>
      </c>
      <c r="X166" s="117">
        <f t="shared" si="139"/>
        <v>1</v>
      </c>
      <c r="Y166" s="117">
        <f t="shared" si="140"/>
        <v>0</v>
      </c>
      <c r="Z166" s="117">
        <f t="shared" si="141"/>
        <v>0</v>
      </c>
      <c r="AA166" s="117">
        <f t="shared" si="142"/>
        <v>0</v>
      </c>
      <c r="AC166" s="121" t="str">
        <f t="shared" si="143"/>
        <v/>
      </c>
      <c r="AD166" s="118">
        <f t="shared" si="144"/>
        <v>0</v>
      </c>
      <c r="AE166" s="117">
        <f t="shared" si="145"/>
        <v>0</v>
      </c>
      <c r="AF166" s="117">
        <f t="shared" si="146"/>
        <v>1</v>
      </c>
      <c r="AG166" s="117">
        <f t="shared" si="147"/>
        <v>1</v>
      </c>
      <c r="AH166" s="117">
        <f t="shared" si="148"/>
        <v>0</v>
      </c>
      <c r="AI166" s="117">
        <f t="shared" si="149"/>
        <v>0</v>
      </c>
      <c r="AJ166" s="117">
        <f t="shared" si="150"/>
        <v>0</v>
      </c>
    </row>
    <row r="167" spans="2:36" ht="16.5" customHeight="1">
      <c r="B167" s="12"/>
      <c r="C167" s="12"/>
      <c r="D167" s="4"/>
      <c r="E167" s="4" t="s">
        <v>175</v>
      </c>
      <c r="F167" s="5">
        <v>3</v>
      </c>
      <c r="G167" s="6">
        <v>1</v>
      </c>
      <c r="H167" s="7" t="s">
        <v>224</v>
      </c>
      <c r="I167" s="7"/>
      <c r="J167" s="4"/>
      <c r="K167" s="4" t="s">
        <v>201</v>
      </c>
      <c r="L167" s="5">
        <v>1</v>
      </c>
      <c r="M167" s="6">
        <v>1</v>
      </c>
      <c r="N167" s="7" t="str">
        <f t="shared" si="134"/>
        <v/>
      </c>
      <c r="O167" s="7"/>
      <c r="P167" s="24"/>
      <c r="Q167" s="13"/>
      <c r="T167" s="121" t="str">
        <f t="shared" si="135"/>
        <v/>
      </c>
      <c r="U167" s="118">
        <f t="shared" si="136"/>
        <v>0</v>
      </c>
      <c r="V167" s="117">
        <f t="shared" si="137"/>
        <v>0</v>
      </c>
      <c r="W167" s="117">
        <f t="shared" si="138"/>
        <v>1</v>
      </c>
      <c r="X167" s="117">
        <f t="shared" si="139"/>
        <v>2</v>
      </c>
      <c r="Y167" s="117">
        <f t="shared" si="140"/>
        <v>0</v>
      </c>
      <c r="Z167" s="117">
        <f t="shared" si="141"/>
        <v>0</v>
      </c>
      <c r="AA167" s="117">
        <f t="shared" si="142"/>
        <v>0</v>
      </c>
      <c r="AC167" s="121" t="str">
        <f t="shared" si="143"/>
        <v/>
      </c>
      <c r="AD167" s="118">
        <f t="shared" si="144"/>
        <v>0</v>
      </c>
      <c r="AE167" s="117">
        <f t="shared" si="145"/>
        <v>0</v>
      </c>
      <c r="AF167" s="117">
        <f t="shared" si="146"/>
        <v>0</v>
      </c>
      <c r="AG167" s="117">
        <f t="shared" si="147"/>
        <v>0</v>
      </c>
      <c r="AH167" s="117">
        <f t="shared" si="148"/>
        <v>3</v>
      </c>
      <c r="AI167" s="117">
        <f t="shared" si="149"/>
        <v>1</v>
      </c>
      <c r="AJ167" s="117">
        <f t="shared" si="150"/>
        <v>0</v>
      </c>
    </row>
    <row r="168" spans="2:36" ht="16.5" customHeight="1">
      <c r="B168" s="14"/>
      <c r="C168" s="14" t="s">
        <v>8</v>
      </c>
      <c r="D168" s="8"/>
      <c r="E168" s="9" t="s">
        <v>33</v>
      </c>
      <c r="F168" s="5">
        <v>3</v>
      </c>
      <c r="G168" s="6">
        <v>1</v>
      </c>
      <c r="H168" s="7" t="s">
        <v>224</v>
      </c>
      <c r="I168" s="10"/>
      <c r="J168" s="8"/>
      <c r="K168" s="9" t="s">
        <v>225</v>
      </c>
      <c r="L168" s="5">
        <v>2</v>
      </c>
      <c r="M168" s="6">
        <v>2</v>
      </c>
      <c r="N168" s="7" t="str">
        <f t="shared" si="134"/>
        <v/>
      </c>
      <c r="O168" s="10"/>
      <c r="P168" s="31" t="s">
        <v>16</v>
      </c>
      <c r="Q168" s="30"/>
      <c r="T168" s="121" t="str">
        <f t="shared" si="135"/>
        <v/>
      </c>
      <c r="U168" s="118">
        <f t="shared" si="136"/>
        <v>0</v>
      </c>
      <c r="V168" s="117">
        <f t="shared" si="137"/>
        <v>0</v>
      </c>
      <c r="W168" s="117">
        <f t="shared" si="138"/>
        <v>1</v>
      </c>
      <c r="X168" s="117">
        <f t="shared" si="139"/>
        <v>2</v>
      </c>
      <c r="Y168" s="117">
        <f t="shared" si="140"/>
        <v>0</v>
      </c>
      <c r="Z168" s="117">
        <f t="shared" si="141"/>
        <v>0</v>
      </c>
      <c r="AA168" s="117">
        <f t="shared" si="142"/>
        <v>0</v>
      </c>
      <c r="AC168" s="121" t="str">
        <f t="shared" si="143"/>
        <v/>
      </c>
      <c r="AD168" s="118">
        <f t="shared" si="144"/>
        <v>0</v>
      </c>
      <c r="AE168" s="117">
        <f t="shared" si="145"/>
        <v>0</v>
      </c>
      <c r="AF168" s="117">
        <f t="shared" si="146"/>
        <v>0</v>
      </c>
      <c r="AG168" s="117">
        <f t="shared" si="147"/>
        <v>0</v>
      </c>
      <c r="AH168" s="117">
        <f t="shared" si="148"/>
        <v>3</v>
      </c>
      <c r="AI168" s="117">
        <f t="shared" si="149"/>
        <v>1</v>
      </c>
      <c r="AJ168" s="117">
        <f t="shared" si="150"/>
        <v>0</v>
      </c>
    </row>
    <row r="169" spans="2:36" ht="16.5" customHeight="1">
      <c r="B169" s="14"/>
      <c r="C169" s="14"/>
      <c r="D169" s="4"/>
      <c r="E169" s="4" t="s">
        <v>176</v>
      </c>
      <c r="F169" s="5">
        <v>2</v>
      </c>
      <c r="G169" s="6">
        <v>1</v>
      </c>
      <c r="H169" s="7" t="s">
        <v>224</v>
      </c>
      <c r="I169" s="7"/>
      <c r="J169" s="4"/>
      <c r="K169" s="4" t="s">
        <v>203</v>
      </c>
      <c r="L169" s="5">
        <v>2</v>
      </c>
      <c r="M169" s="6">
        <v>2</v>
      </c>
      <c r="N169" s="7" t="str">
        <f t="shared" si="134"/>
        <v/>
      </c>
      <c r="O169" s="7"/>
      <c r="P169" s="31"/>
      <c r="Q169" s="30"/>
      <c r="T169" s="121" t="str">
        <f t="shared" si="135"/>
        <v/>
      </c>
      <c r="U169" s="118">
        <f t="shared" si="136"/>
        <v>0</v>
      </c>
      <c r="V169" s="117">
        <f t="shared" si="137"/>
        <v>0</v>
      </c>
      <c r="W169" s="117">
        <f t="shared" si="138"/>
        <v>1</v>
      </c>
      <c r="X169" s="117">
        <f t="shared" si="139"/>
        <v>1</v>
      </c>
      <c r="Y169" s="117">
        <f t="shared" si="140"/>
        <v>0</v>
      </c>
      <c r="Z169" s="117">
        <f t="shared" si="141"/>
        <v>0</v>
      </c>
      <c r="AA169" s="117">
        <f t="shared" si="142"/>
        <v>0</v>
      </c>
      <c r="AC169" s="121" t="str">
        <f t="shared" si="143"/>
        <v/>
      </c>
      <c r="AD169" s="118">
        <f t="shared" si="144"/>
        <v>0</v>
      </c>
      <c r="AE169" s="117">
        <f t="shared" si="145"/>
        <v>0</v>
      </c>
      <c r="AF169" s="117">
        <f t="shared" si="146"/>
        <v>0</v>
      </c>
      <c r="AG169" s="117">
        <f t="shared" si="147"/>
        <v>0</v>
      </c>
      <c r="AH169" s="117">
        <f t="shared" si="148"/>
        <v>3</v>
      </c>
      <c r="AI169" s="117">
        <f t="shared" si="149"/>
        <v>1</v>
      </c>
      <c r="AJ169" s="117">
        <f t="shared" si="150"/>
        <v>0</v>
      </c>
    </row>
    <row r="170" spans="2:36" ht="16.5" customHeight="1">
      <c r="B170" s="14"/>
      <c r="C170" s="14"/>
      <c r="D170" s="8"/>
      <c r="E170" s="9" t="s">
        <v>177</v>
      </c>
      <c r="F170" s="5">
        <v>3</v>
      </c>
      <c r="G170" s="6">
        <v>1</v>
      </c>
      <c r="H170" s="7" t="s">
        <v>224</v>
      </c>
      <c r="I170" s="10"/>
      <c r="J170" s="8"/>
      <c r="K170" s="9" t="s">
        <v>204</v>
      </c>
      <c r="L170" s="5">
        <v>2</v>
      </c>
      <c r="M170" s="6">
        <v>0</v>
      </c>
      <c r="N170" s="7" t="str">
        <f t="shared" si="134"/>
        <v/>
      </c>
      <c r="O170" s="10"/>
      <c r="P170" s="31"/>
      <c r="Q170" s="30"/>
      <c r="T170" s="121" t="str">
        <f t="shared" si="135"/>
        <v/>
      </c>
      <c r="U170" s="118">
        <f t="shared" si="136"/>
        <v>0</v>
      </c>
      <c r="V170" s="117">
        <f t="shared" si="137"/>
        <v>0</v>
      </c>
      <c r="W170" s="117">
        <f t="shared" si="138"/>
        <v>1</v>
      </c>
      <c r="X170" s="117">
        <f t="shared" si="139"/>
        <v>2</v>
      </c>
      <c r="Y170" s="117">
        <f t="shared" si="140"/>
        <v>0</v>
      </c>
      <c r="Z170" s="117">
        <f t="shared" si="141"/>
        <v>0</v>
      </c>
      <c r="AA170" s="117">
        <f t="shared" si="142"/>
        <v>0</v>
      </c>
      <c r="AC170" s="121" t="str">
        <f t="shared" si="143"/>
        <v/>
      </c>
      <c r="AD170" s="118">
        <f t="shared" si="144"/>
        <v>0</v>
      </c>
      <c r="AE170" s="117">
        <f t="shared" si="145"/>
        <v>0</v>
      </c>
      <c r="AF170" s="117">
        <f t="shared" si="146"/>
        <v>1</v>
      </c>
      <c r="AG170" s="117">
        <f t="shared" si="147"/>
        <v>2</v>
      </c>
      <c r="AH170" s="117">
        <f t="shared" si="148"/>
        <v>0</v>
      </c>
      <c r="AI170" s="117">
        <f t="shared" si="149"/>
        <v>0</v>
      </c>
      <c r="AJ170" s="117">
        <f t="shared" si="150"/>
        <v>0</v>
      </c>
    </row>
    <row r="171" spans="2:36" ht="16.5" customHeight="1">
      <c r="B171" s="14"/>
      <c r="C171" s="14"/>
      <c r="D171" s="4"/>
      <c r="E171" s="4" t="s">
        <v>178</v>
      </c>
      <c r="F171" s="5">
        <v>1</v>
      </c>
      <c r="G171" s="6">
        <v>2</v>
      </c>
      <c r="H171" s="7" t="s">
        <v>224</v>
      </c>
      <c r="I171" s="7"/>
      <c r="J171" s="4"/>
      <c r="K171" s="4" t="s">
        <v>223</v>
      </c>
      <c r="L171" s="5">
        <v>1</v>
      </c>
      <c r="M171" s="6">
        <v>2</v>
      </c>
      <c r="N171" s="7" t="str">
        <f t="shared" si="134"/>
        <v/>
      </c>
      <c r="O171" s="7"/>
      <c r="P171" s="31"/>
      <c r="Q171" s="30"/>
      <c r="T171" s="121" t="str">
        <f t="shared" si="135"/>
        <v/>
      </c>
      <c r="U171" s="118">
        <f t="shared" si="136"/>
        <v>0</v>
      </c>
      <c r="V171" s="117">
        <f t="shared" si="137"/>
        <v>0</v>
      </c>
      <c r="W171" s="117">
        <f t="shared" si="138"/>
        <v>2</v>
      </c>
      <c r="X171" s="117">
        <f t="shared" si="139"/>
        <v>-1</v>
      </c>
      <c r="Y171" s="117">
        <f t="shared" si="140"/>
        <v>0</v>
      </c>
      <c r="Z171" s="117">
        <f t="shared" si="141"/>
        <v>0</v>
      </c>
      <c r="AA171" s="117">
        <f t="shared" si="142"/>
        <v>0</v>
      </c>
      <c r="AC171" s="121" t="str">
        <f t="shared" si="143"/>
        <v/>
      </c>
      <c r="AD171" s="118">
        <f t="shared" si="144"/>
        <v>0</v>
      </c>
      <c r="AE171" s="117">
        <f t="shared" si="145"/>
        <v>0</v>
      </c>
      <c r="AF171" s="117">
        <f t="shared" si="146"/>
        <v>2</v>
      </c>
      <c r="AG171" s="117">
        <f t="shared" si="147"/>
        <v>-1</v>
      </c>
      <c r="AH171" s="117">
        <f t="shared" si="148"/>
        <v>0</v>
      </c>
      <c r="AI171" s="117">
        <f t="shared" si="149"/>
        <v>0</v>
      </c>
      <c r="AJ171" s="117">
        <f t="shared" si="150"/>
        <v>0</v>
      </c>
    </row>
    <row r="172" spans="2:36" ht="16.5" customHeight="1">
      <c r="B172" s="14"/>
      <c r="C172" s="14"/>
      <c r="D172" s="8"/>
      <c r="E172" s="9" t="s">
        <v>179</v>
      </c>
      <c r="F172" s="5">
        <v>2</v>
      </c>
      <c r="G172" s="6">
        <v>2</v>
      </c>
      <c r="H172" s="7" t="s">
        <v>224</v>
      </c>
      <c r="I172" s="10"/>
      <c r="J172" s="8"/>
      <c r="K172" s="9" t="s">
        <v>205</v>
      </c>
      <c r="L172" s="5">
        <v>2</v>
      </c>
      <c r="M172" s="6">
        <v>0</v>
      </c>
      <c r="N172" s="7" t="str">
        <f t="shared" si="134"/>
        <v/>
      </c>
      <c r="O172" s="10"/>
      <c r="P172" s="31"/>
      <c r="Q172" s="30"/>
      <c r="T172" s="121" t="str">
        <f t="shared" si="135"/>
        <v/>
      </c>
      <c r="U172" s="118">
        <f t="shared" si="136"/>
        <v>0</v>
      </c>
      <c r="V172" s="117">
        <f t="shared" si="137"/>
        <v>0</v>
      </c>
      <c r="W172" s="117">
        <f t="shared" si="138"/>
        <v>0</v>
      </c>
      <c r="X172" s="117">
        <f t="shared" si="139"/>
        <v>0</v>
      </c>
      <c r="Y172" s="117">
        <f t="shared" si="140"/>
        <v>3</v>
      </c>
      <c r="Z172" s="117">
        <f t="shared" si="141"/>
        <v>1</v>
      </c>
      <c r="AA172" s="117">
        <f t="shared" si="142"/>
        <v>0</v>
      </c>
      <c r="AC172" s="121" t="str">
        <f t="shared" si="143"/>
        <v/>
      </c>
      <c r="AD172" s="118">
        <f t="shared" si="144"/>
        <v>0</v>
      </c>
      <c r="AE172" s="117">
        <f t="shared" si="145"/>
        <v>0</v>
      </c>
      <c r="AF172" s="117">
        <f t="shared" si="146"/>
        <v>1</v>
      </c>
      <c r="AG172" s="117">
        <f t="shared" si="147"/>
        <v>2</v>
      </c>
      <c r="AH172" s="117">
        <f t="shared" si="148"/>
        <v>0</v>
      </c>
      <c r="AI172" s="117">
        <f t="shared" si="149"/>
        <v>0</v>
      </c>
      <c r="AJ172" s="117">
        <f t="shared" si="150"/>
        <v>0</v>
      </c>
    </row>
    <row r="173" spans="2:36" ht="16.5" customHeight="1">
      <c r="B173" s="14"/>
      <c r="C173" s="14"/>
      <c r="D173" s="4"/>
      <c r="E173" s="4" t="s">
        <v>180</v>
      </c>
      <c r="F173" s="5">
        <v>3</v>
      </c>
      <c r="G173" s="6">
        <v>1</v>
      </c>
      <c r="H173" s="7" t="s">
        <v>224</v>
      </c>
      <c r="I173" s="7"/>
      <c r="J173" s="4"/>
      <c r="K173" s="4" t="s">
        <v>206</v>
      </c>
      <c r="L173" s="5">
        <v>1</v>
      </c>
      <c r="M173" s="6">
        <v>0</v>
      </c>
      <c r="N173" s="7" t="str">
        <f t="shared" si="134"/>
        <v/>
      </c>
      <c r="O173" s="7"/>
      <c r="P173" s="31"/>
      <c r="Q173" s="30"/>
      <c r="T173" s="121" t="str">
        <f t="shared" si="135"/>
        <v/>
      </c>
      <c r="U173" s="118">
        <f t="shared" si="136"/>
        <v>0</v>
      </c>
      <c r="V173" s="117">
        <f t="shared" si="137"/>
        <v>0</v>
      </c>
      <c r="W173" s="117">
        <f t="shared" si="138"/>
        <v>1</v>
      </c>
      <c r="X173" s="117">
        <f t="shared" si="139"/>
        <v>2</v>
      </c>
      <c r="Y173" s="117">
        <f t="shared" si="140"/>
        <v>0</v>
      </c>
      <c r="Z173" s="117">
        <f t="shared" si="141"/>
        <v>0</v>
      </c>
      <c r="AA173" s="117">
        <f t="shared" si="142"/>
        <v>0</v>
      </c>
      <c r="AC173" s="121" t="str">
        <f t="shared" si="143"/>
        <v/>
      </c>
      <c r="AD173" s="118">
        <f t="shared" si="144"/>
        <v>0</v>
      </c>
      <c r="AE173" s="117">
        <f t="shared" si="145"/>
        <v>0</v>
      </c>
      <c r="AF173" s="117">
        <f t="shared" si="146"/>
        <v>1</v>
      </c>
      <c r="AG173" s="117">
        <f t="shared" si="147"/>
        <v>1</v>
      </c>
      <c r="AH173" s="117">
        <f t="shared" si="148"/>
        <v>0</v>
      </c>
      <c r="AI173" s="117">
        <f t="shared" si="149"/>
        <v>0</v>
      </c>
      <c r="AJ173" s="117">
        <f t="shared" si="150"/>
        <v>0</v>
      </c>
    </row>
    <row r="174" spans="2:36" ht="16.5" customHeight="1">
      <c r="B174" s="14"/>
      <c r="C174" s="14"/>
      <c r="D174" s="8"/>
      <c r="E174" s="9" t="s">
        <v>181</v>
      </c>
      <c r="F174" s="5">
        <v>2</v>
      </c>
      <c r="G174" s="6">
        <v>1</v>
      </c>
      <c r="H174" s="7" t="s">
        <v>224</v>
      </c>
      <c r="I174" s="10"/>
      <c r="J174" s="8"/>
      <c r="K174" s="9" t="s">
        <v>207</v>
      </c>
      <c r="L174" s="5">
        <v>3</v>
      </c>
      <c r="M174" s="6">
        <v>0</v>
      </c>
      <c r="N174" s="7" t="str">
        <f t="shared" si="134"/>
        <v/>
      </c>
      <c r="O174" s="10"/>
      <c r="P174" s="31"/>
      <c r="Q174" s="30"/>
      <c r="T174" s="121" t="str">
        <f t="shared" si="135"/>
        <v/>
      </c>
      <c r="U174" s="118">
        <f t="shared" si="136"/>
        <v>0</v>
      </c>
      <c r="V174" s="117">
        <f t="shared" si="137"/>
        <v>0</v>
      </c>
      <c r="W174" s="117">
        <f t="shared" si="138"/>
        <v>1</v>
      </c>
      <c r="X174" s="117">
        <f t="shared" si="139"/>
        <v>1</v>
      </c>
      <c r="Y174" s="117">
        <f t="shared" si="140"/>
        <v>0</v>
      </c>
      <c r="Z174" s="117">
        <f t="shared" si="141"/>
        <v>0</v>
      </c>
      <c r="AA174" s="117">
        <f t="shared" si="142"/>
        <v>0</v>
      </c>
      <c r="AC174" s="121" t="str">
        <f t="shared" si="143"/>
        <v/>
      </c>
      <c r="AD174" s="118">
        <f t="shared" si="144"/>
        <v>0</v>
      </c>
      <c r="AE174" s="117">
        <f t="shared" si="145"/>
        <v>0</v>
      </c>
      <c r="AF174" s="117">
        <f t="shared" si="146"/>
        <v>1</v>
      </c>
      <c r="AG174" s="117">
        <f t="shared" si="147"/>
        <v>3</v>
      </c>
      <c r="AH174" s="117">
        <f t="shared" si="148"/>
        <v>0</v>
      </c>
      <c r="AI174" s="117">
        <f t="shared" si="149"/>
        <v>0</v>
      </c>
      <c r="AJ174" s="117">
        <f t="shared" si="150"/>
        <v>0</v>
      </c>
    </row>
    <row r="175" spans="2:36" ht="16.5" customHeight="1">
      <c r="B175" s="11"/>
      <c r="C175" s="11" t="s">
        <v>9</v>
      </c>
      <c r="D175" s="4"/>
      <c r="E175" s="4" t="s">
        <v>182</v>
      </c>
      <c r="F175" s="5">
        <v>2</v>
      </c>
      <c r="G175" s="6">
        <v>0</v>
      </c>
      <c r="H175" s="7" t="s">
        <v>224</v>
      </c>
      <c r="I175" s="7"/>
      <c r="J175" s="4"/>
      <c r="K175" s="4" t="s">
        <v>208</v>
      </c>
      <c r="L175" s="5">
        <v>3</v>
      </c>
      <c r="M175" s="6">
        <v>1</v>
      </c>
      <c r="N175" s="7" t="str">
        <f t="shared" si="134"/>
        <v/>
      </c>
      <c r="O175" s="7"/>
      <c r="P175" s="36" t="s">
        <v>25</v>
      </c>
      <c r="Q175" s="35"/>
      <c r="T175" s="121" t="str">
        <f t="shared" si="135"/>
        <v/>
      </c>
      <c r="U175" s="118">
        <f t="shared" si="136"/>
        <v>0</v>
      </c>
      <c r="V175" s="117">
        <f t="shared" si="137"/>
        <v>0</v>
      </c>
      <c r="W175" s="117">
        <f t="shared" si="138"/>
        <v>1</v>
      </c>
      <c r="X175" s="117">
        <f t="shared" si="139"/>
        <v>2</v>
      </c>
      <c r="Y175" s="117">
        <f t="shared" si="140"/>
        <v>0</v>
      </c>
      <c r="Z175" s="117">
        <f t="shared" si="141"/>
        <v>0</v>
      </c>
      <c r="AA175" s="117">
        <f t="shared" si="142"/>
        <v>0</v>
      </c>
      <c r="AC175" s="121" t="str">
        <f t="shared" si="143"/>
        <v/>
      </c>
      <c r="AD175" s="118">
        <f t="shared" si="144"/>
        <v>0</v>
      </c>
      <c r="AE175" s="117">
        <f t="shared" si="145"/>
        <v>0</v>
      </c>
      <c r="AF175" s="117">
        <f t="shared" si="146"/>
        <v>1</v>
      </c>
      <c r="AG175" s="117">
        <f t="shared" si="147"/>
        <v>2</v>
      </c>
      <c r="AH175" s="117">
        <f t="shared" si="148"/>
        <v>0</v>
      </c>
      <c r="AI175" s="117">
        <f t="shared" si="149"/>
        <v>0</v>
      </c>
      <c r="AJ175" s="117">
        <f t="shared" si="150"/>
        <v>0</v>
      </c>
    </row>
    <row r="176" spans="2:36" ht="16.5" customHeight="1">
      <c r="B176" s="11"/>
      <c r="C176" s="11"/>
      <c r="D176" s="8"/>
      <c r="E176" s="9" t="s">
        <v>183</v>
      </c>
      <c r="F176" s="5">
        <v>2</v>
      </c>
      <c r="G176" s="6">
        <v>0</v>
      </c>
      <c r="H176" s="7" t="s">
        <v>224</v>
      </c>
      <c r="I176" s="10"/>
      <c r="J176" s="8"/>
      <c r="K176" s="9" t="s">
        <v>209</v>
      </c>
      <c r="L176" s="5">
        <v>2</v>
      </c>
      <c r="M176" s="6">
        <v>1</v>
      </c>
      <c r="N176" s="7" t="str">
        <f t="shared" si="134"/>
        <v/>
      </c>
      <c r="O176" s="10"/>
      <c r="P176" s="36"/>
      <c r="Q176" s="35"/>
      <c r="T176" s="121" t="str">
        <f t="shared" si="135"/>
        <v/>
      </c>
      <c r="U176" s="118">
        <f t="shared" si="136"/>
        <v>0</v>
      </c>
      <c r="V176" s="117">
        <f t="shared" si="137"/>
        <v>0</v>
      </c>
      <c r="W176" s="117">
        <f t="shared" si="138"/>
        <v>1</v>
      </c>
      <c r="X176" s="117">
        <f t="shared" si="139"/>
        <v>2</v>
      </c>
      <c r="Y176" s="117">
        <f t="shared" si="140"/>
        <v>0</v>
      </c>
      <c r="Z176" s="117">
        <f t="shared" si="141"/>
        <v>0</v>
      </c>
      <c r="AA176" s="117">
        <f t="shared" si="142"/>
        <v>0</v>
      </c>
      <c r="AC176" s="121" t="str">
        <f t="shared" si="143"/>
        <v/>
      </c>
      <c r="AD176" s="118">
        <f t="shared" si="144"/>
        <v>0</v>
      </c>
      <c r="AE176" s="117">
        <f t="shared" si="145"/>
        <v>0</v>
      </c>
      <c r="AF176" s="117">
        <f t="shared" si="146"/>
        <v>1</v>
      </c>
      <c r="AG176" s="117">
        <f t="shared" si="147"/>
        <v>1</v>
      </c>
      <c r="AH176" s="117">
        <f t="shared" si="148"/>
        <v>0</v>
      </c>
      <c r="AI176" s="117">
        <f t="shared" si="149"/>
        <v>0</v>
      </c>
      <c r="AJ176" s="117">
        <f t="shared" si="150"/>
        <v>0</v>
      </c>
    </row>
    <row r="177" spans="2:36" ht="16.5" customHeight="1">
      <c r="B177" s="11"/>
      <c r="C177" s="11"/>
      <c r="D177" s="4"/>
      <c r="E177" s="4" t="s">
        <v>184</v>
      </c>
      <c r="F177" s="5">
        <v>2</v>
      </c>
      <c r="G177" s="6">
        <v>1</v>
      </c>
      <c r="H177" s="7" t="s">
        <v>224</v>
      </c>
      <c r="I177" s="7"/>
      <c r="J177" s="4"/>
      <c r="K177" s="4" t="s">
        <v>210</v>
      </c>
      <c r="L177" s="5">
        <v>3</v>
      </c>
      <c r="M177" s="6">
        <v>2</v>
      </c>
      <c r="N177" s="7" t="str">
        <f t="shared" si="134"/>
        <v/>
      </c>
      <c r="O177" s="7"/>
      <c r="P177" s="36"/>
      <c r="Q177" s="35"/>
      <c r="T177" s="121" t="str">
        <f t="shared" si="135"/>
        <v/>
      </c>
      <c r="U177" s="118">
        <f t="shared" si="136"/>
        <v>0</v>
      </c>
      <c r="V177" s="117">
        <f t="shared" si="137"/>
        <v>0</v>
      </c>
      <c r="W177" s="117">
        <f t="shared" si="138"/>
        <v>1</v>
      </c>
      <c r="X177" s="117">
        <f t="shared" si="139"/>
        <v>1</v>
      </c>
      <c r="Y177" s="117">
        <f t="shared" si="140"/>
        <v>0</v>
      </c>
      <c r="Z177" s="117">
        <f t="shared" si="141"/>
        <v>0</v>
      </c>
      <c r="AA177" s="117">
        <f t="shared" si="142"/>
        <v>0</v>
      </c>
      <c r="AC177" s="121" t="str">
        <f t="shared" si="143"/>
        <v/>
      </c>
      <c r="AD177" s="118">
        <f t="shared" si="144"/>
        <v>0</v>
      </c>
      <c r="AE177" s="117">
        <f t="shared" si="145"/>
        <v>0</v>
      </c>
      <c r="AF177" s="117">
        <f t="shared" si="146"/>
        <v>1</v>
      </c>
      <c r="AG177" s="117">
        <f t="shared" si="147"/>
        <v>1</v>
      </c>
      <c r="AH177" s="117">
        <f t="shared" si="148"/>
        <v>0</v>
      </c>
      <c r="AI177" s="117">
        <f t="shared" si="149"/>
        <v>0</v>
      </c>
      <c r="AJ177" s="117">
        <f t="shared" si="150"/>
        <v>0</v>
      </c>
    </row>
    <row r="178" spans="2:36" ht="16.5" customHeight="1">
      <c r="B178" s="11"/>
      <c r="C178" s="11"/>
      <c r="D178" s="8"/>
      <c r="E178" s="9" t="s">
        <v>222</v>
      </c>
      <c r="F178" s="5">
        <v>4</v>
      </c>
      <c r="G178" s="6">
        <v>0</v>
      </c>
      <c r="H178" s="7" t="s">
        <v>224</v>
      </c>
      <c r="I178" s="10"/>
      <c r="J178" s="8"/>
      <c r="K178" s="9" t="s">
        <v>211</v>
      </c>
      <c r="L178" s="5">
        <v>3</v>
      </c>
      <c r="M178" s="6">
        <v>0</v>
      </c>
      <c r="N178" s="7" t="str">
        <f t="shared" si="134"/>
        <v/>
      </c>
      <c r="O178" s="10"/>
      <c r="P178" s="36"/>
      <c r="Q178" s="35"/>
      <c r="T178" s="121" t="str">
        <f t="shared" si="135"/>
        <v/>
      </c>
      <c r="U178" s="118">
        <f t="shared" si="136"/>
        <v>0</v>
      </c>
      <c r="V178" s="117">
        <f t="shared" si="137"/>
        <v>0</v>
      </c>
      <c r="W178" s="117">
        <f t="shared" si="138"/>
        <v>1</v>
      </c>
      <c r="X178" s="117">
        <f t="shared" si="139"/>
        <v>4</v>
      </c>
      <c r="Y178" s="117">
        <f t="shared" si="140"/>
        <v>0</v>
      </c>
      <c r="Z178" s="117">
        <f t="shared" si="141"/>
        <v>0</v>
      </c>
      <c r="AA178" s="117">
        <f t="shared" si="142"/>
        <v>0</v>
      </c>
      <c r="AC178" s="121" t="str">
        <f t="shared" si="143"/>
        <v/>
      </c>
      <c r="AD178" s="118">
        <f t="shared" si="144"/>
        <v>0</v>
      </c>
      <c r="AE178" s="117">
        <f t="shared" si="145"/>
        <v>0</v>
      </c>
      <c r="AF178" s="117">
        <f t="shared" si="146"/>
        <v>1</v>
      </c>
      <c r="AG178" s="117">
        <f t="shared" si="147"/>
        <v>3</v>
      </c>
      <c r="AH178" s="117">
        <f t="shared" si="148"/>
        <v>0</v>
      </c>
      <c r="AI178" s="117">
        <f t="shared" si="149"/>
        <v>0</v>
      </c>
      <c r="AJ178" s="117">
        <f t="shared" si="150"/>
        <v>0</v>
      </c>
    </row>
    <row r="179" spans="2:36" ht="16.5" customHeight="1">
      <c r="B179" s="11"/>
      <c r="C179" s="11"/>
      <c r="D179" s="4"/>
      <c r="E179" s="4" t="s">
        <v>185</v>
      </c>
      <c r="F179" s="5">
        <v>2</v>
      </c>
      <c r="G179" s="6">
        <v>1</v>
      </c>
      <c r="H179" s="7" t="s">
        <v>224</v>
      </c>
      <c r="I179" s="7"/>
      <c r="J179" s="4"/>
      <c r="K179" s="4" t="s">
        <v>212</v>
      </c>
      <c r="L179" s="5">
        <v>2</v>
      </c>
      <c r="M179" s="6">
        <v>1</v>
      </c>
      <c r="N179" s="7" t="str">
        <f t="shared" si="134"/>
        <v/>
      </c>
      <c r="O179" s="7"/>
      <c r="P179" s="36"/>
      <c r="Q179" s="35"/>
      <c r="T179" s="121" t="str">
        <f t="shared" si="135"/>
        <v/>
      </c>
      <c r="U179" s="118">
        <f t="shared" si="136"/>
        <v>0</v>
      </c>
      <c r="V179" s="117">
        <f t="shared" si="137"/>
        <v>0</v>
      </c>
      <c r="W179" s="117">
        <f t="shared" si="138"/>
        <v>1</v>
      </c>
      <c r="X179" s="117">
        <f t="shared" si="139"/>
        <v>1</v>
      </c>
      <c r="Y179" s="117">
        <f t="shared" si="140"/>
        <v>0</v>
      </c>
      <c r="Z179" s="117">
        <f t="shared" si="141"/>
        <v>0</v>
      </c>
      <c r="AA179" s="117">
        <f t="shared" si="142"/>
        <v>0</v>
      </c>
      <c r="AC179" s="121" t="str">
        <f t="shared" si="143"/>
        <v/>
      </c>
      <c r="AD179" s="118">
        <f t="shared" si="144"/>
        <v>0</v>
      </c>
      <c r="AE179" s="117">
        <f t="shared" si="145"/>
        <v>0</v>
      </c>
      <c r="AF179" s="117">
        <f t="shared" si="146"/>
        <v>1</v>
      </c>
      <c r="AG179" s="117">
        <f t="shared" si="147"/>
        <v>1</v>
      </c>
      <c r="AH179" s="117">
        <f t="shared" si="148"/>
        <v>0</v>
      </c>
      <c r="AI179" s="117">
        <f t="shared" si="149"/>
        <v>0</v>
      </c>
      <c r="AJ179" s="117">
        <f t="shared" si="150"/>
        <v>0</v>
      </c>
    </row>
    <row r="180" spans="2:36" ht="16.5" customHeight="1">
      <c r="B180" s="11"/>
      <c r="C180" s="11"/>
      <c r="D180" s="8"/>
      <c r="E180" s="9" t="s">
        <v>186</v>
      </c>
      <c r="F180" s="5">
        <v>3</v>
      </c>
      <c r="G180" s="6">
        <v>1</v>
      </c>
      <c r="H180" s="7" t="s">
        <v>224</v>
      </c>
      <c r="I180" s="10"/>
      <c r="J180" s="8"/>
      <c r="K180" s="9" t="s">
        <v>213</v>
      </c>
      <c r="L180" s="5">
        <v>3</v>
      </c>
      <c r="M180" s="6">
        <v>1</v>
      </c>
      <c r="N180" s="7" t="str">
        <f t="shared" si="134"/>
        <v/>
      </c>
      <c r="O180" s="10"/>
      <c r="P180" s="36"/>
      <c r="Q180" s="35"/>
      <c r="T180" s="121" t="str">
        <f t="shared" si="135"/>
        <v/>
      </c>
      <c r="U180" s="118">
        <f t="shared" si="136"/>
        <v>0</v>
      </c>
      <c r="V180" s="117">
        <f t="shared" si="137"/>
        <v>0</v>
      </c>
      <c r="W180" s="117">
        <f t="shared" si="138"/>
        <v>1</v>
      </c>
      <c r="X180" s="117">
        <f t="shared" si="139"/>
        <v>2</v>
      </c>
      <c r="Y180" s="117">
        <f t="shared" si="140"/>
        <v>0</v>
      </c>
      <c r="Z180" s="117">
        <f t="shared" si="141"/>
        <v>0</v>
      </c>
      <c r="AA180" s="117">
        <f t="shared" si="142"/>
        <v>0</v>
      </c>
      <c r="AC180" s="121" t="str">
        <f t="shared" si="143"/>
        <v/>
      </c>
      <c r="AD180" s="118">
        <f t="shared" si="144"/>
        <v>0</v>
      </c>
      <c r="AE180" s="117">
        <f t="shared" si="145"/>
        <v>0</v>
      </c>
      <c r="AF180" s="117">
        <f t="shared" si="146"/>
        <v>1</v>
      </c>
      <c r="AG180" s="117">
        <f t="shared" si="147"/>
        <v>2</v>
      </c>
      <c r="AH180" s="117">
        <f t="shared" si="148"/>
        <v>0</v>
      </c>
      <c r="AI180" s="117">
        <f t="shared" si="149"/>
        <v>0</v>
      </c>
      <c r="AJ180" s="117">
        <f t="shared" si="150"/>
        <v>0</v>
      </c>
    </row>
    <row r="181" spans="2:36" ht="16.5" customHeight="1">
      <c r="B181" s="11"/>
      <c r="C181" s="11"/>
      <c r="D181" s="4"/>
      <c r="E181" s="4" t="s">
        <v>187</v>
      </c>
      <c r="F181" s="5">
        <v>2</v>
      </c>
      <c r="G181" s="6">
        <v>2</v>
      </c>
      <c r="H181" s="7" t="s">
        <v>224</v>
      </c>
      <c r="I181" s="7"/>
      <c r="J181" s="4"/>
      <c r="K181" s="4" t="s">
        <v>214</v>
      </c>
      <c r="L181" s="5">
        <v>2</v>
      </c>
      <c r="M181" s="6">
        <v>1</v>
      </c>
      <c r="N181" s="7" t="str">
        <f t="shared" si="134"/>
        <v/>
      </c>
      <c r="O181" s="7"/>
      <c r="P181" s="36"/>
      <c r="Q181" s="35"/>
      <c r="T181" s="121" t="str">
        <f t="shared" si="135"/>
        <v/>
      </c>
      <c r="U181" s="118">
        <f t="shared" si="136"/>
        <v>0</v>
      </c>
      <c r="V181" s="117">
        <f t="shared" si="137"/>
        <v>0</v>
      </c>
      <c r="W181" s="117">
        <f t="shared" si="138"/>
        <v>0</v>
      </c>
      <c r="X181" s="117">
        <f t="shared" si="139"/>
        <v>0</v>
      </c>
      <c r="Y181" s="117">
        <f t="shared" si="140"/>
        <v>3</v>
      </c>
      <c r="Z181" s="117">
        <f t="shared" si="141"/>
        <v>1</v>
      </c>
      <c r="AA181" s="117">
        <f t="shared" si="142"/>
        <v>0</v>
      </c>
      <c r="AC181" s="121" t="str">
        <f t="shared" si="143"/>
        <v/>
      </c>
      <c r="AD181" s="118">
        <f t="shared" si="144"/>
        <v>0</v>
      </c>
      <c r="AE181" s="117">
        <f t="shared" si="145"/>
        <v>0</v>
      </c>
      <c r="AF181" s="117">
        <f t="shared" si="146"/>
        <v>1</v>
      </c>
      <c r="AG181" s="117">
        <f t="shared" si="147"/>
        <v>1</v>
      </c>
      <c r="AH181" s="117">
        <f t="shared" si="148"/>
        <v>0</v>
      </c>
      <c r="AI181" s="117">
        <f t="shared" si="149"/>
        <v>0</v>
      </c>
      <c r="AJ181" s="117">
        <f t="shared" si="150"/>
        <v>0</v>
      </c>
    </row>
    <row r="182" spans="2:36" ht="16.5" customHeight="1">
      <c r="B182" s="15"/>
      <c r="C182" s="15" t="s">
        <v>10</v>
      </c>
      <c r="D182" s="8"/>
      <c r="E182" s="9" t="s">
        <v>188</v>
      </c>
      <c r="F182" s="5">
        <v>2</v>
      </c>
      <c r="G182" s="6">
        <v>2</v>
      </c>
      <c r="H182" s="7" t="s">
        <v>224</v>
      </c>
      <c r="I182" s="10"/>
      <c r="J182" s="8"/>
      <c r="K182" s="9" t="s">
        <v>215</v>
      </c>
      <c r="L182" s="5">
        <v>2</v>
      </c>
      <c r="M182" s="6">
        <v>1</v>
      </c>
      <c r="N182" s="7" t="str">
        <f t="shared" si="134"/>
        <v/>
      </c>
      <c r="O182" s="10"/>
      <c r="P182" s="39" t="s">
        <v>26</v>
      </c>
      <c r="Q182" s="38"/>
      <c r="T182" s="121" t="str">
        <f t="shared" si="135"/>
        <v/>
      </c>
      <c r="U182" s="118">
        <f t="shared" si="136"/>
        <v>0</v>
      </c>
      <c r="V182" s="117">
        <f t="shared" si="137"/>
        <v>0</v>
      </c>
      <c r="W182" s="117">
        <f t="shared" si="138"/>
        <v>0</v>
      </c>
      <c r="X182" s="117">
        <f t="shared" si="139"/>
        <v>0</v>
      </c>
      <c r="Y182" s="117">
        <f t="shared" si="140"/>
        <v>3</v>
      </c>
      <c r="Z182" s="117">
        <f t="shared" si="141"/>
        <v>1</v>
      </c>
      <c r="AA182" s="117">
        <f t="shared" si="142"/>
        <v>0</v>
      </c>
      <c r="AC182" s="121" t="str">
        <f t="shared" si="143"/>
        <v/>
      </c>
      <c r="AD182" s="118">
        <f t="shared" si="144"/>
        <v>0</v>
      </c>
      <c r="AE182" s="117">
        <f t="shared" si="145"/>
        <v>0</v>
      </c>
      <c r="AF182" s="117">
        <f t="shared" si="146"/>
        <v>1</v>
      </c>
      <c r="AG182" s="117">
        <f t="shared" si="147"/>
        <v>1</v>
      </c>
      <c r="AH182" s="117">
        <f t="shared" si="148"/>
        <v>0</v>
      </c>
      <c r="AI182" s="117">
        <f t="shared" si="149"/>
        <v>0</v>
      </c>
      <c r="AJ182" s="117">
        <f t="shared" si="150"/>
        <v>0</v>
      </c>
    </row>
    <row r="183" spans="2:36" ht="16.5" customHeight="1">
      <c r="B183" s="15"/>
      <c r="C183" s="15"/>
      <c r="D183" s="4"/>
      <c r="E183" s="4" t="s">
        <v>189</v>
      </c>
      <c r="F183" s="5">
        <v>2</v>
      </c>
      <c r="G183" s="6">
        <v>2</v>
      </c>
      <c r="H183" s="7" t="s">
        <v>224</v>
      </c>
      <c r="I183" s="7"/>
      <c r="J183" s="4"/>
      <c r="K183" s="4" t="s">
        <v>216</v>
      </c>
      <c r="L183" s="5">
        <v>2</v>
      </c>
      <c r="M183" s="6">
        <v>0</v>
      </c>
      <c r="N183" s="7" t="str">
        <f t="shared" si="134"/>
        <v/>
      </c>
      <c r="O183" s="7"/>
      <c r="P183" s="39"/>
      <c r="Q183" s="38"/>
      <c r="T183" s="121" t="str">
        <f t="shared" si="135"/>
        <v/>
      </c>
      <c r="U183" s="118">
        <f t="shared" si="136"/>
        <v>0</v>
      </c>
      <c r="V183" s="117">
        <f t="shared" si="137"/>
        <v>0</v>
      </c>
      <c r="W183" s="117">
        <f t="shared" si="138"/>
        <v>0</v>
      </c>
      <c r="X183" s="117">
        <f t="shared" si="139"/>
        <v>0</v>
      </c>
      <c r="Y183" s="117">
        <f t="shared" si="140"/>
        <v>3</v>
      </c>
      <c r="Z183" s="117">
        <f t="shared" si="141"/>
        <v>1</v>
      </c>
      <c r="AA183" s="117">
        <f t="shared" si="142"/>
        <v>0</v>
      </c>
      <c r="AC183" s="121" t="str">
        <f t="shared" si="143"/>
        <v/>
      </c>
      <c r="AD183" s="118">
        <f t="shared" si="144"/>
        <v>0</v>
      </c>
      <c r="AE183" s="117">
        <f t="shared" si="145"/>
        <v>0</v>
      </c>
      <c r="AF183" s="117">
        <f t="shared" si="146"/>
        <v>1</v>
      </c>
      <c r="AG183" s="117">
        <f t="shared" si="147"/>
        <v>2</v>
      </c>
      <c r="AH183" s="117">
        <f t="shared" si="148"/>
        <v>0</v>
      </c>
      <c r="AI183" s="117">
        <f t="shared" si="149"/>
        <v>0</v>
      </c>
      <c r="AJ183" s="117">
        <f t="shared" si="150"/>
        <v>0</v>
      </c>
    </row>
    <row r="184" spans="2:36" ht="16.5" customHeight="1">
      <c r="B184" s="15"/>
      <c r="C184" s="15"/>
      <c r="D184" s="8"/>
      <c r="E184" s="9" t="s">
        <v>190</v>
      </c>
      <c r="F184" s="5">
        <v>4</v>
      </c>
      <c r="G184" s="6">
        <v>0</v>
      </c>
      <c r="H184" s="7" t="s">
        <v>224</v>
      </c>
      <c r="I184" s="10"/>
      <c r="J184" s="8"/>
      <c r="K184" s="9" t="s">
        <v>217</v>
      </c>
      <c r="L184" s="5">
        <v>2</v>
      </c>
      <c r="M184" s="6">
        <v>2</v>
      </c>
      <c r="N184" s="7" t="str">
        <f t="shared" si="134"/>
        <v/>
      </c>
      <c r="O184" s="10"/>
      <c r="P184" s="39"/>
      <c r="Q184" s="38"/>
      <c r="T184" s="121" t="str">
        <f t="shared" si="135"/>
        <v/>
      </c>
      <c r="U184" s="118">
        <f t="shared" si="136"/>
        <v>0</v>
      </c>
      <c r="V184" s="117">
        <f t="shared" si="137"/>
        <v>0</v>
      </c>
      <c r="W184" s="117">
        <f t="shared" si="138"/>
        <v>1</v>
      </c>
      <c r="X184" s="117">
        <f t="shared" si="139"/>
        <v>4</v>
      </c>
      <c r="Y184" s="117">
        <f t="shared" si="140"/>
        <v>0</v>
      </c>
      <c r="Z184" s="117">
        <f t="shared" si="141"/>
        <v>0</v>
      </c>
      <c r="AA184" s="117">
        <f t="shared" si="142"/>
        <v>0</v>
      </c>
      <c r="AC184" s="121" t="str">
        <f t="shared" si="143"/>
        <v/>
      </c>
      <c r="AD184" s="118">
        <f t="shared" si="144"/>
        <v>0</v>
      </c>
      <c r="AE184" s="117">
        <f t="shared" si="145"/>
        <v>0</v>
      </c>
      <c r="AF184" s="117">
        <f t="shared" si="146"/>
        <v>0</v>
      </c>
      <c r="AG184" s="117">
        <f t="shared" si="147"/>
        <v>0</v>
      </c>
      <c r="AH184" s="117">
        <f t="shared" si="148"/>
        <v>3</v>
      </c>
      <c r="AI184" s="117">
        <f t="shared" si="149"/>
        <v>1</v>
      </c>
      <c r="AJ184" s="117">
        <f t="shared" si="150"/>
        <v>0</v>
      </c>
    </row>
    <row r="185" spans="2:36" ht="16.5" customHeight="1">
      <c r="B185" s="15"/>
      <c r="C185" s="15"/>
      <c r="D185" s="4"/>
      <c r="E185" s="4" t="s">
        <v>191</v>
      </c>
      <c r="F185" s="5">
        <v>1</v>
      </c>
      <c r="G185" s="6">
        <v>0</v>
      </c>
      <c r="H185" s="7" t="s">
        <v>224</v>
      </c>
      <c r="I185" s="7"/>
      <c r="J185" s="4"/>
      <c r="K185" s="4" t="s">
        <v>218</v>
      </c>
      <c r="L185" s="5">
        <v>1</v>
      </c>
      <c r="M185" s="6">
        <v>1</v>
      </c>
      <c r="N185" s="7" t="str">
        <f t="shared" si="134"/>
        <v/>
      </c>
      <c r="O185" s="7"/>
      <c r="P185" s="39"/>
      <c r="Q185" s="38"/>
      <c r="T185" s="121" t="str">
        <f t="shared" si="135"/>
        <v/>
      </c>
      <c r="U185" s="118">
        <f t="shared" si="136"/>
        <v>0</v>
      </c>
      <c r="V185" s="117">
        <f t="shared" si="137"/>
        <v>0</v>
      </c>
      <c r="W185" s="117">
        <f t="shared" si="138"/>
        <v>1</v>
      </c>
      <c r="X185" s="117">
        <f t="shared" si="139"/>
        <v>1</v>
      </c>
      <c r="Y185" s="117">
        <f t="shared" si="140"/>
        <v>0</v>
      </c>
      <c r="Z185" s="117">
        <f t="shared" si="141"/>
        <v>0</v>
      </c>
      <c r="AA185" s="117">
        <f t="shared" si="142"/>
        <v>0</v>
      </c>
      <c r="AC185" s="121" t="str">
        <f t="shared" si="143"/>
        <v/>
      </c>
      <c r="AD185" s="118">
        <f t="shared" si="144"/>
        <v>0</v>
      </c>
      <c r="AE185" s="117">
        <f t="shared" si="145"/>
        <v>0</v>
      </c>
      <c r="AF185" s="117">
        <f t="shared" si="146"/>
        <v>0</v>
      </c>
      <c r="AG185" s="117">
        <f t="shared" si="147"/>
        <v>0</v>
      </c>
      <c r="AH185" s="117">
        <f t="shared" si="148"/>
        <v>3</v>
      </c>
      <c r="AI185" s="117">
        <f t="shared" si="149"/>
        <v>1</v>
      </c>
      <c r="AJ185" s="117">
        <f t="shared" si="150"/>
        <v>0</v>
      </c>
    </row>
    <row r="186" spans="2:36" ht="16.5" customHeight="1">
      <c r="B186" s="15"/>
      <c r="C186" s="15"/>
      <c r="D186" s="8"/>
      <c r="E186" s="9" t="s">
        <v>192</v>
      </c>
      <c r="F186" s="5">
        <v>3</v>
      </c>
      <c r="G186" s="6">
        <v>0</v>
      </c>
      <c r="H186" s="7" t="s">
        <v>224</v>
      </c>
      <c r="I186" s="10"/>
      <c r="J186" s="8"/>
      <c r="K186" s="9" t="s">
        <v>219</v>
      </c>
      <c r="L186" s="5">
        <v>3</v>
      </c>
      <c r="M186" s="6">
        <v>1</v>
      </c>
      <c r="N186" s="7" t="str">
        <f t="shared" si="134"/>
        <v/>
      </c>
      <c r="O186" s="10"/>
      <c r="P186" s="39"/>
      <c r="Q186" s="38"/>
      <c r="T186" s="121" t="str">
        <f t="shared" si="135"/>
        <v/>
      </c>
      <c r="U186" s="118">
        <f t="shared" si="136"/>
        <v>0</v>
      </c>
      <c r="V186" s="117">
        <f t="shared" si="137"/>
        <v>0</v>
      </c>
      <c r="W186" s="117">
        <f t="shared" si="138"/>
        <v>1</v>
      </c>
      <c r="X186" s="117">
        <f t="shared" si="139"/>
        <v>3</v>
      </c>
      <c r="Y186" s="117">
        <f t="shared" si="140"/>
        <v>0</v>
      </c>
      <c r="Z186" s="117">
        <f t="shared" si="141"/>
        <v>0</v>
      </c>
      <c r="AA186" s="117">
        <f t="shared" si="142"/>
        <v>0</v>
      </c>
      <c r="AC186" s="121" t="str">
        <f t="shared" si="143"/>
        <v/>
      </c>
      <c r="AD186" s="118">
        <f t="shared" si="144"/>
        <v>0</v>
      </c>
      <c r="AE186" s="117">
        <f t="shared" si="145"/>
        <v>0</v>
      </c>
      <c r="AF186" s="117">
        <f t="shared" si="146"/>
        <v>1</v>
      </c>
      <c r="AG186" s="117">
        <f t="shared" si="147"/>
        <v>2</v>
      </c>
      <c r="AH186" s="117">
        <f t="shared" si="148"/>
        <v>0</v>
      </c>
      <c r="AI186" s="117">
        <f t="shared" si="149"/>
        <v>0</v>
      </c>
      <c r="AJ186" s="117">
        <f t="shared" si="150"/>
        <v>0</v>
      </c>
    </row>
    <row r="187" spans="2:36" ht="16.5" customHeight="1">
      <c r="B187" s="15"/>
      <c r="C187" s="15"/>
      <c r="D187" s="4"/>
      <c r="E187" s="4" t="s">
        <v>193</v>
      </c>
      <c r="F187" s="5">
        <v>2</v>
      </c>
      <c r="G187" s="6">
        <v>1</v>
      </c>
      <c r="H187" s="7" t="s">
        <v>224</v>
      </c>
      <c r="I187" s="7"/>
      <c r="J187" s="4"/>
      <c r="K187" s="4" t="s">
        <v>220</v>
      </c>
      <c r="L187" s="5">
        <v>4</v>
      </c>
      <c r="M187" s="6">
        <v>1</v>
      </c>
      <c r="N187" s="7" t="str">
        <f t="shared" si="134"/>
        <v/>
      </c>
      <c r="O187" s="7"/>
      <c r="P187" s="39"/>
      <c r="Q187" s="38"/>
      <c r="T187" s="121" t="str">
        <f t="shared" si="135"/>
        <v/>
      </c>
      <c r="U187" s="118">
        <f t="shared" si="136"/>
        <v>0</v>
      </c>
      <c r="V187" s="117">
        <f t="shared" si="137"/>
        <v>0</v>
      </c>
      <c r="W187" s="117">
        <f t="shared" si="138"/>
        <v>1</v>
      </c>
      <c r="X187" s="117">
        <f t="shared" si="139"/>
        <v>1</v>
      </c>
      <c r="Y187" s="117">
        <f t="shared" si="140"/>
        <v>0</v>
      </c>
      <c r="Z187" s="117">
        <f t="shared" si="141"/>
        <v>0</v>
      </c>
      <c r="AA187" s="117">
        <f t="shared" si="142"/>
        <v>0</v>
      </c>
      <c r="AC187" s="121" t="str">
        <f t="shared" si="143"/>
        <v/>
      </c>
      <c r="AD187" s="118">
        <f t="shared" si="144"/>
        <v>0</v>
      </c>
      <c r="AE187" s="117">
        <f t="shared" si="145"/>
        <v>0</v>
      </c>
      <c r="AF187" s="117">
        <f t="shared" si="146"/>
        <v>1</v>
      </c>
      <c r="AG187" s="117">
        <f t="shared" si="147"/>
        <v>3</v>
      </c>
      <c r="AH187" s="117">
        <f t="shared" si="148"/>
        <v>0</v>
      </c>
      <c r="AI187" s="117">
        <f t="shared" si="149"/>
        <v>0</v>
      </c>
      <c r="AJ187" s="117">
        <f t="shared" si="150"/>
        <v>0</v>
      </c>
    </row>
    <row r="188" spans="2:36" ht="16.5" customHeight="1">
      <c r="B188" s="15"/>
      <c r="C188" s="15"/>
      <c r="D188" s="8"/>
      <c r="E188" s="9" t="s">
        <v>194</v>
      </c>
      <c r="F188" s="5">
        <v>2</v>
      </c>
      <c r="G188" s="6">
        <v>1</v>
      </c>
      <c r="H188" s="7" t="s">
        <v>224</v>
      </c>
      <c r="I188" s="10"/>
      <c r="J188" s="8"/>
      <c r="K188" s="9" t="s">
        <v>221</v>
      </c>
      <c r="L188" s="5">
        <v>2</v>
      </c>
      <c r="M188" s="6">
        <v>1</v>
      </c>
      <c r="N188" s="7" t="str">
        <f t="shared" si="134"/>
        <v/>
      </c>
      <c r="O188" s="10"/>
      <c r="P188" s="39"/>
      <c r="Q188" s="38"/>
      <c r="T188" s="121" t="str">
        <f t="shared" si="135"/>
        <v/>
      </c>
      <c r="U188" s="118">
        <f t="shared" si="136"/>
        <v>0</v>
      </c>
      <c r="V188" s="117">
        <f t="shared" si="137"/>
        <v>0</v>
      </c>
      <c r="W188" s="117">
        <f t="shared" si="138"/>
        <v>1</v>
      </c>
      <c r="X188" s="117">
        <f t="shared" si="139"/>
        <v>1</v>
      </c>
      <c r="Y188" s="117">
        <f t="shared" si="140"/>
        <v>0</v>
      </c>
      <c r="Z188" s="117">
        <f t="shared" si="141"/>
        <v>0</v>
      </c>
      <c r="AA188" s="117">
        <f t="shared" si="142"/>
        <v>0</v>
      </c>
      <c r="AC188" s="121" t="str">
        <f t="shared" si="143"/>
        <v/>
      </c>
      <c r="AD188" s="118">
        <f t="shared" si="144"/>
        <v>0</v>
      </c>
      <c r="AE188" s="117">
        <f t="shared" si="145"/>
        <v>0</v>
      </c>
      <c r="AF188" s="117">
        <f t="shared" si="146"/>
        <v>1</v>
      </c>
      <c r="AG188" s="117">
        <f t="shared" si="147"/>
        <v>1</v>
      </c>
      <c r="AH188" s="117">
        <f t="shared" si="148"/>
        <v>0</v>
      </c>
      <c r="AI188" s="117">
        <f t="shared" si="149"/>
        <v>0</v>
      </c>
      <c r="AJ188" s="117">
        <f t="shared" si="150"/>
        <v>0</v>
      </c>
    </row>
    <row r="189" spans="2:36" ht="16.5" customHeight="1">
      <c r="K189" s="3"/>
    </row>
    <row r="190" spans="2:36" ht="23.25">
      <c r="B190" s="33" t="s">
        <v>122</v>
      </c>
      <c r="D190" s="52"/>
      <c r="E190" s="55" t="s">
        <v>68</v>
      </c>
      <c r="F190" s="56"/>
      <c r="G190" s="57"/>
      <c r="H190" s="57"/>
      <c r="I190" s="56"/>
      <c r="J190" s="82"/>
      <c r="K190" s="82" t="s">
        <v>28</v>
      </c>
      <c r="M190" s="91"/>
      <c r="N190" s="92"/>
      <c r="O190" s="92"/>
      <c r="P190" s="93"/>
      <c r="Q190" s="92"/>
      <c r="R190" s="92"/>
    </row>
    <row r="191" spans="2:36" ht="16.5" customHeight="1">
      <c r="C191" s="1"/>
      <c r="D191" s="1"/>
      <c r="E191" s="1"/>
      <c r="H191" s="1"/>
      <c r="I191" s="1"/>
      <c r="J191" s="1"/>
      <c r="P191" s="1"/>
    </row>
    <row r="192" spans="2:36" ht="16.5" customHeight="1">
      <c r="B192" s="12"/>
      <c r="C192" s="12" t="s">
        <v>7</v>
      </c>
      <c r="D192" s="4"/>
      <c r="E192" s="4" t="s">
        <v>32</v>
      </c>
      <c r="F192" s="5">
        <v>0</v>
      </c>
      <c r="G192" s="6">
        <v>2</v>
      </c>
      <c r="H192" s="7" t="s">
        <v>224</v>
      </c>
      <c r="I192" s="7"/>
      <c r="J192" s="4"/>
      <c r="K192" s="4" t="s">
        <v>195</v>
      </c>
      <c r="L192" s="5">
        <v>0</v>
      </c>
      <c r="M192" s="6">
        <v>2</v>
      </c>
      <c r="N192" s="7" t="str">
        <f>AC192</f>
        <v/>
      </c>
      <c r="O192" s="7"/>
      <c r="P192" s="24" t="s">
        <v>13</v>
      </c>
      <c r="Q192" s="13"/>
      <c r="T192" s="121" t="str">
        <f>IF($G$190="","",SUM(Y192:AA192))</f>
        <v/>
      </c>
      <c r="U192" s="118">
        <f t="shared" ref="U192" si="151">IF(V192&gt;0,1,IF(V192=0,0,2))</f>
        <v>0</v>
      </c>
      <c r="V192" s="117">
        <f>$G$190-$H$190</f>
        <v>0</v>
      </c>
      <c r="W192" s="117">
        <f t="shared" ref="W192" si="152">IF(X192&gt;0,1,IF(X192=0,0,2))</f>
        <v>2</v>
      </c>
      <c r="X192" s="117">
        <f>F192-G192</f>
        <v>-2</v>
      </c>
      <c r="Y192" s="117">
        <f t="shared" ref="Y192" si="153">IF(U192=W192,3,0)</f>
        <v>0</v>
      </c>
      <c r="Z192" s="117">
        <f t="shared" ref="Z192" si="154">IF(V192=X192,1,0)</f>
        <v>0</v>
      </c>
      <c r="AA192" s="117">
        <f>IF(Z192=1,IF($G$190=F192,1,0),0)</f>
        <v>0</v>
      </c>
      <c r="AC192" s="121" t="str">
        <f>IF($G$190="","",SUM(AH192:AJ192))</f>
        <v/>
      </c>
      <c r="AD192" s="118">
        <f t="shared" ref="AD192" si="155">IF(AE192&gt;0,1,IF(AE192=0,0,2))</f>
        <v>0</v>
      </c>
      <c r="AE192" s="117">
        <f>$G$190-$H$190</f>
        <v>0</v>
      </c>
      <c r="AF192" s="117">
        <f t="shared" ref="AF192" si="156">IF(AG192&gt;0,1,IF(AG192=0,0,2))</f>
        <v>2</v>
      </c>
      <c r="AG192" s="117">
        <f>L192-M192</f>
        <v>-2</v>
      </c>
      <c r="AH192" s="117">
        <f t="shared" ref="AH192" si="157">IF(AD192=AF192,3,0)</f>
        <v>0</v>
      </c>
      <c r="AI192" s="117">
        <f t="shared" ref="AI192" si="158">IF(AE192=AG192,1,0)</f>
        <v>0</v>
      </c>
      <c r="AJ192" s="117">
        <f>IF(AI192=1,IF($G$190=L192,1,0),0)</f>
        <v>0</v>
      </c>
    </row>
    <row r="193" spans="2:36" ht="16.5" customHeight="1">
      <c r="B193" s="12"/>
      <c r="C193" s="12"/>
      <c r="D193" s="8"/>
      <c r="E193" s="9" t="s">
        <v>170</v>
      </c>
      <c r="F193" s="5">
        <v>0</v>
      </c>
      <c r="G193" s="6">
        <v>3</v>
      </c>
      <c r="H193" s="7" t="s">
        <v>224</v>
      </c>
      <c r="I193" s="10"/>
      <c r="J193" s="8"/>
      <c r="K193" s="9" t="s">
        <v>196</v>
      </c>
      <c r="L193" s="5">
        <v>0</v>
      </c>
      <c r="M193" s="6">
        <v>3</v>
      </c>
      <c r="N193" s="7" t="str">
        <f t="shared" ref="N193:N219" si="159">AC193</f>
        <v/>
      </c>
      <c r="O193" s="10"/>
      <c r="P193" s="24"/>
      <c r="Q193" s="13"/>
      <c r="T193" s="121" t="str">
        <f t="shared" ref="T193:T219" si="160">IF($G$190="","",SUM(Y193:AA193))</f>
        <v/>
      </c>
      <c r="U193" s="118">
        <f t="shared" ref="U193:U219" si="161">IF(V193&gt;0,1,IF(V193=0,0,2))</f>
        <v>0</v>
      </c>
      <c r="V193" s="117">
        <f t="shared" ref="V193:V219" si="162">$G$190-$H$190</f>
        <v>0</v>
      </c>
      <c r="W193" s="117">
        <f t="shared" ref="W193:W219" si="163">IF(X193&gt;0,1,IF(X193=0,0,2))</f>
        <v>2</v>
      </c>
      <c r="X193" s="117">
        <f t="shared" ref="X193:X219" si="164">F193-G193</f>
        <v>-3</v>
      </c>
      <c r="Y193" s="117">
        <f t="shared" ref="Y193:Y219" si="165">IF(U193=W193,3,0)</f>
        <v>0</v>
      </c>
      <c r="Z193" s="117">
        <f t="shared" ref="Z193:Z219" si="166">IF(V193=X193,1,0)</f>
        <v>0</v>
      </c>
      <c r="AA193" s="117">
        <f t="shared" ref="AA193:AA219" si="167">IF(Z193=1,IF($G$190=F193,1,0),0)</f>
        <v>0</v>
      </c>
      <c r="AC193" s="121" t="str">
        <f t="shared" ref="AC193:AC219" si="168">IF($G$190="","",SUM(AH193:AJ193))</f>
        <v/>
      </c>
      <c r="AD193" s="118">
        <f t="shared" ref="AD193:AD219" si="169">IF(AE193&gt;0,1,IF(AE193=0,0,2))</f>
        <v>0</v>
      </c>
      <c r="AE193" s="117">
        <f t="shared" ref="AE193:AE219" si="170">$G$190-$H$190</f>
        <v>0</v>
      </c>
      <c r="AF193" s="117">
        <f t="shared" ref="AF193:AF219" si="171">IF(AG193&gt;0,1,IF(AG193=0,0,2))</f>
        <v>2</v>
      </c>
      <c r="AG193" s="117">
        <f t="shared" ref="AG193:AG219" si="172">L193-M193</f>
        <v>-3</v>
      </c>
      <c r="AH193" s="117">
        <f t="shared" ref="AH193:AH219" si="173">IF(AD193=AF193,3,0)</f>
        <v>0</v>
      </c>
      <c r="AI193" s="117">
        <f t="shared" ref="AI193:AI219" si="174">IF(AE193=AG193,1,0)</f>
        <v>0</v>
      </c>
      <c r="AJ193" s="117">
        <f t="shared" ref="AJ193:AJ219" si="175">IF(AI193=1,IF($G$190=L193,1,0),0)</f>
        <v>0</v>
      </c>
    </row>
    <row r="194" spans="2:36" ht="16.5" customHeight="1">
      <c r="B194" s="12"/>
      <c r="C194" s="12"/>
      <c r="D194" s="4"/>
      <c r="E194" s="4" t="s">
        <v>171</v>
      </c>
      <c r="F194" s="5">
        <v>0</v>
      </c>
      <c r="G194" s="6">
        <v>3</v>
      </c>
      <c r="H194" s="7" t="s">
        <v>224</v>
      </c>
      <c r="I194" s="7"/>
      <c r="J194" s="4"/>
      <c r="K194" s="4" t="s">
        <v>197</v>
      </c>
      <c r="L194" s="5">
        <v>0</v>
      </c>
      <c r="M194" s="6">
        <v>1</v>
      </c>
      <c r="N194" s="7" t="str">
        <f t="shared" si="159"/>
        <v/>
      </c>
      <c r="O194" s="7"/>
      <c r="P194" s="24"/>
      <c r="Q194" s="13"/>
      <c r="T194" s="121" t="str">
        <f t="shared" si="160"/>
        <v/>
      </c>
      <c r="U194" s="118">
        <f t="shared" si="161"/>
        <v>0</v>
      </c>
      <c r="V194" s="117">
        <f t="shared" si="162"/>
        <v>0</v>
      </c>
      <c r="W194" s="117">
        <f t="shared" si="163"/>
        <v>2</v>
      </c>
      <c r="X194" s="117">
        <f t="shared" si="164"/>
        <v>-3</v>
      </c>
      <c r="Y194" s="117">
        <f t="shared" si="165"/>
        <v>0</v>
      </c>
      <c r="Z194" s="117">
        <f t="shared" si="166"/>
        <v>0</v>
      </c>
      <c r="AA194" s="117">
        <f t="shared" si="167"/>
        <v>0</v>
      </c>
      <c r="AC194" s="121" t="str">
        <f t="shared" si="168"/>
        <v/>
      </c>
      <c r="AD194" s="118">
        <f t="shared" si="169"/>
        <v>0</v>
      </c>
      <c r="AE194" s="117">
        <f t="shared" si="170"/>
        <v>0</v>
      </c>
      <c r="AF194" s="117">
        <f t="shared" si="171"/>
        <v>2</v>
      </c>
      <c r="AG194" s="117">
        <f t="shared" si="172"/>
        <v>-1</v>
      </c>
      <c r="AH194" s="117">
        <f t="shared" si="173"/>
        <v>0</v>
      </c>
      <c r="AI194" s="117">
        <f t="shared" si="174"/>
        <v>0</v>
      </c>
      <c r="AJ194" s="117">
        <f t="shared" si="175"/>
        <v>0</v>
      </c>
    </row>
    <row r="195" spans="2:36" ht="16.5" customHeight="1">
      <c r="B195" s="12"/>
      <c r="C195" s="12"/>
      <c r="D195" s="8"/>
      <c r="E195" s="9" t="s">
        <v>172</v>
      </c>
      <c r="F195" s="5">
        <v>0</v>
      </c>
      <c r="G195" s="6">
        <v>2</v>
      </c>
      <c r="H195" s="7" t="s">
        <v>224</v>
      </c>
      <c r="I195" s="10"/>
      <c r="J195" s="8"/>
      <c r="K195" s="9" t="s">
        <v>198</v>
      </c>
      <c r="L195" s="5">
        <v>0</v>
      </c>
      <c r="M195" s="6">
        <v>2</v>
      </c>
      <c r="N195" s="7" t="str">
        <f t="shared" si="159"/>
        <v/>
      </c>
      <c r="O195" s="10"/>
      <c r="P195" s="24"/>
      <c r="Q195" s="13"/>
      <c r="T195" s="121" t="str">
        <f t="shared" si="160"/>
        <v/>
      </c>
      <c r="U195" s="118">
        <f t="shared" si="161"/>
        <v>0</v>
      </c>
      <c r="V195" s="117">
        <f t="shared" si="162"/>
        <v>0</v>
      </c>
      <c r="W195" s="117">
        <f t="shared" si="163"/>
        <v>2</v>
      </c>
      <c r="X195" s="117">
        <f t="shared" si="164"/>
        <v>-2</v>
      </c>
      <c r="Y195" s="117">
        <f t="shared" si="165"/>
        <v>0</v>
      </c>
      <c r="Z195" s="117">
        <f t="shared" si="166"/>
        <v>0</v>
      </c>
      <c r="AA195" s="117">
        <f t="shared" si="167"/>
        <v>0</v>
      </c>
      <c r="AC195" s="121" t="str">
        <f t="shared" si="168"/>
        <v/>
      </c>
      <c r="AD195" s="118">
        <f t="shared" si="169"/>
        <v>0</v>
      </c>
      <c r="AE195" s="117">
        <f t="shared" si="170"/>
        <v>0</v>
      </c>
      <c r="AF195" s="117">
        <f t="shared" si="171"/>
        <v>2</v>
      </c>
      <c r="AG195" s="117">
        <f t="shared" si="172"/>
        <v>-2</v>
      </c>
      <c r="AH195" s="117">
        <f t="shared" si="173"/>
        <v>0</v>
      </c>
      <c r="AI195" s="117">
        <f t="shared" si="174"/>
        <v>0</v>
      </c>
      <c r="AJ195" s="117">
        <f t="shared" si="175"/>
        <v>0</v>
      </c>
    </row>
    <row r="196" spans="2:36" ht="16.5" customHeight="1">
      <c r="B196" s="12"/>
      <c r="C196" s="12"/>
      <c r="D196" s="4"/>
      <c r="E196" s="4" t="s">
        <v>173</v>
      </c>
      <c r="F196" s="5">
        <v>0</v>
      </c>
      <c r="G196" s="6">
        <v>2</v>
      </c>
      <c r="H196" s="7" t="s">
        <v>224</v>
      </c>
      <c r="I196" s="7"/>
      <c r="J196" s="4"/>
      <c r="K196" s="4" t="s">
        <v>199</v>
      </c>
      <c r="L196" s="5">
        <v>0</v>
      </c>
      <c r="M196" s="6">
        <v>2</v>
      </c>
      <c r="N196" s="7" t="str">
        <f t="shared" si="159"/>
        <v/>
      </c>
      <c r="O196" s="7"/>
      <c r="P196" s="24"/>
      <c r="Q196" s="13"/>
      <c r="T196" s="121" t="str">
        <f t="shared" si="160"/>
        <v/>
      </c>
      <c r="U196" s="118">
        <f t="shared" si="161"/>
        <v>0</v>
      </c>
      <c r="V196" s="117">
        <f t="shared" si="162"/>
        <v>0</v>
      </c>
      <c r="W196" s="117">
        <f t="shared" si="163"/>
        <v>2</v>
      </c>
      <c r="X196" s="117">
        <f t="shared" si="164"/>
        <v>-2</v>
      </c>
      <c r="Y196" s="117">
        <f t="shared" si="165"/>
        <v>0</v>
      </c>
      <c r="Z196" s="117">
        <f t="shared" si="166"/>
        <v>0</v>
      </c>
      <c r="AA196" s="117">
        <f t="shared" si="167"/>
        <v>0</v>
      </c>
      <c r="AC196" s="121" t="str">
        <f t="shared" si="168"/>
        <v/>
      </c>
      <c r="AD196" s="118">
        <f t="shared" si="169"/>
        <v>0</v>
      </c>
      <c r="AE196" s="117">
        <f t="shared" si="170"/>
        <v>0</v>
      </c>
      <c r="AF196" s="117">
        <f t="shared" si="171"/>
        <v>2</v>
      </c>
      <c r="AG196" s="117">
        <f t="shared" si="172"/>
        <v>-2</v>
      </c>
      <c r="AH196" s="117">
        <f t="shared" si="173"/>
        <v>0</v>
      </c>
      <c r="AI196" s="117">
        <f t="shared" si="174"/>
        <v>0</v>
      </c>
      <c r="AJ196" s="117">
        <f t="shared" si="175"/>
        <v>0</v>
      </c>
    </row>
    <row r="197" spans="2:36" ht="16.5" customHeight="1">
      <c r="B197" s="12"/>
      <c r="C197" s="12"/>
      <c r="D197" s="8"/>
      <c r="E197" s="9" t="s">
        <v>174</v>
      </c>
      <c r="F197" s="5">
        <v>0</v>
      </c>
      <c r="G197" s="6">
        <v>3</v>
      </c>
      <c r="H197" s="7" t="s">
        <v>224</v>
      </c>
      <c r="I197" s="10"/>
      <c r="J197" s="8"/>
      <c r="K197" s="9" t="s">
        <v>200</v>
      </c>
      <c r="L197" s="5">
        <v>0</v>
      </c>
      <c r="M197" s="6">
        <v>3</v>
      </c>
      <c r="N197" s="7" t="str">
        <f t="shared" si="159"/>
        <v/>
      </c>
      <c r="O197" s="10"/>
      <c r="P197" s="24"/>
      <c r="Q197" s="13"/>
      <c r="T197" s="121" t="str">
        <f t="shared" si="160"/>
        <v/>
      </c>
      <c r="U197" s="118">
        <f t="shared" si="161"/>
        <v>0</v>
      </c>
      <c r="V197" s="117">
        <f t="shared" si="162"/>
        <v>0</v>
      </c>
      <c r="W197" s="117">
        <f t="shared" si="163"/>
        <v>2</v>
      </c>
      <c r="X197" s="117">
        <f t="shared" si="164"/>
        <v>-3</v>
      </c>
      <c r="Y197" s="117">
        <f t="shared" si="165"/>
        <v>0</v>
      </c>
      <c r="Z197" s="117">
        <f t="shared" si="166"/>
        <v>0</v>
      </c>
      <c r="AA197" s="117">
        <f t="shared" si="167"/>
        <v>0</v>
      </c>
      <c r="AC197" s="121" t="str">
        <f t="shared" si="168"/>
        <v/>
      </c>
      <c r="AD197" s="118">
        <f t="shared" si="169"/>
        <v>0</v>
      </c>
      <c r="AE197" s="117">
        <f t="shared" si="170"/>
        <v>0</v>
      </c>
      <c r="AF197" s="117">
        <f t="shared" si="171"/>
        <v>2</v>
      </c>
      <c r="AG197" s="117">
        <f t="shared" si="172"/>
        <v>-3</v>
      </c>
      <c r="AH197" s="117">
        <f t="shared" si="173"/>
        <v>0</v>
      </c>
      <c r="AI197" s="117">
        <f t="shared" si="174"/>
        <v>0</v>
      </c>
      <c r="AJ197" s="117">
        <f t="shared" si="175"/>
        <v>0</v>
      </c>
    </row>
    <row r="198" spans="2:36" ht="16.5" customHeight="1">
      <c r="B198" s="12"/>
      <c r="C198" s="12"/>
      <c r="D198" s="4"/>
      <c r="E198" s="4" t="s">
        <v>175</v>
      </c>
      <c r="F198" s="5">
        <v>0</v>
      </c>
      <c r="G198" s="6">
        <v>1</v>
      </c>
      <c r="H198" s="7" t="s">
        <v>224</v>
      </c>
      <c r="I198" s="7"/>
      <c r="J198" s="4"/>
      <c r="K198" s="4" t="s">
        <v>201</v>
      </c>
      <c r="L198" s="5">
        <v>0</v>
      </c>
      <c r="M198" s="6">
        <v>2</v>
      </c>
      <c r="N198" s="7" t="str">
        <f t="shared" si="159"/>
        <v/>
      </c>
      <c r="O198" s="7"/>
      <c r="P198" s="24"/>
      <c r="Q198" s="13"/>
      <c r="T198" s="121" t="str">
        <f t="shared" si="160"/>
        <v/>
      </c>
      <c r="U198" s="118">
        <f t="shared" si="161"/>
        <v>0</v>
      </c>
      <c r="V198" s="117">
        <f t="shared" si="162"/>
        <v>0</v>
      </c>
      <c r="W198" s="117">
        <f t="shared" si="163"/>
        <v>2</v>
      </c>
      <c r="X198" s="117">
        <f t="shared" si="164"/>
        <v>-1</v>
      </c>
      <c r="Y198" s="117">
        <f t="shared" si="165"/>
        <v>0</v>
      </c>
      <c r="Z198" s="117">
        <f t="shared" si="166"/>
        <v>0</v>
      </c>
      <c r="AA198" s="117">
        <f t="shared" si="167"/>
        <v>0</v>
      </c>
      <c r="AC198" s="121" t="str">
        <f t="shared" si="168"/>
        <v/>
      </c>
      <c r="AD198" s="118">
        <f t="shared" si="169"/>
        <v>0</v>
      </c>
      <c r="AE198" s="117">
        <f t="shared" si="170"/>
        <v>0</v>
      </c>
      <c r="AF198" s="117">
        <f t="shared" si="171"/>
        <v>2</v>
      </c>
      <c r="AG198" s="117">
        <f t="shared" si="172"/>
        <v>-2</v>
      </c>
      <c r="AH198" s="117">
        <f t="shared" si="173"/>
        <v>0</v>
      </c>
      <c r="AI198" s="117">
        <f t="shared" si="174"/>
        <v>0</v>
      </c>
      <c r="AJ198" s="117">
        <f t="shared" si="175"/>
        <v>0</v>
      </c>
    </row>
    <row r="199" spans="2:36" ht="16.5" customHeight="1">
      <c r="B199" s="14"/>
      <c r="C199" s="14" t="s">
        <v>8</v>
      </c>
      <c r="D199" s="8"/>
      <c r="E199" s="9" t="s">
        <v>33</v>
      </c>
      <c r="F199" s="5">
        <v>0</v>
      </c>
      <c r="G199" s="6">
        <v>2</v>
      </c>
      <c r="H199" s="7" t="s">
        <v>224</v>
      </c>
      <c r="I199" s="10"/>
      <c r="J199" s="8"/>
      <c r="K199" s="9" t="s">
        <v>225</v>
      </c>
      <c r="L199" s="5">
        <v>0</v>
      </c>
      <c r="M199" s="6">
        <v>4</v>
      </c>
      <c r="N199" s="7" t="str">
        <f t="shared" si="159"/>
        <v/>
      </c>
      <c r="O199" s="10"/>
      <c r="P199" s="31" t="s">
        <v>16</v>
      </c>
      <c r="Q199" s="30"/>
      <c r="T199" s="121" t="str">
        <f t="shared" si="160"/>
        <v/>
      </c>
      <c r="U199" s="118">
        <f t="shared" si="161"/>
        <v>0</v>
      </c>
      <c r="V199" s="117">
        <f t="shared" si="162"/>
        <v>0</v>
      </c>
      <c r="W199" s="117">
        <f t="shared" si="163"/>
        <v>2</v>
      </c>
      <c r="X199" s="117">
        <f t="shared" si="164"/>
        <v>-2</v>
      </c>
      <c r="Y199" s="117">
        <f t="shared" si="165"/>
        <v>0</v>
      </c>
      <c r="Z199" s="117">
        <f t="shared" si="166"/>
        <v>0</v>
      </c>
      <c r="AA199" s="117">
        <f t="shared" si="167"/>
        <v>0</v>
      </c>
      <c r="AC199" s="121" t="str">
        <f t="shared" si="168"/>
        <v/>
      </c>
      <c r="AD199" s="118">
        <f t="shared" si="169"/>
        <v>0</v>
      </c>
      <c r="AE199" s="117">
        <f t="shared" si="170"/>
        <v>0</v>
      </c>
      <c r="AF199" s="117">
        <f t="shared" si="171"/>
        <v>2</v>
      </c>
      <c r="AG199" s="117">
        <f t="shared" si="172"/>
        <v>-4</v>
      </c>
      <c r="AH199" s="117">
        <f t="shared" si="173"/>
        <v>0</v>
      </c>
      <c r="AI199" s="117">
        <f t="shared" si="174"/>
        <v>0</v>
      </c>
      <c r="AJ199" s="117">
        <f t="shared" si="175"/>
        <v>0</v>
      </c>
    </row>
    <row r="200" spans="2:36" ht="16.5" customHeight="1">
      <c r="B200" s="14"/>
      <c r="C200" s="14"/>
      <c r="D200" s="4"/>
      <c r="E200" s="4" t="s">
        <v>176</v>
      </c>
      <c r="F200" s="5">
        <v>0</v>
      </c>
      <c r="G200" s="6">
        <v>3</v>
      </c>
      <c r="H200" s="7" t="s">
        <v>224</v>
      </c>
      <c r="I200" s="7"/>
      <c r="J200" s="4"/>
      <c r="K200" s="4" t="s">
        <v>203</v>
      </c>
      <c r="L200" s="5">
        <v>0</v>
      </c>
      <c r="M200" s="6">
        <v>3</v>
      </c>
      <c r="N200" s="7" t="str">
        <f t="shared" si="159"/>
        <v/>
      </c>
      <c r="O200" s="7"/>
      <c r="P200" s="31"/>
      <c r="Q200" s="30"/>
      <c r="T200" s="121" t="str">
        <f t="shared" si="160"/>
        <v/>
      </c>
      <c r="U200" s="118">
        <f t="shared" si="161"/>
        <v>0</v>
      </c>
      <c r="V200" s="117">
        <f t="shared" si="162"/>
        <v>0</v>
      </c>
      <c r="W200" s="117">
        <f t="shared" si="163"/>
        <v>2</v>
      </c>
      <c r="X200" s="117">
        <f t="shared" si="164"/>
        <v>-3</v>
      </c>
      <c r="Y200" s="117">
        <f t="shared" si="165"/>
        <v>0</v>
      </c>
      <c r="Z200" s="117">
        <f t="shared" si="166"/>
        <v>0</v>
      </c>
      <c r="AA200" s="117">
        <f t="shared" si="167"/>
        <v>0</v>
      </c>
      <c r="AC200" s="121" t="str">
        <f t="shared" si="168"/>
        <v/>
      </c>
      <c r="AD200" s="118">
        <f t="shared" si="169"/>
        <v>0</v>
      </c>
      <c r="AE200" s="117">
        <f t="shared" si="170"/>
        <v>0</v>
      </c>
      <c r="AF200" s="117">
        <f t="shared" si="171"/>
        <v>2</v>
      </c>
      <c r="AG200" s="117">
        <f t="shared" si="172"/>
        <v>-3</v>
      </c>
      <c r="AH200" s="117">
        <f t="shared" si="173"/>
        <v>0</v>
      </c>
      <c r="AI200" s="117">
        <f t="shared" si="174"/>
        <v>0</v>
      </c>
      <c r="AJ200" s="117">
        <f t="shared" si="175"/>
        <v>0</v>
      </c>
    </row>
    <row r="201" spans="2:36" ht="16.5" customHeight="1">
      <c r="B201" s="14"/>
      <c r="C201" s="14"/>
      <c r="D201" s="8"/>
      <c r="E201" s="9" t="s">
        <v>177</v>
      </c>
      <c r="F201" s="5">
        <v>0</v>
      </c>
      <c r="G201" s="6">
        <v>3</v>
      </c>
      <c r="H201" s="7" t="s">
        <v>224</v>
      </c>
      <c r="I201" s="10"/>
      <c r="J201" s="8"/>
      <c r="K201" s="9" t="s">
        <v>204</v>
      </c>
      <c r="L201" s="5">
        <v>0</v>
      </c>
      <c r="M201" s="6">
        <v>3</v>
      </c>
      <c r="N201" s="7" t="str">
        <f t="shared" si="159"/>
        <v/>
      </c>
      <c r="O201" s="10"/>
      <c r="P201" s="31"/>
      <c r="Q201" s="30"/>
      <c r="T201" s="121" t="str">
        <f t="shared" si="160"/>
        <v/>
      </c>
      <c r="U201" s="118">
        <f t="shared" si="161"/>
        <v>0</v>
      </c>
      <c r="V201" s="117">
        <f t="shared" si="162"/>
        <v>0</v>
      </c>
      <c r="W201" s="117">
        <f t="shared" si="163"/>
        <v>2</v>
      </c>
      <c r="X201" s="117">
        <f t="shared" si="164"/>
        <v>-3</v>
      </c>
      <c r="Y201" s="117">
        <f t="shared" si="165"/>
        <v>0</v>
      </c>
      <c r="Z201" s="117">
        <f t="shared" si="166"/>
        <v>0</v>
      </c>
      <c r="AA201" s="117">
        <f t="shared" si="167"/>
        <v>0</v>
      </c>
      <c r="AC201" s="121" t="str">
        <f t="shared" si="168"/>
        <v/>
      </c>
      <c r="AD201" s="118">
        <f t="shared" si="169"/>
        <v>0</v>
      </c>
      <c r="AE201" s="117">
        <f t="shared" si="170"/>
        <v>0</v>
      </c>
      <c r="AF201" s="117">
        <f t="shared" si="171"/>
        <v>2</v>
      </c>
      <c r="AG201" s="117">
        <f t="shared" si="172"/>
        <v>-3</v>
      </c>
      <c r="AH201" s="117">
        <f t="shared" si="173"/>
        <v>0</v>
      </c>
      <c r="AI201" s="117">
        <f t="shared" si="174"/>
        <v>0</v>
      </c>
      <c r="AJ201" s="117">
        <f t="shared" si="175"/>
        <v>0</v>
      </c>
    </row>
    <row r="202" spans="2:36" ht="16.5" customHeight="1">
      <c r="B202" s="14"/>
      <c r="C202" s="14"/>
      <c r="D202" s="4"/>
      <c r="E202" s="4" t="s">
        <v>178</v>
      </c>
      <c r="F202" s="5">
        <v>0</v>
      </c>
      <c r="G202" s="6">
        <v>3</v>
      </c>
      <c r="H202" s="7" t="s">
        <v>224</v>
      </c>
      <c r="I202" s="7"/>
      <c r="J202" s="4"/>
      <c r="K202" s="4" t="s">
        <v>223</v>
      </c>
      <c r="L202" s="5">
        <v>1</v>
      </c>
      <c r="M202" s="6">
        <v>2</v>
      </c>
      <c r="N202" s="7" t="str">
        <f t="shared" si="159"/>
        <v/>
      </c>
      <c r="O202" s="7"/>
      <c r="P202" s="31"/>
      <c r="Q202" s="30"/>
      <c r="T202" s="121" t="str">
        <f t="shared" si="160"/>
        <v/>
      </c>
      <c r="U202" s="118">
        <f t="shared" si="161"/>
        <v>0</v>
      </c>
      <c r="V202" s="117">
        <f t="shared" si="162"/>
        <v>0</v>
      </c>
      <c r="W202" s="117">
        <f t="shared" si="163"/>
        <v>2</v>
      </c>
      <c r="X202" s="117">
        <f t="shared" si="164"/>
        <v>-3</v>
      </c>
      <c r="Y202" s="117">
        <f t="shared" si="165"/>
        <v>0</v>
      </c>
      <c r="Z202" s="117">
        <f t="shared" si="166"/>
        <v>0</v>
      </c>
      <c r="AA202" s="117">
        <f t="shared" si="167"/>
        <v>0</v>
      </c>
      <c r="AC202" s="121" t="str">
        <f t="shared" si="168"/>
        <v/>
      </c>
      <c r="AD202" s="118">
        <f t="shared" si="169"/>
        <v>0</v>
      </c>
      <c r="AE202" s="117">
        <f t="shared" si="170"/>
        <v>0</v>
      </c>
      <c r="AF202" s="117">
        <f t="shared" si="171"/>
        <v>2</v>
      </c>
      <c r="AG202" s="117">
        <f t="shared" si="172"/>
        <v>-1</v>
      </c>
      <c r="AH202" s="117">
        <f t="shared" si="173"/>
        <v>0</v>
      </c>
      <c r="AI202" s="117">
        <f t="shared" si="174"/>
        <v>0</v>
      </c>
      <c r="AJ202" s="117">
        <f t="shared" si="175"/>
        <v>0</v>
      </c>
    </row>
    <row r="203" spans="2:36" ht="16.5" customHeight="1">
      <c r="B203" s="14"/>
      <c r="C203" s="14"/>
      <c r="D203" s="8"/>
      <c r="E203" s="9" t="s">
        <v>179</v>
      </c>
      <c r="F203" s="5">
        <v>0</v>
      </c>
      <c r="G203" s="6">
        <v>2</v>
      </c>
      <c r="H203" s="7" t="s">
        <v>224</v>
      </c>
      <c r="I203" s="10"/>
      <c r="J203" s="8"/>
      <c r="K203" s="9" t="s">
        <v>205</v>
      </c>
      <c r="L203" s="5">
        <v>0</v>
      </c>
      <c r="M203" s="6">
        <v>3</v>
      </c>
      <c r="N203" s="7" t="str">
        <f t="shared" si="159"/>
        <v/>
      </c>
      <c r="O203" s="10"/>
      <c r="P203" s="31"/>
      <c r="Q203" s="30"/>
      <c r="T203" s="121" t="str">
        <f t="shared" si="160"/>
        <v/>
      </c>
      <c r="U203" s="118">
        <f t="shared" si="161"/>
        <v>0</v>
      </c>
      <c r="V203" s="117">
        <f t="shared" si="162"/>
        <v>0</v>
      </c>
      <c r="W203" s="117">
        <f t="shared" si="163"/>
        <v>2</v>
      </c>
      <c r="X203" s="117">
        <f t="shared" si="164"/>
        <v>-2</v>
      </c>
      <c r="Y203" s="117">
        <f t="shared" si="165"/>
        <v>0</v>
      </c>
      <c r="Z203" s="117">
        <f t="shared" si="166"/>
        <v>0</v>
      </c>
      <c r="AA203" s="117">
        <f t="shared" si="167"/>
        <v>0</v>
      </c>
      <c r="AC203" s="121" t="str">
        <f t="shared" si="168"/>
        <v/>
      </c>
      <c r="AD203" s="118">
        <f t="shared" si="169"/>
        <v>0</v>
      </c>
      <c r="AE203" s="117">
        <f t="shared" si="170"/>
        <v>0</v>
      </c>
      <c r="AF203" s="117">
        <f t="shared" si="171"/>
        <v>2</v>
      </c>
      <c r="AG203" s="117">
        <f t="shared" si="172"/>
        <v>-3</v>
      </c>
      <c r="AH203" s="117">
        <f t="shared" si="173"/>
        <v>0</v>
      </c>
      <c r="AI203" s="117">
        <f t="shared" si="174"/>
        <v>0</v>
      </c>
      <c r="AJ203" s="117">
        <f t="shared" si="175"/>
        <v>0</v>
      </c>
    </row>
    <row r="204" spans="2:36" ht="16.5" customHeight="1">
      <c r="B204" s="14"/>
      <c r="C204" s="14"/>
      <c r="D204" s="4"/>
      <c r="E204" s="4" t="s">
        <v>180</v>
      </c>
      <c r="F204" s="5">
        <v>0</v>
      </c>
      <c r="G204" s="6">
        <v>4</v>
      </c>
      <c r="H204" s="7" t="s">
        <v>224</v>
      </c>
      <c r="I204" s="7"/>
      <c r="J204" s="4"/>
      <c r="K204" s="4" t="s">
        <v>206</v>
      </c>
      <c r="L204" s="5">
        <v>0</v>
      </c>
      <c r="M204" s="6">
        <v>2</v>
      </c>
      <c r="N204" s="7" t="str">
        <f t="shared" si="159"/>
        <v/>
      </c>
      <c r="O204" s="7"/>
      <c r="P204" s="31"/>
      <c r="Q204" s="30"/>
      <c r="T204" s="121" t="str">
        <f t="shared" si="160"/>
        <v/>
      </c>
      <c r="U204" s="118">
        <f t="shared" si="161"/>
        <v>0</v>
      </c>
      <c r="V204" s="117">
        <f t="shared" si="162"/>
        <v>0</v>
      </c>
      <c r="W204" s="117">
        <f t="shared" si="163"/>
        <v>2</v>
      </c>
      <c r="X204" s="117">
        <f t="shared" si="164"/>
        <v>-4</v>
      </c>
      <c r="Y204" s="117">
        <f t="shared" si="165"/>
        <v>0</v>
      </c>
      <c r="Z204" s="117">
        <f t="shared" si="166"/>
        <v>0</v>
      </c>
      <c r="AA204" s="117">
        <f t="shared" si="167"/>
        <v>0</v>
      </c>
      <c r="AC204" s="121" t="str">
        <f t="shared" si="168"/>
        <v/>
      </c>
      <c r="AD204" s="118">
        <f t="shared" si="169"/>
        <v>0</v>
      </c>
      <c r="AE204" s="117">
        <f t="shared" si="170"/>
        <v>0</v>
      </c>
      <c r="AF204" s="117">
        <f t="shared" si="171"/>
        <v>2</v>
      </c>
      <c r="AG204" s="117">
        <f t="shared" si="172"/>
        <v>-2</v>
      </c>
      <c r="AH204" s="117">
        <f t="shared" si="173"/>
        <v>0</v>
      </c>
      <c r="AI204" s="117">
        <f t="shared" si="174"/>
        <v>0</v>
      </c>
      <c r="AJ204" s="117">
        <f t="shared" si="175"/>
        <v>0</v>
      </c>
    </row>
    <row r="205" spans="2:36" ht="16.5" customHeight="1">
      <c r="B205" s="14"/>
      <c r="C205" s="14"/>
      <c r="D205" s="8"/>
      <c r="E205" s="9" t="s">
        <v>181</v>
      </c>
      <c r="F205" s="5">
        <v>0</v>
      </c>
      <c r="G205" s="6">
        <v>1</v>
      </c>
      <c r="H205" s="7" t="s">
        <v>224</v>
      </c>
      <c r="I205" s="10"/>
      <c r="J205" s="8"/>
      <c r="K205" s="9" t="s">
        <v>207</v>
      </c>
      <c r="L205" s="5">
        <v>0</v>
      </c>
      <c r="M205" s="6">
        <v>0</v>
      </c>
      <c r="N205" s="7" t="str">
        <f t="shared" si="159"/>
        <v/>
      </c>
      <c r="O205" s="10"/>
      <c r="P205" s="31"/>
      <c r="Q205" s="30"/>
      <c r="T205" s="121" t="str">
        <f t="shared" si="160"/>
        <v/>
      </c>
      <c r="U205" s="118">
        <f t="shared" si="161"/>
        <v>0</v>
      </c>
      <c r="V205" s="117">
        <f t="shared" si="162"/>
        <v>0</v>
      </c>
      <c r="W205" s="117">
        <f t="shared" si="163"/>
        <v>2</v>
      </c>
      <c r="X205" s="117">
        <f t="shared" si="164"/>
        <v>-1</v>
      </c>
      <c r="Y205" s="117">
        <f t="shared" si="165"/>
        <v>0</v>
      </c>
      <c r="Z205" s="117">
        <f t="shared" si="166"/>
        <v>0</v>
      </c>
      <c r="AA205" s="117">
        <f t="shared" si="167"/>
        <v>0</v>
      </c>
      <c r="AC205" s="121" t="str">
        <f t="shared" si="168"/>
        <v/>
      </c>
      <c r="AD205" s="118">
        <f t="shared" si="169"/>
        <v>0</v>
      </c>
      <c r="AE205" s="117">
        <f t="shared" si="170"/>
        <v>0</v>
      </c>
      <c r="AF205" s="117">
        <f t="shared" si="171"/>
        <v>0</v>
      </c>
      <c r="AG205" s="117">
        <f t="shared" si="172"/>
        <v>0</v>
      </c>
      <c r="AH205" s="117">
        <f t="shared" si="173"/>
        <v>3</v>
      </c>
      <c r="AI205" s="117">
        <f t="shared" si="174"/>
        <v>1</v>
      </c>
      <c r="AJ205" s="117">
        <f t="shared" si="175"/>
        <v>1</v>
      </c>
    </row>
    <row r="206" spans="2:36" ht="16.5" customHeight="1">
      <c r="B206" s="11"/>
      <c r="C206" s="11" t="s">
        <v>9</v>
      </c>
      <c r="D206" s="4"/>
      <c r="E206" s="4" t="s">
        <v>182</v>
      </c>
      <c r="F206" s="5">
        <v>0</v>
      </c>
      <c r="G206" s="6">
        <v>2</v>
      </c>
      <c r="H206" s="7" t="s">
        <v>224</v>
      </c>
      <c r="I206" s="7"/>
      <c r="J206" s="4"/>
      <c r="K206" s="4" t="s">
        <v>208</v>
      </c>
      <c r="L206" s="5">
        <v>0</v>
      </c>
      <c r="M206" s="6">
        <v>4</v>
      </c>
      <c r="N206" s="7" t="str">
        <f t="shared" si="159"/>
        <v/>
      </c>
      <c r="O206" s="7"/>
      <c r="P206" s="36" t="s">
        <v>25</v>
      </c>
      <c r="Q206" s="35"/>
      <c r="T206" s="121" t="str">
        <f t="shared" si="160"/>
        <v/>
      </c>
      <c r="U206" s="118">
        <f t="shared" si="161"/>
        <v>0</v>
      </c>
      <c r="V206" s="117">
        <f t="shared" si="162"/>
        <v>0</v>
      </c>
      <c r="W206" s="117">
        <f t="shared" si="163"/>
        <v>2</v>
      </c>
      <c r="X206" s="117">
        <f t="shared" si="164"/>
        <v>-2</v>
      </c>
      <c r="Y206" s="117">
        <f t="shared" si="165"/>
        <v>0</v>
      </c>
      <c r="Z206" s="117">
        <f t="shared" si="166"/>
        <v>0</v>
      </c>
      <c r="AA206" s="117">
        <f t="shared" si="167"/>
        <v>0</v>
      </c>
      <c r="AC206" s="121" t="str">
        <f t="shared" si="168"/>
        <v/>
      </c>
      <c r="AD206" s="118">
        <f t="shared" si="169"/>
        <v>0</v>
      </c>
      <c r="AE206" s="117">
        <f t="shared" si="170"/>
        <v>0</v>
      </c>
      <c r="AF206" s="117">
        <f t="shared" si="171"/>
        <v>2</v>
      </c>
      <c r="AG206" s="117">
        <f t="shared" si="172"/>
        <v>-4</v>
      </c>
      <c r="AH206" s="117">
        <f t="shared" si="173"/>
        <v>0</v>
      </c>
      <c r="AI206" s="117">
        <f t="shared" si="174"/>
        <v>0</v>
      </c>
      <c r="AJ206" s="117">
        <f t="shared" si="175"/>
        <v>0</v>
      </c>
    </row>
    <row r="207" spans="2:36" ht="16.5" customHeight="1">
      <c r="B207" s="11"/>
      <c r="C207" s="11"/>
      <c r="D207" s="8"/>
      <c r="E207" s="9" t="s">
        <v>183</v>
      </c>
      <c r="F207" s="5">
        <v>0</v>
      </c>
      <c r="G207" s="6">
        <v>1</v>
      </c>
      <c r="H207" s="7" t="s">
        <v>224</v>
      </c>
      <c r="I207" s="10"/>
      <c r="J207" s="8"/>
      <c r="K207" s="9" t="s">
        <v>209</v>
      </c>
      <c r="L207" s="5">
        <v>0</v>
      </c>
      <c r="M207" s="6">
        <v>3</v>
      </c>
      <c r="N207" s="7" t="str">
        <f t="shared" si="159"/>
        <v/>
      </c>
      <c r="O207" s="10"/>
      <c r="P207" s="36"/>
      <c r="Q207" s="35"/>
      <c r="T207" s="121" t="str">
        <f t="shared" si="160"/>
        <v/>
      </c>
      <c r="U207" s="118">
        <f t="shared" si="161"/>
        <v>0</v>
      </c>
      <c r="V207" s="117">
        <f t="shared" si="162"/>
        <v>0</v>
      </c>
      <c r="W207" s="117">
        <f t="shared" si="163"/>
        <v>2</v>
      </c>
      <c r="X207" s="117">
        <f t="shared" si="164"/>
        <v>-1</v>
      </c>
      <c r="Y207" s="117">
        <f t="shared" si="165"/>
        <v>0</v>
      </c>
      <c r="Z207" s="117">
        <f t="shared" si="166"/>
        <v>0</v>
      </c>
      <c r="AA207" s="117">
        <f t="shared" si="167"/>
        <v>0</v>
      </c>
      <c r="AC207" s="121" t="str">
        <f t="shared" si="168"/>
        <v/>
      </c>
      <c r="AD207" s="118">
        <f t="shared" si="169"/>
        <v>0</v>
      </c>
      <c r="AE207" s="117">
        <f t="shared" si="170"/>
        <v>0</v>
      </c>
      <c r="AF207" s="117">
        <f t="shared" si="171"/>
        <v>2</v>
      </c>
      <c r="AG207" s="117">
        <f t="shared" si="172"/>
        <v>-3</v>
      </c>
      <c r="AH207" s="117">
        <f t="shared" si="173"/>
        <v>0</v>
      </c>
      <c r="AI207" s="117">
        <f t="shared" si="174"/>
        <v>0</v>
      </c>
      <c r="AJ207" s="117">
        <f t="shared" si="175"/>
        <v>0</v>
      </c>
    </row>
    <row r="208" spans="2:36" ht="16.5" customHeight="1">
      <c r="B208" s="11"/>
      <c r="C208" s="11"/>
      <c r="D208" s="4"/>
      <c r="E208" s="4" t="s">
        <v>184</v>
      </c>
      <c r="F208" s="5">
        <v>0</v>
      </c>
      <c r="G208" s="6">
        <v>2</v>
      </c>
      <c r="H208" s="7" t="s">
        <v>224</v>
      </c>
      <c r="I208" s="7"/>
      <c r="J208" s="4"/>
      <c r="K208" s="4" t="s">
        <v>210</v>
      </c>
      <c r="L208" s="5">
        <v>0</v>
      </c>
      <c r="M208" s="6">
        <v>2</v>
      </c>
      <c r="N208" s="7" t="str">
        <f t="shared" si="159"/>
        <v/>
      </c>
      <c r="O208" s="7"/>
      <c r="P208" s="36"/>
      <c r="Q208" s="35"/>
      <c r="T208" s="121" t="str">
        <f t="shared" si="160"/>
        <v/>
      </c>
      <c r="U208" s="118">
        <f t="shared" si="161"/>
        <v>0</v>
      </c>
      <c r="V208" s="117">
        <f t="shared" si="162"/>
        <v>0</v>
      </c>
      <c r="W208" s="117">
        <f t="shared" si="163"/>
        <v>2</v>
      </c>
      <c r="X208" s="117">
        <f t="shared" si="164"/>
        <v>-2</v>
      </c>
      <c r="Y208" s="117">
        <f t="shared" si="165"/>
        <v>0</v>
      </c>
      <c r="Z208" s="117">
        <f t="shared" si="166"/>
        <v>0</v>
      </c>
      <c r="AA208" s="117">
        <f t="shared" si="167"/>
        <v>0</v>
      </c>
      <c r="AC208" s="121" t="str">
        <f t="shared" si="168"/>
        <v/>
      </c>
      <c r="AD208" s="118">
        <f t="shared" si="169"/>
        <v>0</v>
      </c>
      <c r="AE208" s="117">
        <f t="shared" si="170"/>
        <v>0</v>
      </c>
      <c r="AF208" s="117">
        <f t="shared" si="171"/>
        <v>2</v>
      </c>
      <c r="AG208" s="117">
        <f t="shared" si="172"/>
        <v>-2</v>
      </c>
      <c r="AH208" s="117">
        <f t="shared" si="173"/>
        <v>0</v>
      </c>
      <c r="AI208" s="117">
        <f t="shared" si="174"/>
        <v>0</v>
      </c>
      <c r="AJ208" s="117">
        <f t="shared" si="175"/>
        <v>0</v>
      </c>
    </row>
    <row r="209" spans="2:36" ht="16.5" customHeight="1">
      <c r="B209" s="11"/>
      <c r="C209" s="11"/>
      <c r="D209" s="8"/>
      <c r="E209" s="9" t="s">
        <v>222</v>
      </c>
      <c r="F209" s="5">
        <v>0</v>
      </c>
      <c r="G209" s="6">
        <v>3</v>
      </c>
      <c r="H209" s="7" t="s">
        <v>224</v>
      </c>
      <c r="I209" s="10"/>
      <c r="J209" s="8"/>
      <c r="K209" s="9" t="s">
        <v>211</v>
      </c>
      <c r="L209" s="5">
        <v>0</v>
      </c>
      <c r="M209" s="6">
        <v>0</v>
      </c>
      <c r="N209" s="7" t="str">
        <f t="shared" si="159"/>
        <v/>
      </c>
      <c r="O209" s="10"/>
      <c r="P209" s="36"/>
      <c r="Q209" s="35"/>
      <c r="T209" s="121" t="str">
        <f t="shared" si="160"/>
        <v/>
      </c>
      <c r="U209" s="118">
        <f t="shared" si="161"/>
        <v>0</v>
      </c>
      <c r="V209" s="117">
        <f t="shared" si="162"/>
        <v>0</v>
      </c>
      <c r="W209" s="117">
        <f t="shared" si="163"/>
        <v>2</v>
      </c>
      <c r="X209" s="117">
        <f t="shared" si="164"/>
        <v>-3</v>
      </c>
      <c r="Y209" s="117">
        <f t="shared" si="165"/>
        <v>0</v>
      </c>
      <c r="Z209" s="117">
        <f t="shared" si="166"/>
        <v>0</v>
      </c>
      <c r="AA209" s="117">
        <f t="shared" si="167"/>
        <v>0</v>
      </c>
      <c r="AC209" s="121" t="str">
        <f t="shared" si="168"/>
        <v/>
      </c>
      <c r="AD209" s="118">
        <f t="shared" si="169"/>
        <v>0</v>
      </c>
      <c r="AE209" s="117">
        <f t="shared" si="170"/>
        <v>0</v>
      </c>
      <c r="AF209" s="117">
        <f t="shared" si="171"/>
        <v>0</v>
      </c>
      <c r="AG209" s="117">
        <f t="shared" si="172"/>
        <v>0</v>
      </c>
      <c r="AH209" s="117">
        <f t="shared" si="173"/>
        <v>3</v>
      </c>
      <c r="AI209" s="117">
        <f t="shared" si="174"/>
        <v>1</v>
      </c>
      <c r="AJ209" s="117">
        <f t="shared" si="175"/>
        <v>1</v>
      </c>
    </row>
    <row r="210" spans="2:36" ht="16.5" customHeight="1">
      <c r="B210" s="11"/>
      <c r="C210" s="11"/>
      <c r="D210" s="4"/>
      <c r="E210" s="4" t="s">
        <v>185</v>
      </c>
      <c r="F210" s="5">
        <v>0</v>
      </c>
      <c r="G210" s="6">
        <v>2</v>
      </c>
      <c r="H210" s="7" t="s">
        <v>224</v>
      </c>
      <c r="I210" s="7"/>
      <c r="J210" s="4"/>
      <c r="K210" s="4" t="s">
        <v>212</v>
      </c>
      <c r="L210" s="5">
        <v>0</v>
      </c>
      <c r="M210" s="6">
        <v>0</v>
      </c>
      <c r="N210" s="7" t="str">
        <f t="shared" si="159"/>
        <v/>
      </c>
      <c r="O210" s="7"/>
      <c r="P210" s="36"/>
      <c r="Q210" s="35"/>
      <c r="T210" s="121" t="str">
        <f t="shared" si="160"/>
        <v/>
      </c>
      <c r="U210" s="118">
        <f t="shared" si="161"/>
        <v>0</v>
      </c>
      <c r="V210" s="117">
        <f t="shared" si="162"/>
        <v>0</v>
      </c>
      <c r="W210" s="117">
        <f t="shared" si="163"/>
        <v>2</v>
      </c>
      <c r="X210" s="117">
        <f t="shared" si="164"/>
        <v>-2</v>
      </c>
      <c r="Y210" s="117">
        <f t="shared" si="165"/>
        <v>0</v>
      </c>
      <c r="Z210" s="117">
        <f t="shared" si="166"/>
        <v>0</v>
      </c>
      <c r="AA210" s="117">
        <f t="shared" si="167"/>
        <v>0</v>
      </c>
      <c r="AC210" s="121" t="str">
        <f t="shared" si="168"/>
        <v/>
      </c>
      <c r="AD210" s="118">
        <f t="shared" si="169"/>
        <v>0</v>
      </c>
      <c r="AE210" s="117">
        <f t="shared" si="170"/>
        <v>0</v>
      </c>
      <c r="AF210" s="117">
        <f t="shared" si="171"/>
        <v>0</v>
      </c>
      <c r="AG210" s="117">
        <f t="shared" si="172"/>
        <v>0</v>
      </c>
      <c r="AH210" s="117">
        <f t="shared" si="173"/>
        <v>3</v>
      </c>
      <c r="AI210" s="117">
        <f t="shared" si="174"/>
        <v>1</v>
      </c>
      <c r="AJ210" s="117">
        <f t="shared" si="175"/>
        <v>1</v>
      </c>
    </row>
    <row r="211" spans="2:36" ht="16.5" customHeight="1">
      <c r="B211" s="11"/>
      <c r="C211" s="11"/>
      <c r="D211" s="8"/>
      <c r="E211" s="9" t="s">
        <v>186</v>
      </c>
      <c r="F211" s="5">
        <v>0</v>
      </c>
      <c r="G211" s="6">
        <v>4</v>
      </c>
      <c r="H211" s="7" t="s">
        <v>224</v>
      </c>
      <c r="I211" s="10"/>
      <c r="J211" s="8"/>
      <c r="K211" s="9" t="s">
        <v>213</v>
      </c>
      <c r="L211" s="5">
        <v>0</v>
      </c>
      <c r="M211" s="6">
        <v>1</v>
      </c>
      <c r="N211" s="7" t="str">
        <f t="shared" si="159"/>
        <v/>
      </c>
      <c r="O211" s="10"/>
      <c r="P211" s="36"/>
      <c r="Q211" s="35"/>
      <c r="T211" s="121" t="str">
        <f t="shared" si="160"/>
        <v/>
      </c>
      <c r="U211" s="118">
        <f t="shared" si="161"/>
        <v>0</v>
      </c>
      <c r="V211" s="117">
        <f t="shared" si="162"/>
        <v>0</v>
      </c>
      <c r="W211" s="117">
        <f t="shared" si="163"/>
        <v>2</v>
      </c>
      <c r="X211" s="117">
        <f t="shared" si="164"/>
        <v>-4</v>
      </c>
      <c r="Y211" s="117">
        <f t="shared" si="165"/>
        <v>0</v>
      </c>
      <c r="Z211" s="117">
        <f t="shared" si="166"/>
        <v>0</v>
      </c>
      <c r="AA211" s="117">
        <f t="shared" si="167"/>
        <v>0</v>
      </c>
      <c r="AC211" s="121" t="str">
        <f t="shared" si="168"/>
        <v/>
      </c>
      <c r="AD211" s="118">
        <f t="shared" si="169"/>
        <v>0</v>
      </c>
      <c r="AE211" s="117">
        <f t="shared" si="170"/>
        <v>0</v>
      </c>
      <c r="AF211" s="117">
        <f t="shared" si="171"/>
        <v>2</v>
      </c>
      <c r="AG211" s="117">
        <f t="shared" si="172"/>
        <v>-1</v>
      </c>
      <c r="AH211" s="117">
        <f t="shared" si="173"/>
        <v>0</v>
      </c>
      <c r="AI211" s="117">
        <f t="shared" si="174"/>
        <v>0</v>
      </c>
      <c r="AJ211" s="117">
        <f t="shared" si="175"/>
        <v>0</v>
      </c>
    </row>
    <row r="212" spans="2:36" ht="16.5" customHeight="1">
      <c r="B212" s="11"/>
      <c r="C212" s="11"/>
      <c r="D212" s="4"/>
      <c r="E212" s="4" t="s">
        <v>187</v>
      </c>
      <c r="F212" s="5">
        <v>0</v>
      </c>
      <c r="G212" s="6">
        <v>3</v>
      </c>
      <c r="H212" s="7" t="s">
        <v>224</v>
      </c>
      <c r="I212" s="7"/>
      <c r="J212" s="4"/>
      <c r="K212" s="4" t="s">
        <v>214</v>
      </c>
      <c r="L212" s="5">
        <v>0</v>
      </c>
      <c r="M212" s="6">
        <v>2</v>
      </c>
      <c r="N212" s="7" t="str">
        <f t="shared" si="159"/>
        <v/>
      </c>
      <c r="O212" s="7"/>
      <c r="P212" s="36"/>
      <c r="Q212" s="35"/>
      <c r="T212" s="121" t="str">
        <f t="shared" si="160"/>
        <v/>
      </c>
      <c r="U212" s="118">
        <f t="shared" si="161"/>
        <v>0</v>
      </c>
      <c r="V212" s="117">
        <f t="shared" si="162"/>
        <v>0</v>
      </c>
      <c r="W212" s="117">
        <f t="shared" si="163"/>
        <v>2</v>
      </c>
      <c r="X212" s="117">
        <f t="shared" si="164"/>
        <v>-3</v>
      </c>
      <c r="Y212" s="117">
        <f t="shared" si="165"/>
        <v>0</v>
      </c>
      <c r="Z212" s="117">
        <f t="shared" si="166"/>
        <v>0</v>
      </c>
      <c r="AA212" s="117">
        <f t="shared" si="167"/>
        <v>0</v>
      </c>
      <c r="AC212" s="121" t="str">
        <f t="shared" si="168"/>
        <v/>
      </c>
      <c r="AD212" s="118">
        <f t="shared" si="169"/>
        <v>0</v>
      </c>
      <c r="AE212" s="117">
        <f t="shared" si="170"/>
        <v>0</v>
      </c>
      <c r="AF212" s="117">
        <f t="shared" si="171"/>
        <v>2</v>
      </c>
      <c r="AG212" s="117">
        <f t="shared" si="172"/>
        <v>-2</v>
      </c>
      <c r="AH212" s="117">
        <f t="shared" si="173"/>
        <v>0</v>
      </c>
      <c r="AI212" s="117">
        <f t="shared" si="174"/>
        <v>0</v>
      </c>
      <c r="AJ212" s="117">
        <f t="shared" si="175"/>
        <v>0</v>
      </c>
    </row>
    <row r="213" spans="2:36" ht="16.5" customHeight="1">
      <c r="B213" s="15"/>
      <c r="C213" s="15" t="s">
        <v>10</v>
      </c>
      <c r="D213" s="8"/>
      <c r="E213" s="9" t="s">
        <v>188</v>
      </c>
      <c r="F213" s="5">
        <v>1</v>
      </c>
      <c r="G213" s="6">
        <v>3</v>
      </c>
      <c r="H213" s="7" t="s">
        <v>224</v>
      </c>
      <c r="I213" s="10"/>
      <c r="J213" s="8"/>
      <c r="K213" s="9" t="s">
        <v>215</v>
      </c>
      <c r="L213" s="5">
        <v>0</v>
      </c>
      <c r="M213" s="6">
        <v>2</v>
      </c>
      <c r="N213" s="7" t="str">
        <f t="shared" si="159"/>
        <v/>
      </c>
      <c r="O213" s="10"/>
      <c r="P213" s="39" t="s">
        <v>26</v>
      </c>
      <c r="Q213" s="38"/>
      <c r="T213" s="121" t="str">
        <f t="shared" si="160"/>
        <v/>
      </c>
      <c r="U213" s="118">
        <f t="shared" si="161"/>
        <v>0</v>
      </c>
      <c r="V213" s="117">
        <f t="shared" si="162"/>
        <v>0</v>
      </c>
      <c r="W213" s="117">
        <f t="shared" si="163"/>
        <v>2</v>
      </c>
      <c r="X213" s="117">
        <f t="shared" si="164"/>
        <v>-2</v>
      </c>
      <c r="Y213" s="117">
        <f t="shared" si="165"/>
        <v>0</v>
      </c>
      <c r="Z213" s="117">
        <f t="shared" si="166"/>
        <v>0</v>
      </c>
      <c r="AA213" s="117">
        <f t="shared" si="167"/>
        <v>0</v>
      </c>
      <c r="AC213" s="121" t="str">
        <f t="shared" si="168"/>
        <v/>
      </c>
      <c r="AD213" s="118">
        <f t="shared" si="169"/>
        <v>0</v>
      </c>
      <c r="AE213" s="117">
        <f t="shared" si="170"/>
        <v>0</v>
      </c>
      <c r="AF213" s="117">
        <f t="shared" si="171"/>
        <v>2</v>
      </c>
      <c r="AG213" s="117">
        <f t="shared" si="172"/>
        <v>-2</v>
      </c>
      <c r="AH213" s="117">
        <f t="shared" si="173"/>
        <v>0</v>
      </c>
      <c r="AI213" s="117">
        <f t="shared" si="174"/>
        <v>0</v>
      </c>
      <c r="AJ213" s="117">
        <f t="shared" si="175"/>
        <v>0</v>
      </c>
    </row>
    <row r="214" spans="2:36" ht="16.5" customHeight="1">
      <c r="B214" s="15"/>
      <c r="C214" s="15"/>
      <c r="D214" s="4"/>
      <c r="E214" s="4" t="s">
        <v>189</v>
      </c>
      <c r="F214" s="5">
        <v>0</v>
      </c>
      <c r="G214" s="6">
        <v>4</v>
      </c>
      <c r="H214" s="7" t="s">
        <v>224</v>
      </c>
      <c r="I214" s="7"/>
      <c r="J214" s="4"/>
      <c r="K214" s="4" t="s">
        <v>216</v>
      </c>
      <c r="L214" s="5">
        <v>1</v>
      </c>
      <c r="M214" s="6">
        <v>2</v>
      </c>
      <c r="N214" s="7" t="str">
        <f t="shared" si="159"/>
        <v/>
      </c>
      <c r="O214" s="7"/>
      <c r="P214" s="39"/>
      <c r="Q214" s="38"/>
      <c r="T214" s="121" t="str">
        <f t="shared" si="160"/>
        <v/>
      </c>
      <c r="U214" s="118">
        <f t="shared" si="161"/>
        <v>0</v>
      </c>
      <c r="V214" s="117">
        <f t="shared" si="162"/>
        <v>0</v>
      </c>
      <c r="W214" s="117">
        <f t="shared" si="163"/>
        <v>2</v>
      </c>
      <c r="X214" s="117">
        <f t="shared" si="164"/>
        <v>-4</v>
      </c>
      <c r="Y214" s="117">
        <f t="shared" si="165"/>
        <v>0</v>
      </c>
      <c r="Z214" s="117">
        <f t="shared" si="166"/>
        <v>0</v>
      </c>
      <c r="AA214" s="117">
        <f t="shared" si="167"/>
        <v>0</v>
      </c>
      <c r="AC214" s="121" t="str">
        <f t="shared" si="168"/>
        <v/>
      </c>
      <c r="AD214" s="118">
        <f t="shared" si="169"/>
        <v>0</v>
      </c>
      <c r="AE214" s="117">
        <f t="shared" si="170"/>
        <v>0</v>
      </c>
      <c r="AF214" s="117">
        <f t="shared" si="171"/>
        <v>2</v>
      </c>
      <c r="AG214" s="117">
        <f t="shared" si="172"/>
        <v>-1</v>
      </c>
      <c r="AH214" s="117">
        <f t="shared" si="173"/>
        <v>0</v>
      </c>
      <c r="AI214" s="117">
        <f t="shared" si="174"/>
        <v>0</v>
      </c>
      <c r="AJ214" s="117">
        <f t="shared" si="175"/>
        <v>0</v>
      </c>
    </row>
    <row r="215" spans="2:36" ht="16.5" customHeight="1">
      <c r="B215" s="15"/>
      <c r="C215" s="15"/>
      <c r="D215" s="8"/>
      <c r="E215" s="9" t="s">
        <v>190</v>
      </c>
      <c r="F215" s="5">
        <v>0</v>
      </c>
      <c r="G215" s="6">
        <v>2</v>
      </c>
      <c r="H215" s="7" t="s">
        <v>224</v>
      </c>
      <c r="I215" s="10"/>
      <c r="J215" s="8"/>
      <c r="K215" s="9" t="s">
        <v>217</v>
      </c>
      <c r="L215" s="5">
        <v>1</v>
      </c>
      <c r="M215" s="6">
        <v>2</v>
      </c>
      <c r="N215" s="7" t="str">
        <f t="shared" si="159"/>
        <v/>
      </c>
      <c r="O215" s="10"/>
      <c r="P215" s="39"/>
      <c r="Q215" s="38"/>
      <c r="T215" s="121" t="str">
        <f t="shared" si="160"/>
        <v/>
      </c>
      <c r="U215" s="118">
        <f t="shared" si="161"/>
        <v>0</v>
      </c>
      <c r="V215" s="117">
        <f t="shared" si="162"/>
        <v>0</v>
      </c>
      <c r="W215" s="117">
        <f t="shared" si="163"/>
        <v>2</v>
      </c>
      <c r="X215" s="117">
        <f t="shared" si="164"/>
        <v>-2</v>
      </c>
      <c r="Y215" s="117">
        <f t="shared" si="165"/>
        <v>0</v>
      </c>
      <c r="Z215" s="117">
        <f t="shared" si="166"/>
        <v>0</v>
      </c>
      <c r="AA215" s="117">
        <f t="shared" si="167"/>
        <v>0</v>
      </c>
      <c r="AC215" s="121" t="str">
        <f t="shared" si="168"/>
        <v/>
      </c>
      <c r="AD215" s="118">
        <f t="shared" si="169"/>
        <v>0</v>
      </c>
      <c r="AE215" s="117">
        <f t="shared" si="170"/>
        <v>0</v>
      </c>
      <c r="AF215" s="117">
        <f t="shared" si="171"/>
        <v>2</v>
      </c>
      <c r="AG215" s="117">
        <f t="shared" si="172"/>
        <v>-1</v>
      </c>
      <c r="AH215" s="117">
        <f t="shared" si="173"/>
        <v>0</v>
      </c>
      <c r="AI215" s="117">
        <f t="shared" si="174"/>
        <v>0</v>
      </c>
      <c r="AJ215" s="117">
        <f t="shared" si="175"/>
        <v>0</v>
      </c>
    </row>
    <row r="216" spans="2:36" ht="16.5" customHeight="1">
      <c r="B216" s="15"/>
      <c r="C216" s="15"/>
      <c r="D216" s="4"/>
      <c r="E216" s="4" t="s">
        <v>191</v>
      </c>
      <c r="F216" s="5">
        <v>0</v>
      </c>
      <c r="G216" s="6">
        <v>2</v>
      </c>
      <c r="H216" s="7" t="s">
        <v>224</v>
      </c>
      <c r="I216" s="7"/>
      <c r="J216" s="4"/>
      <c r="K216" s="4" t="s">
        <v>218</v>
      </c>
      <c r="L216" s="5">
        <v>0</v>
      </c>
      <c r="M216" s="6">
        <v>2</v>
      </c>
      <c r="N216" s="7" t="str">
        <f t="shared" si="159"/>
        <v/>
      </c>
      <c r="O216" s="7"/>
      <c r="P216" s="39"/>
      <c r="Q216" s="38"/>
      <c r="T216" s="121" t="str">
        <f t="shared" si="160"/>
        <v/>
      </c>
      <c r="U216" s="118">
        <f t="shared" si="161"/>
        <v>0</v>
      </c>
      <c r="V216" s="117">
        <f t="shared" si="162"/>
        <v>0</v>
      </c>
      <c r="W216" s="117">
        <f t="shared" si="163"/>
        <v>2</v>
      </c>
      <c r="X216" s="117">
        <f t="shared" si="164"/>
        <v>-2</v>
      </c>
      <c r="Y216" s="117">
        <f t="shared" si="165"/>
        <v>0</v>
      </c>
      <c r="Z216" s="117">
        <f t="shared" si="166"/>
        <v>0</v>
      </c>
      <c r="AA216" s="117">
        <f t="shared" si="167"/>
        <v>0</v>
      </c>
      <c r="AC216" s="121" t="str">
        <f t="shared" si="168"/>
        <v/>
      </c>
      <c r="AD216" s="118">
        <f t="shared" si="169"/>
        <v>0</v>
      </c>
      <c r="AE216" s="117">
        <f t="shared" si="170"/>
        <v>0</v>
      </c>
      <c r="AF216" s="117">
        <f t="shared" si="171"/>
        <v>2</v>
      </c>
      <c r="AG216" s="117">
        <f t="shared" si="172"/>
        <v>-2</v>
      </c>
      <c r="AH216" s="117">
        <f t="shared" si="173"/>
        <v>0</v>
      </c>
      <c r="AI216" s="117">
        <f t="shared" si="174"/>
        <v>0</v>
      </c>
      <c r="AJ216" s="117">
        <f t="shared" si="175"/>
        <v>0</v>
      </c>
    </row>
    <row r="217" spans="2:36" ht="16.5" customHeight="1">
      <c r="B217" s="15"/>
      <c r="C217" s="15"/>
      <c r="D217" s="8"/>
      <c r="E217" s="9" t="s">
        <v>192</v>
      </c>
      <c r="F217" s="5">
        <v>0</v>
      </c>
      <c r="G217" s="6">
        <v>2</v>
      </c>
      <c r="H217" s="7" t="s">
        <v>224</v>
      </c>
      <c r="I217" s="10"/>
      <c r="J217" s="8"/>
      <c r="K217" s="9" t="s">
        <v>219</v>
      </c>
      <c r="L217" s="5">
        <v>0</v>
      </c>
      <c r="M217" s="6">
        <v>3</v>
      </c>
      <c r="N217" s="7" t="str">
        <f t="shared" si="159"/>
        <v/>
      </c>
      <c r="O217" s="10"/>
      <c r="P217" s="39"/>
      <c r="Q217" s="38"/>
      <c r="T217" s="121" t="str">
        <f t="shared" si="160"/>
        <v/>
      </c>
      <c r="U217" s="118">
        <f t="shared" si="161"/>
        <v>0</v>
      </c>
      <c r="V217" s="117">
        <f t="shared" si="162"/>
        <v>0</v>
      </c>
      <c r="W217" s="117">
        <f t="shared" si="163"/>
        <v>2</v>
      </c>
      <c r="X217" s="117">
        <f t="shared" si="164"/>
        <v>-2</v>
      </c>
      <c r="Y217" s="117">
        <f t="shared" si="165"/>
        <v>0</v>
      </c>
      <c r="Z217" s="117">
        <f t="shared" si="166"/>
        <v>0</v>
      </c>
      <c r="AA217" s="117">
        <f t="shared" si="167"/>
        <v>0</v>
      </c>
      <c r="AC217" s="121" t="str">
        <f t="shared" si="168"/>
        <v/>
      </c>
      <c r="AD217" s="118">
        <f t="shared" si="169"/>
        <v>0</v>
      </c>
      <c r="AE217" s="117">
        <f t="shared" si="170"/>
        <v>0</v>
      </c>
      <c r="AF217" s="117">
        <f t="shared" si="171"/>
        <v>2</v>
      </c>
      <c r="AG217" s="117">
        <f t="shared" si="172"/>
        <v>-3</v>
      </c>
      <c r="AH217" s="117">
        <f t="shared" si="173"/>
        <v>0</v>
      </c>
      <c r="AI217" s="117">
        <f t="shared" si="174"/>
        <v>0</v>
      </c>
      <c r="AJ217" s="117">
        <f t="shared" si="175"/>
        <v>0</v>
      </c>
    </row>
    <row r="218" spans="2:36" ht="16.5" customHeight="1">
      <c r="B218" s="15"/>
      <c r="C218" s="15"/>
      <c r="D218" s="4"/>
      <c r="E218" s="4" t="s">
        <v>193</v>
      </c>
      <c r="F218" s="5">
        <v>0</v>
      </c>
      <c r="G218" s="6">
        <v>2</v>
      </c>
      <c r="H218" s="7" t="s">
        <v>224</v>
      </c>
      <c r="I218" s="7"/>
      <c r="J218" s="4"/>
      <c r="K218" s="4" t="s">
        <v>220</v>
      </c>
      <c r="L218" s="5">
        <v>0</v>
      </c>
      <c r="M218" s="6">
        <v>3</v>
      </c>
      <c r="N218" s="7" t="str">
        <f t="shared" si="159"/>
        <v/>
      </c>
      <c r="O218" s="7"/>
      <c r="P218" s="39"/>
      <c r="Q218" s="38"/>
      <c r="T218" s="121" t="str">
        <f t="shared" si="160"/>
        <v/>
      </c>
      <c r="U218" s="118">
        <f t="shared" si="161"/>
        <v>0</v>
      </c>
      <c r="V218" s="117">
        <f t="shared" si="162"/>
        <v>0</v>
      </c>
      <c r="W218" s="117">
        <f t="shared" si="163"/>
        <v>2</v>
      </c>
      <c r="X218" s="117">
        <f t="shared" si="164"/>
        <v>-2</v>
      </c>
      <c r="Y218" s="117">
        <f t="shared" si="165"/>
        <v>0</v>
      </c>
      <c r="Z218" s="117">
        <f t="shared" si="166"/>
        <v>0</v>
      </c>
      <c r="AA218" s="117">
        <f t="shared" si="167"/>
        <v>0</v>
      </c>
      <c r="AC218" s="121" t="str">
        <f t="shared" si="168"/>
        <v/>
      </c>
      <c r="AD218" s="118">
        <f t="shared" si="169"/>
        <v>0</v>
      </c>
      <c r="AE218" s="117">
        <f t="shared" si="170"/>
        <v>0</v>
      </c>
      <c r="AF218" s="117">
        <f t="shared" si="171"/>
        <v>2</v>
      </c>
      <c r="AG218" s="117">
        <f t="shared" si="172"/>
        <v>-3</v>
      </c>
      <c r="AH218" s="117">
        <f t="shared" si="173"/>
        <v>0</v>
      </c>
      <c r="AI218" s="117">
        <f t="shared" si="174"/>
        <v>0</v>
      </c>
      <c r="AJ218" s="117">
        <f t="shared" si="175"/>
        <v>0</v>
      </c>
    </row>
    <row r="219" spans="2:36" ht="16.5" customHeight="1">
      <c r="B219" s="15"/>
      <c r="C219" s="15"/>
      <c r="D219" s="8"/>
      <c r="E219" s="9" t="s">
        <v>194</v>
      </c>
      <c r="F219" s="5">
        <v>0</v>
      </c>
      <c r="G219" s="6">
        <v>2</v>
      </c>
      <c r="H219" s="7" t="s">
        <v>224</v>
      </c>
      <c r="I219" s="10"/>
      <c r="J219" s="8"/>
      <c r="K219" s="9" t="s">
        <v>221</v>
      </c>
      <c r="L219" s="5">
        <v>0</v>
      </c>
      <c r="M219" s="6">
        <v>3</v>
      </c>
      <c r="N219" s="7" t="str">
        <f t="shared" si="159"/>
        <v/>
      </c>
      <c r="O219" s="10"/>
      <c r="P219" s="39"/>
      <c r="Q219" s="38"/>
      <c r="T219" s="121" t="str">
        <f t="shared" si="160"/>
        <v/>
      </c>
      <c r="U219" s="118">
        <f t="shared" si="161"/>
        <v>0</v>
      </c>
      <c r="V219" s="117">
        <f t="shared" si="162"/>
        <v>0</v>
      </c>
      <c r="W219" s="117">
        <f t="shared" si="163"/>
        <v>2</v>
      </c>
      <c r="X219" s="117">
        <f t="shared" si="164"/>
        <v>-2</v>
      </c>
      <c r="Y219" s="117">
        <f t="shared" si="165"/>
        <v>0</v>
      </c>
      <c r="Z219" s="117">
        <f t="shared" si="166"/>
        <v>0</v>
      </c>
      <c r="AA219" s="117">
        <f t="shared" si="167"/>
        <v>0</v>
      </c>
      <c r="AC219" s="121" t="str">
        <f t="shared" si="168"/>
        <v/>
      </c>
      <c r="AD219" s="118">
        <f t="shared" si="169"/>
        <v>0</v>
      </c>
      <c r="AE219" s="117">
        <f t="shared" si="170"/>
        <v>0</v>
      </c>
      <c r="AF219" s="117">
        <f t="shared" si="171"/>
        <v>2</v>
      </c>
      <c r="AG219" s="117">
        <f t="shared" si="172"/>
        <v>-3</v>
      </c>
      <c r="AH219" s="117">
        <f t="shared" si="173"/>
        <v>0</v>
      </c>
      <c r="AI219" s="117">
        <f t="shared" si="174"/>
        <v>0</v>
      </c>
      <c r="AJ219" s="117">
        <f t="shared" si="175"/>
        <v>0</v>
      </c>
    </row>
    <row r="220" spans="2:36" ht="16.5" customHeight="1">
      <c r="F220" s="1">
        <v>0</v>
      </c>
      <c r="G220" s="1">
        <v>2</v>
      </c>
      <c r="K220" s="3"/>
    </row>
    <row r="221" spans="2:36" ht="23.25">
      <c r="B221" s="33" t="s">
        <v>123</v>
      </c>
      <c r="D221" s="52"/>
      <c r="E221" s="55" t="s">
        <v>69</v>
      </c>
      <c r="F221" s="56"/>
      <c r="G221" s="57"/>
      <c r="H221" s="57"/>
      <c r="I221" s="56"/>
      <c r="J221" s="82"/>
      <c r="K221" s="82" t="s">
        <v>30</v>
      </c>
      <c r="M221" s="12"/>
      <c r="N221" s="17"/>
      <c r="O221" s="17"/>
      <c r="P221" s="90"/>
      <c r="Q221" s="17"/>
      <c r="R221" s="17"/>
    </row>
    <row r="222" spans="2:36" ht="15">
      <c r="C222" s="1"/>
      <c r="D222" s="1"/>
      <c r="E222" s="1"/>
      <c r="H222" s="1"/>
      <c r="I222" s="1"/>
      <c r="J222" s="1"/>
      <c r="P222" s="1"/>
    </row>
    <row r="223" spans="2:36" ht="16.5" customHeight="1">
      <c r="B223" s="12"/>
      <c r="C223" s="12" t="s">
        <v>7</v>
      </c>
      <c r="D223" s="4"/>
      <c r="E223" s="4" t="s">
        <v>32</v>
      </c>
      <c r="F223" s="5">
        <v>0</v>
      </c>
      <c r="G223" s="6">
        <v>2</v>
      </c>
      <c r="H223" s="7" t="s">
        <v>224</v>
      </c>
      <c r="I223" s="7"/>
      <c r="J223" s="4"/>
      <c r="K223" s="4" t="s">
        <v>195</v>
      </c>
      <c r="L223" s="5">
        <v>1</v>
      </c>
      <c r="M223" s="6">
        <v>1</v>
      </c>
      <c r="N223" s="7" t="str">
        <f>AC223</f>
        <v/>
      </c>
      <c r="O223" s="7"/>
      <c r="P223" s="24" t="s">
        <v>13</v>
      </c>
      <c r="Q223" s="13"/>
      <c r="T223" s="121" t="str">
        <f>IF($G$221="","",SUM(Y223:AA223))</f>
        <v/>
      </c>
      <c r="U223" s="118">
        <f t="shared" ref="U223" si="176">IF(V223&gt;0,1,IF(V223=0,0,2))</f>
        <v>0</v>
      </c>
      <c r="V223" s="117">
        <f>$G$221-$H$221</f>
        <v>0</v>
      </c>
      <c r="W223" s="117">
        <f t="shared" ref="W223" si="177">IF(X223&gt;0,1,IF(X223=0,0,2))</f>
        <v>2</v>
      </c>
      <c r="X223" s="117">
        <f>F223-G223</f>
        <v>-2</v>
      </c>
      <c r="Y223" s="117">
        <f t="shared" ref="Y223" si="178">IF(U223=W223,3,0)</f>
        <v>0</v>
      </c>
      <c r="Z223" s="117">
        <f t="shared" ref="Z223" si="179">IF(V223=X223,1,0)</f>
        <v>0</v>
      </c>
      <c r="AA223" s="117">
        <f>IF(Z223=1,IF($G$221=F223,1,0),0)</f>
        <v>0</v>
      </c>
      <c r="AC223" s="121" t="str">
        <f>IF($G$221="","",SUM(AH223:AJ223))</f>
        <v/>
      </c>
      <c r="AD223" s="118">
        <f t="shared" ref="AD223" si="180">IF(AE223&gt;0,1,IF(AE223=0,0,2))</f>
        <v>0</v>
      </c>
      <c r="AE223" s="117">
        <f>$G$221-$H$221</f>
        <v>0</v>
      </c>
      <c r="AF223" s="117">
        <f t="shared" ref="AF223" si="181">IF(AG223&gt;0,1,IF(AG223=0,0,2))</f>
        <v>0</v>
      </c>
      <c r="AG223" s="117">
        <f>L223-M223</f>
        <v>0</v>
      </c>
      <c r="AH223" s="117">
        <f t="shared" ref="AH223" si="182">IF(AD223=AF223,3,0)</f>
        <v>3</v>
      </c>
      <c r="AI223" s="117">
        <f t="shared" ref="AI223" si="183">IF(AE223=AG223,1,0)</f>
        <v>1</v>
      </c>
      <c r="AJ223" s="117">
        <f>IF(AI223=1,IF($G$221=L223,1,0),0)</f>
        <v>0</v>
      </c>
    </row>
    <row r="224" spans="2:36" ht="16.5" customHeight="1">
      <c r="B224" s="12"/>
      <c r="C224" s="12"/>
      <c r="D224" s="8"/>
      <c r="E224" s="9" t="s">
        <v>170</v>
      </c>
      <c r="F224" s="5">
        <v>1</v>
      </c>
      <c r="G224" s="6">
        <v>1</v>
      </c>
      <c r="H224" s="7" t="s">
        <v>224</v>
      </c>
      <c r="I224" s="10"/>
      <c r="J224" s="8"/>
      <c r="K224" s="9" t="s">
        <v>196</v>
      </c>
      <c r="L224" s="5">
        <v>1</v>
      </c>
      <c r="M224" s="6">
        <v>1</v>
      </c>
      <c r="N224" s="7" t="str">
        <f t="shared" ref="N224:N250" si="184">AC224</f>
        <v/>
      </c>
      <c r="O224" s="10"/>
      <c r="P224" s="24"/>
      <c r="Q224" s="13"/>
      <c r="T224" s="121" t="str">
        <f t="shared" ref="T224:T250" si="185">IF($G$221="","",SUM(Y224:AA224))</f>
        <v/>
      </c>
      <c r="U224" s="118">
        <f t="shared" ref="U224:U250" si="186">IF(V224&gt;0,1,IF(V224=0,0,2))</f>
        <v>0</v>
      </c>
      <c r="V224" s="117">
        <f t="shared" ref="V224:V250" si="187">$G$221-$H$221</f>
        <v>0</v>
      </c>
      <c r="W224" s="117">
        <f t="shared" ref="W224:W250" si="188">IF(X224&gt;0,1,IF(X224=0,0,2))</f>
        <v>0</v>
      </c>
      <c r="X224" s="117">
        <f t="shared" ref="X224:X250" si="189">F224-G224</f>
        <v>0</v>
      </c>
      <c r="Y224" s="117">
        <f t="shared" ref="Y224:Y250" si="190">IF(U224=W224,3,0)</f>
        <v>3</v>
      </c>
      <c r="Z224" s="117">
        <f t="shared" ref="Z224:Z250" si="191">IF(V224=X224,1,0)</f>
        <v>1</v>
      </c>
      <c r="AA224" s="117">
        <f t="shared" ref="AA224:AA250" si="192">IF(Z224=1,IF($G$221=F224,1,0),0)</f>
        <v>0</v>
      </c>
      <c r="AC224" s="121" t="str">
        <f t="shared" ref="AC224:AC250" si="193">IF($G$221="","",SUM(AH224:AJ224))</f>
        <v/>
      </c>
      <c r="AD224" s="118">
        <f t="shared" ref="AD224:AD250" si="194">IF(AE224&gt;0,1,IF(AE224=0,0,2))</f>
        <v>0</v>
      </c>
      <c r="AE224" s="117">
        <f t="shared" ref="AE224:AE250" si="195">$G$221-$H$221</f>
        <v>0</v>
      </c>
      <c r="AF224" s="117">
        <f t="shared" ref="AF224:AF250" si="196">IF(AG224&gt;0,1,IF(AG224=0,0,2))</f>
        <v>0</v>
      </c>
      <c r="AG224" s="117">
        <f t="shared" ref="AG224:AG250" si="197">L224-M224</f>
        <v>0</v>
      </c>
      <c r="AH224" s="117">
        <f t="shared" ref="AH224:AH250" si="198">IF(AD224=AF224,3,0)</f>
        <v>3</v>
      </c>
      <c r="AI224" s="117">
        <f t="shared" ref="AI224:AI250" si="199">IF(AE224=AG224,1,0)</f>
        <v>1</v>
      </c>
      <c r="AJ224" s="117">
        <f t="shared" ref="AJ224:AJ250" si="200">IF(AI224=1,IF($G$221=L224,1,0),0)</f>
        <v>0</v>
      </c>
    </row>
    <row r="225" spans="2:36" ht="16.5" customHeight="1">
      <c r="B225" s="12"/>
      <c r="C225" s="12"/>
      <c r="D225" s="4"/>
      <c r="E225" s="4" t="s">
        <v>171</v>
      </c>
      <c r="F225" s="5">
        <v>1</v>
      </c>
      <c r="G225" s="6">
        <v>2</v>
      </c>
      <c r="H225" s="7" t="s">
        <v>224</v>
      </c>
      <c r="I225" s="7"/>
      <c r="J225" s="4"/>
      <c r="K225" s="4" t="s">
        <v>197</v>
      </c>
      <c r="L225" s="5">
        <v>1</v>
      </c>
      <c r="M225" s="6">
        <v>2</v>
      </c>
      <c r="N225" s="7" t="str">
        <f t="shared" si="184"/>
        <v/>
      </c>
      <c r="O225" s="7"/>
      <c r="P225" s="24"/>
      <c r="Q225" s="13"/>
      <c r="T225" s="121" t="str">
        <f t="shared" si="185"/>
        <v/>
      </c>
      <c r="U225" s="118">
        <f t="shared" si="186"/>
        <v>0</v>
      </c>
      <c r="V225" s="117">
        <f t="shared" si="187"/>
        <v>0</v>
      </c>
      <c r="W225" s="117">
        <f t="shared" si="188"/>
        <v>2</v>
      </c>
      <c r="X225" s="117">
        <f t="shared" si="189"/>
        <v>-1</v>
      </c>
      <c r="Y225" s="117">
        <f t="shared" si="190"/>
        <v>0</v>
      </c>
      <c r="Z225" s="117">
        <f t="shared" si="191"/>
        <v>0</v>
      </c>
      <c r="AA225" s="117">
        <f t="shared" si="192"/>
        <v>0</v>
      </c>
      <c r="AC225" s="121" t="str">
        <f t="shared" si="193"/>
        <v/>
      </c>
      <c r="AD225" s="118">
        <f t="shared" si="194"/>
        <v>0</v>
      </c>
      <c r="AE225" s="117">
        <f t="shared" si="195"/>
        <v>0</v>
      </c>
      <c r="AF225" s="117">
        <f t="shared" si="196"/>
        <v>2</v>
      </c>
      <c r="AG225" s="117">
        <f t="shared" si="197"/>
        <v>-1</v>
      </c>
      <c r="AH225" s="117">
        <f t="shared" si="198"/>
        <v>0</v>
      </c>
      <c r="AI225" s="117">
        <f t="shared" si="199"/>
        <v>0</v>
      </c>
      <c r="AJ225" s="117">
        <f t="shared" si="200"/>
        <v>0</v>
      </c>
    </row>
    <row r="226" spans="2:36" ht="16.5" customHeight="1">
      <c r="B226" s="12"/>
      <c r="C226" s="12"/>
      <c r="D226" s="8"/>
      <c r="E226" s="9" t="s">
        <v>172</v>
      </c>
      <c r="F226" s="5">
        <v>0</v>
      </c>
      <c r="G226" s="6">
        <v>1</v>
      </c>
      <c r="H226" s="7" t="s">
        <v>224</v>
      </c>
      <c r="I226" s="10"/>
      <c r="J226" s="8"/>
      <c r="K226" s="9" t="s">
        <v>198</v>
      </c>
      <c r="L226" s="5">
        <v>1</v>
      </c>
      <c r="M226" s="6">
        <v>3</v>
      </c>
      <c r="N226" s="7" t="str">
        <f t="shared" si="184"/>
        <v/>
      </c>
      <c r="O226" s="10"/>
      <c r="P226" s="24"/>
      <c r="Q226" s="13"/>
      <c r="T226" s="121" t="str">
        <f t="shared" si="185"/>
        <v/>
      </c>
      <c r="U226" s="118">
        <f t="shared" si="186"/>
        <v>0</v>
      </c>
      <c r="V226" s="117">
        <f t="shared" si="187"/>
        <v>0</v>
      </c>
      <c r="W226" s="117">
        <f t="shared" si="188"/>
        <v>2</v>
      </c>
      <c r="X226" s="117">
        <f t="shared" si="189"/>
        <v>-1</v>
      </c>
      <c r="Y226" s="117">
        <f t="shared" si="190"/>
        <v>0</v>
      </c>
      <c r="Z226" s="117">
        <f t="shared" si="191"/>
        <v>0</v>
      </c>
      <c r="AA226" s="117">
        <f t="shared" si="192"/>
        <v>0</v>
      </c>
      <c r="AC226" s="121" t="str">
        <f t="shared" si="193"/>
        <v/>
      </c>
      <c r="AD226" s="118">
        <f t="shared" si="194"/>
        <v>0</v>
      </c>
      <c r="AE226" s="117">
        <f t="shared" si="195"/>
        <v>0</v>
      </c>
      <c r="AF226" s="117">
        <f t="shared" si="196"/>
        <v>2</v>
      </c>
      <c r="AG226" s="117">
        <f t="shared" si="197"/>
        <v>-2</v>
      </c>
      <c r="AH226" s="117">
        <f t="shared" si="198"/>
        <v>0</v>
      </c>
      <c r="AI226" s="117">
        <f t="shared" si="199"/>
        <v>0</v>
      </c>
      <c r="AJ226" s="117">
        <f t="shared" si="200"/>
        <v>0</v>
      </c>
    </row>
    <row r="227" spans="2:36" ht="16.5" customHeight="1">
      <c r="B227" s="12"/>
      <c r="C227" s="12"/>
      <c r="D227" s="4"/>
      <c r="E227" s="4" t="s">
        <v>173</v>
      </c>
      <c r="F227" s="5">
        <v>1</v>
      </c>
      <c r="G227" s="6">
        <v>2</v>
      </c>
      <c r="H227" s="7" t="s">
        <v>224</v>
      </c>
      <c r="I227" s="7"/>
      <c r="J227" s="4"/>
      <c r="K227" s="4" t="s">
        <v>199</v>
      </c>
      <c r="L227" s="5">
        <v>1</v>
      </c>
      <c r="M227" s="6">
        <v>1</v>
      </c>
      <c r="N227" s="7" t="str">
        <f t="shared" si="184"/>
        <v/>
      </c>
      <c r="O227" s="7"/>
      <c r="P227" s="24"/>
      <c r="Q227" s="13"/>
      <c r="T227" s="121" t="str">
        <f t="shared" si="185"/>
        <v/>
      </c>
      <c r="U227" s="118">
        <f t="shared" si="186"/>
        <v>0</v>
      </c>
      <c r="V227" s="117">
        <f t="shared" si="187"/>
        <v>0</v>
      </c>
      <c r="W227" s="117">
        <f t="shared" si="188"/>
        <v>2</v>
      </c>
      <c r="X227" s="117">
        <f t="shared" si="189"/>
        <v>-1</v>
      </c>
      <c r="Y227" s="117">
        <f t="shared" si="190"/>
        <v>0</v>
      </c>
      <c r="Z227" s="117">
        <f t="shared" si="191"/>
        <v>0</v>
      </c>
      <c r="AA227" s="117">
        <f t="shared" si="192"/>
        <v>0</v>
      </c>
      <c r="AC227" s="121" t="str">
        <f t="shared" si="193"/>
        <v/>
      </c>
      <c r="AD227" s="118">
        <f t="shared" si="194"/>
        <v>0</v>
      </c>
      <c r="AE227" s="117">
        <f t="shared" si="195"/>
        <v>0</v>
      </c>
      <c r="AF227" s="117">
        <f t="shared" si="196"/>
        <v>0</v>
      </c>
      <c r="AG227" s="117">
        <f t="shared" si="197"/>
        <v>0</v>
      </c>
      <c r="AH227" s="117">
        <f t="shared" si="198"/>
        <v>3</v>
      </c>
      <c r="AI227" s="117">
        <f t="shared" si="199"/>
        <v>1</v>
      </c>
      <c r="AJ227" s="117">
        <f t="shared" si="200"/>
        <v>0</v>
      </c>
    </row>
    <row r="228" spans="2:36" ht="16.5" customHeight="1">
      <c r="B228" s="12"/>
      <c r="C228" s="12"/>
      <c r="D228" s="8"/>
      <c r="E228" s="9" t="s">
        <v>174</v>
      </c>
      <c r="F228" s="5">
        <v>1</v>
      </c>
      <c r="G228" s="6">
        <v>2</v>
      </c>
      <c r="H228" s="7" t="s">
        <v>224</v>
      </c>
      <c r="I228" s="10"/>
      <c r="J228" s="8"/>
      <c r="K228" s="9" t="s">
        <v>200</v>
      </c>
      <c r="L228" s="5">
        <v>1</v>
      </c>
      <c r="M228" s="6">
        <v>2</v>
      </c>
      <c r="N228" s="7" t="str">
        <f t="shared" si="184"/>
        <v/>
      </c>
      <c r="O228" s="10"/>
      <c r="P228" s="24"/>
      <c r="Q228" s="13"/>
      <c r="T228" s="121" t="str">
        <f t="shared" si="185"/>
        <v/>
      </c>
      <c r="U228" s="118">
        <f t="shared" si="186"/>
        <v>0</v>
      </c>
      <c r="V228" s="117">
        <f t="shared" si="187"/>
        <v>0</v>
      </c>
      <c r="W228" s="117">
        <f t="shared" si="188"/>
        <v>2</v>
      </c>
      <c r="X228" s="117">
        <f t="shared" si="189"/>
        <v>-1</v>
      </c>
      <c r="Y228" s="117">
        <f t="shared" si="190"/>
        <v>0</v>
      </c>
      <c r="Z228" s="117">
        <f t="shared" si="191"/>
        <v>0</v>
      </c>
      <c r="AA228" s="117">
        <f t="shared" si="192"/>
        <v>0</v>
      </c>
      <c r="AC228" s="121" t="str">
        <f t="shared" si="193"/>
        <v/>
      </c>
      <c r="AD228" s="118">
        <f t="shared" si="194"/>
        <v>0</v>
      </c>
      <c r="AE228" s="117">
        <f t="shared" si="195"/>
        <v>0</v>
      </c>
      <c r="AF228" s="117">
        <f t="shared" si="196"/>
        <v>2</v>
      </c>
      <c r="AG228" s="117">
        <f t="shared" si="197"/>
        <v>-1</v>
      </c>
      <c r="AH228" s="117">
        <f t="shared" si="198"/>
        <v>0</v>
      </c>
      <c r="AI228" s="117">
        <f t="shared" si="199"/>
        <v>0</v>
      </c>
      <c r="AJ228" s="117">
        <f t="shared" si="200"/>
        <v>0</v>
      </c>
    </row>
    <row r="229" spans="2:36" ht="16.5" customHeight="1">
      <c r="B229" s="12"/>
      <c r="C229" s="12"/>
      <c r="D229" s="4"/>
      <c r="E229" s="4" t="s">
        <v>175</v>
      </c>
      <c r="F229" s="5">
        <v>0</v>
      </c>
      <c r="G229" s="6">
        <v>2</v>
      </c>
      <c r="H229" s="7" t="s">
        <v>224</v>
      </c>
      <c r="I229" s="7"/>
      <c r="J229" s="4"/>
      <c r="K229" s="4" t="s">
        <v>201</v>
      </c>
      <c r="L229" s="5">
        <v>1</v>
      </c>
      <c r="M229" s="6">
        <v>3</v>
      </c>
      <c r="N229" s="7" t="str">
        <f t="shared" si="184"/>
        <v/>
      </c>
      <c r="O229" s="7"/>
      <c r="P229" s="24"/>
      <c r="Q229" s="13"/>
      <c r="T229" s="121" t="str">
        <f t="shared" si="185"/>
        <v/>
      </c>
      <c r="U229" s="118">
        <f t="shared" si="186"/>
        <v>0</v>
      </c>
      <c r="V229" s="117">
        <f t="shared" si="187"/>
        <v>0</v>
      </c>
      <c r="W229" s="117">
        <f t="shared" si="188"/>
        <v>2</v>
      </c>
      <c r="X229" s="117">
        <f t="shared" si="189"/>
        <v>-2</v>
      </c>
      <c r="Y229" s="117">
        <f t="shared" si="190"/>
        <v>0</v>
      </c>
      <c r="Z229" s="117">
        <f t="shared" si="191"/>
        <v>0</v>
      </c>
      <c r="AA229" s="117">
        <f t="shared" si="192"/>
        <v>0</v>
      </c>
      <c r="AC229" s="121" t="str">
        <f t="shared" si="193"/>
        <v/>
      </c>
      <c r="AD229" s="118">
        <f t="shared" si="194"/>
        <v>0</v>
      </c>
      <c r="AE229" s="117">
        <f t="shared" si="195"/>
        <v>0</v>
      </c>
      <c r="AF229" s="117">
        <f t="shared" si="196"/>
        <v>2</v>
      </c>
      <c r="AG229" s="117">
        <f t="shared" si="197"/>
        <v>-2</v>
      </c>
      <c r="AH229" s="117">
        <f t="shared" si="198"/>
        <v>0</v>
      </c>
      <c r="AI229" s="117">
        <f t="shared" si="199"/>
        <v>0</v>
      </c>
      <c r="AJ229" s="117">
        <f t="shared" si="200"/>
        <v>0</v>
      </c>
    </row>
    <row r="230" spans="2:36" ht="16.5" customHeight="1">
      <c r="B230" s="14"/>
      <c r="C230" s="14" t="s">
        <v>8</v>
      </c>
      <c r="D230" s="8"/>
      <c r="E230" s="9" t="s">
        <v>33</v>
      </c>
      <c r="F230" s="5">
        <v>1</v>
      </c>
      <c r="G230" s="6">
        <v>2</v>
      </c>
      <c r="H230" s="7" t="s">
        <v>224</v>
      </c>
      <c r="I230" s="10"/>
      <c r="J230" s="8"/>
      <c r="K230" s="9" t="s">
        <v>225</v>
      </c>
      <c r="L230" s="5">
        <v>0</v>
      </c>
      <c r="M230" s="6">
        <v>1</v>
      </c>
      <c r="N230" s="7" t="str">
        <f t="shared" si="184"/>
        <v/>
      </c>
      <c r="O230" s="10"/>
      <c r="P230" s="31" t="s">
        <v>16</v>
      </c>
      <c r="Q230" s="30"/>
      <c r="T230" s="121" t="str">
        <f t="shared" si="185"/>
        <v/>
      </c>
      <c r="U230" s="118">
        <f t="shared" si="186"/>
        <v>0</v>
      </c>
      <c r="V230" s="117">
        <f t="shared" si="187"/>
        <v>0</v>
      </c>
      <c r="W230" s="117">
        <f t="shared" si="188"/>
        <v>2</v>
      </c>
      <c r="X230" s="117">
        <f t="shared" si="189"/>
        <v>-1</v>
      </c>
      <c r="Y230" s="117">
        <f t="shared" si="190"/>
        <v>0</v>
      </c>
      <c r="Z230" s="117">
        <f t="shared" si="191"/>
        <v>0</v>
      </c>
      <c r="AA230" s="117">
        <f t="shared" si="192"/>
        <v>0</v>
      </c>
      <c r="AC230" s="121" t="str">
        <f t="shared" si="193"/>
        <v/>
      </c>
      <c r="AD230" s="118">
        <f t="shared" si="194"/>
        <v>0</v>
      </c>
      <c r="AE230" s="117">
        <f t="shared" si="195"/>
        <v>0</v>
      </c>
      <c r="AF230" s="117">
        <f t="shared" si="196"/>
        <v>2</v>
      </c>
      <c r="AG230" s="117">
        <f t="shared" si="197"/>
        <v>-1</v>
      </c>
      <c r="AH230" s="117">
        <f t="shared" si="198"/>
        <v>0</v>
      </c>
      <c r="AI230" s="117">
        <f t="shared" si="199"/>
        <v>0</v>
      </c>
      <c r="AJ230" s="117">
        <f t="shared" si="200"/>
        <v>0</v>
      </c>
    </row>
    <row r="231" spans="2:36" ht="16.5" customHeight="1">
      <c r="B231" s="14"/>
      <c r="C231" s="14"/>
      <c r="D231" s="4"/>
      <c r="E231" s="4" t="s">
        <v>176</v>
      </c>
      <c r="F231" s="5">
        <v>1</v>
      </c>
      <c r="G231" s="6">
        <v>2</v>
      </c>
      <c r="H231" s="7" t="s">
        <v>224</v>
      </c>
      <c r="I231" s="7"/>
      <c r="J231" s="4"/>
      <c r="K231" s="4" t="s">
        <v>203</v>
      </c>
      <c r="L231" s="5">
        <v>0</v>
      </c>
      <c r="M231" s="6">
        <v>2</v>
      </c>
      <c r="N231" s="7" t="str">
        <f t="shared" si="184"/>
        <v/>
      </c>
      <c r="O231" s="7"/>
      <c r="P231" s="31"/>
      <c r="Q231" s="30"/>
      <c r="T231" s="121" t="str">
        <f t="shared" si="185"/>
        <v/>
      </c>
      <c r="U231" s="118">
        <f t="shared" si="186"/>
        <v>0</v>
      </c>
      <c r="V231" s="117">
        <f t="shared" si="187"/>
        <v>0</v>
      </c>
      <c r="W231" s="117">
        <f t="shared" si="188"/>
        <v>2</v>
      </c>
      <c r="X231" s="117">
        <f t="shared" si="189"/>
        <v>-1</v>
      </c>
      <c r="Y231" s="117">
        <f t="shared" si="190"/>
        <v>0</v>
      </c>
      <c r="Z231" s="117">
        <f t="shared" si="191"/>
        <v>0</v>
      </c>
      <c r="AA231" s="117">
        <f t="shared" si="192"/>
        <v>0</v>
      </c>
      <c r="AC231" s="121" t="str">
        <f t="shared" si="193"/>
        <v/>
      </c>
      <c r="AD231" s="118">
        <f t="shared" si="194"/>
        <v>0</v>
      </c>
      <c r="AE231" s="117">
        <f t="shared" si="195"/>
        <v>0</v>
      </c>
      <c r="AF231" s="117">
        <f t="shared" si="196"/>
        <v>2</v>
      </c>
      <c r="AG231" s="117">
        <f t="shared" si="197"/>
        <v>-2</v>
      </c>
      <c r="AH231" s="117">
        <f t="shared" si="198"/>
        <v>0</v>
      </c>
      <c r="AI231" s="117">
        <f t="shared" si="199"/>
        <v>0</v>
      </c>
      <c r="AJ231" s="117">
        <f t="shared" si="200"/>
        <v>0</v>
      </c>
    </row>
    <row r="232" spans="2:36" ht="16.5" customHeight="1">
      <c r="B232" s="14"/>
      <c r="C232" s="14"/>
      <c r="D232" s="8"/>
      <c r="E232" s="9" t="s">
        <v>177</v>
      </c>
      <c r="F232" s="5">
        <v>1</v>
      </c>
      <c r="G232" s="6">
        <v>2</v>
      </c>
      <c r="H232" s="7" t="s">
        <v>224</v>
      </c>
      <c r="I232" s="10"/>
      <c r="J232" s="8"/>
      <c r="K232" s="9" t="s">
        <v>204</v>
      </c>
      <c r="L232" s="5">
        <v>1</v>
      </c>
      <c r="M232" s="6">
        <v>3</v>
      </c>
      <c r="N232" s="7" t="str">
        <f t="shared" si="184"/>
        <v/>
      </c>
      <c r="O232" s="10"/>
      <c r="P232" s="31"/>
      <c r="Q232" s="30"/>
      <c r="T232" s="121" t="str">
        <f t="shared" si="185"/>
        <v/>
      </c>
      <c r="U232" s="118">
        <f t="shared" si="186"/>
        <v>0</v>
      </c>
      <c r="V232" s="117">
        <f t="shared" si="187"/>
        <v>0</v>
      </c>
      <c r="W232" s="117">
        <f t="shared" si="188"/>
        <v>2</v>
      </c>
      <c r="X232" s="117">
        <f t="shared" si="189"/>
        <v>-1</v>
      </c>
      <c r="Y232" s="117">
        <f t="shared" si="190"/>
        <v>0</v>
      </c>
      <c r="Z232" s="117">
        <f t="shared" si="191"/>
        <v>0</v>
      </c>
      <c r="AA232" s="117">
        <f t="shared" si="192"/>
        <v>0</v>
      </c>
      <c r="AC232" s="121" t="str">
        <f t="shared" si="193"/>
        <v/>
      </c>
      <c r="AD232" s="118">
        <f t="shared" si="194"/>
        <v>0</v>
      </c>
      <c r="AE232" s="117">
        <f t="shared" si="195"/>
        <v>0</v>
      </c>
      <c r="AF232" s="117">
        <f t="shared" si="196"/>
        <v>2</v>
      </c>
      <c r="AG232" s="117">
        <f t="shared" si="197"/>
        <v>-2</v>
      </c>
      <c r="AH232" s="117">
        <f t="shared" si="198"/>
        <v>0</v>
      </c>
      <c r="AI232" s="117">
        <f t="shared" si="199"/>
        <v>0</v>
      </c>
      <c r="AJ232" s="117">
        <f t="shared" si="200"/>
        <v>0</v>
      </c>
    </row>
    <row r="233" spans="2:36" ht="16.5" customHeight="1">
      <c r="B233" s="14"/>
      <c r="C233" s="14"/>
      <c r="D233" s="4"/>
      <c r="E233" s="4" t="s">
        <v>178</v>
      </c>
      <c r="F233" s="5">
        <v>0</v>
      </c>
      <c r="G233" s="6">
        <v>2</v>
      </c>
      <c r="H233" s="7" t="s">
        <v>224</v>
      </c>
      <c r="I233" s="7"/>
      <c r="J233" s="4"/>
      <c r="K233" s="4" t="s">
        <v>223</v>
      </c>
      <c r="L233" s="5">
        <v>1</v>
      </c>
      <c r="M233" s="6">
        <v>0</v>
      </c>
      <c r="N233" s="7" t="str">
        <f t="shared" si="184"/>
        <v/>
      </c>
      <c r="O233" s="7"/>
      <c r="P233" s="31"/>
      <c r="Q233" s="30"/>
      <c r="T233" s="121" t="str">
        <f t="shared" si="185"/>
        <v/>
      </c>
      <c r="U233" s="118">
        <f t="shared" si="186"/>
        <v>0</v>
      </c>
      <c r="V233" s="117">
        <f t="shared" si="187"/>
        <v>0</v>
      </c>
      <c r="W233" s="117">
        <f t="shared" si="188"/>
        <v>2</v>
      </c>
      <c r="X233" s="117">
        <f t="shared" si="189"/>
        <v>-2</v>
      </c>
      <c r="Y233" s="117">
        <f t="shared" si="190"/>
        <v>0</v>
      </c>
      <c r="Z233" s="117">
        <f t="shared" si="191"/>
        <v>0</v>
      </c>
      <c r="AA233" s="117">
        <f t="shared" si="192"/>
        <v>0</v>
      </c>
      <c r="AC233" s="121" t="str">
        <f t="shared" si="193"/>
        <v/>
      </c>
      <c r="AD233" s="118">
        <f t="shared" si="194"/>
        <v>0</v>
      </c>
      <c r="AE233" s="117">
        <f t="shared" si="195"/>
        <v>0</v>
      </c>
      <c r="AF233" s="117">
        <f t="shared" si="196"/>
        <v>1</v>
      </c>
      <c r="AG233" s="117">
        <f t="shared" si="197"/>
        <v>1</v>
      </c>
      <c r="AH233" s="117">
        <f t="shared" si="198"/>
        <v>0</v>
      </c>
      <c r="AI233" s="117">
        <f t="shared" si="199"/>
        <v>0</v>
      </c>
      <c r="AJ233" s="117">
        <f t="shared" si="200"/>
        <v>0</v>
      </c>
    </row>
    <row r="234" spans="2:36" ht="16.5" customHeight="1">
      <c r="B234" s="14"/>
      <c r="C234" s="14"/>
      <c r="D234" s="8"/>
      <c r="E234" s="9" t="s">
        <v>179</v>
      </c>
      <c r="F234" s="5">
        <v>1</v>
      </c>
      <c r="G234" s="6">
        <v>2</v>
      </c>
      <c r="H234" s="7" t="s">
        <v>224</v>
      </c>
      <c r="I234" s="10"/>
      <c r="J234" s="8"/>
      <c r="K234" s="9" t="s">
        <v>205</v>
      </c>
      <c r="L234" s="5">
        <v>0</v>
      </c>
      <c r="M234" s="6">
        <v>3</v>
      </c>
      <c r="N234" s="7" t="str">
        <f t="shared" si="184"/>
        <v/>
      </c>
      <c r="O234" s="10"/>
      <c r="P234" s="31"/>
      <c r="Q234" s="30"/>
      <c r="T234" s="121" t="str">
        <f t="shared" si="185"/>
        <v/>
      </c>
      <c r="U234" s="118">
        <f t="shared" si="186"/>
        <v>0</v>
      </c>
      <c r="V234" s="117">
        <f t="shared" si="187"/>
        <v>0</v>
      </c>
      <c r="W234" s="117">
        <f t="shared" si="188"/>
        <v>2</v>
      </c>
      <c r="X234" s="117">
        <f t="shared" si="189"/>
        <v>-1</v>
      </c>
      <c r="Y234" s="117">
        <f t="shared" si="190"/>
        <v>0</v>
      </c>
      <c r="Z234" s="117">
        <f t="shared" si="191"/>
        <v>0</v>
      </c>
      <c r="AA234" s="117">
        <f t="shared" si="192"/>
        <v>0</v>
      </c>
      <c r="AC234" s="121" t="str">
        <f t="shared" si="193"/>
        <v/>
      </c>
      <c r="AD234" s="118">
        <f t="shared" si="194"/>
        <v>0</v>
      </c>
      <c r="AE234" s="117">
        <f t="shared" si="195"/>
        <v>0</v>
      </c>
      <c r="AF234" s="117">
        <f t="shared" si="196"/>
        <v>2</v>
      </c>
      <c r="AG234" s="117">
        <f t="shared" si="197"/>
        <v>-3</v>
      </c>
      <c r="AH234" s="117">
        <f t="shared" si="198"/>
        <v>0</v>
      </c>
      <c r="AI234" s="117">
        <f t="shared" si="199"/>
        <v>0</v>
      </c>
      <c r="AJ234" s="117">
        <f t="shared" si="200"/>
        <v>0</v>
      </c>
    </row>
    <row r="235" spans="2:36" ht="16.5" customHeight="1">
      <c r="B235" s="14"/>
      <c r="C235" s="14"/>
      <c r="D235" s="4"/>
      <c r="E235" s="4" t="s">
        <v>180</v>
      </c>
      <c r="F235" s="5">
        <v>2</v>
      </c>
      <c r="G235" s="6">
        <v>2</v>
      </c>
      <c r="H235" s="7" t="s">
        <v>224</v>
      </c>
      <c r="I235" s="7"/>
      <c r="J235" s="4"/>
      <c r="K235" s="4" t="s">
        <v>206</v>
      </c>
      <c r="L235" s="5">
        <v>1</v>
      </c>
      <c r="M235" s="6">
        <v>2</v>
      </c>
      <c r="N235" s="7" t="str">
        <f t="shared" si="184"/>
        <v/>
      </c>
      <c r="O235" s="7"/>
      <c r="P235" s="31"/>
      <c r="Q235" s="30"/>
      <c r="T235" s="121" t="str">
        <f t="shared" si="185"/>
        <v/>
      </c>
      <c r="U235" s="118">
        <f t="shared" si="186"/>
        <v>0</v>
      </c>
      <c r="V235" s="117">
        <f t="shared" si="187"/>
        <v>0</v>
      </c>
      <c r="W235" s="117">
        <f t="shared" si="188"/>
        <v>0</v>
      </c>
      <c r="X235" s="117">
        <f t="shared" si="189"/>
        <v>0</v>
      </c>
      <c r="Y235" s="117">
        <f t="shared" si="190"/>
        <v>3</v>
      </c>
      <c r="Z235" s="117">
        <f t="shared" si="191"/>
        <v>1</v>
      </c>
      <c r="AA235" s="117">
        <f t="shared" si="192"/>
        <v>0</v>
      </c>
      <c r="AC235" s="121" t="str">
        <f t="shared" si="193"/>
        <v/>
      </c>
      <c r="AD235" s="118">
        <f t="shared" si="194"/>
        <v>0</v>
      </c>
      <c r="AE235" s="117">
        <f t="shared" si="195"/>
        <v>0</v>
      </c>
      <c r="AF235" s="117">
        <f t="shared" si="196"/>
        <v>2</v>
      </c>
      <c r="AG235" s="117">
        <f t="shared" si="197"/>
        <v>-1</v>
      </c>
      <c r="AH235" s="117">
        <f t="shared" si="198"/>
        <v>0</v>
      </c>
      <c r="AI235" s="117">
        <f t="shared" si="199"/>
        <v>0</v>
      </c>
      <c r="AJ235" s="117">
        <f t="shared" si="200"/>
        <v>0</v>
      </c>
    </row>
    <row r="236" spans="2:36" ht="16.5" customHeight="1">
      <c r="B236" s="14"/>
      <c r="C236" s="14"/>
      <c r="D236" s="8"/>
      <c r="E236" s="9" t="s">
        <v>181</v>
      </c>
      <c r="F236" s="5">
        <v>0</v>
      </c>
      <c r="G236" s="6">
        <v>2</v>
      </c>
      <c r="H236" s="7" t="s">
        <v>224</v>
      </c>
      <c r="I236" s="10"/>
      <c r="J236" s="8"/>
      <c r="K236" s="9" t="s">
        <v>207</v>
      </c>
      <c r="L236" s="5">
        <v>1</v>
      </c>
      <c r="M236" s="6">
        <v>1</v>
      </c>
      <c r="N236" s="7" t="str">
        <f t="shared" si="184"/>
        <v/>
      </c>
      <c r="O236" s="10"/>
      <c r="P236" s="31"/>
      <c r="Q236" s="30"/>
      <c r="T236" s="121" t="str">
        <f t="shared" si="185"/>
        <v/>
      </c>
      <c r="U236" s="118">
        <f t="shared" si="186"/>
        <v>0</v>
      </c>
      <c r="V236" s="117">
        <f t="shared" si="187"/>
        <v>0</v>
      </c>
      <c r="W236" s="117">
        <f t="shared" si="188"/>
        <v>2</v>
      </c>
      <c r="X236" s="117">
        <f t="shared" si="189"/>
        <v>-2</v>
      </c>
      <c r="Y236" s="117">
        <f t="shared" si="190"/>
        <v>0</v>
      </c>
      <c r="Z236" s="117">
        <f t="shared" si="191"/>
        <v>0</v>
      </c>
      <c r="AA236" s="117">
        <f t="shared" si="192"/>
        <v>0</v>
      </c>
      <c r="AC236" s="121" t="str">
        <f t="shared" si="193"/>
        <v/>
      </c>
      <c r="AD236" s="118">
        <f t="shared" si="194"/>
        <v>0</v>
      </c>
      <c r="AE236" s="117">
        <f t="shared" si="195"/>
        <v>0</v>
      </c>
      <c r="AF236" s="117">
        <f t="shared" si="196"/>
        <v>0</v>
      </c>
      <c r="AG236" s="117">
        <f t="shared" si="197"/>
        <v>0</v>
      </c>
      <c r="AH236" s="117">
        <f t="shared" si="198"/>
        <v>3</v>
      </c>
      <c r="AI236" s="117">
        <f t="shared" si="199"/>
        <v>1</v>
      </c>
      <c r="AJ236" s="117">
        <f t="shared" si="200"/>
        <v>0</v>
      </c>
    </row>
    <row r="237" spans="2:36" ht="16.5" customHeight="1">
      <c r="B237" s="11"/>
      <c r="C237" s="11" t="s">
        <v>9</v>
      </c>
      <c r="D237" s="4"/>
      <c r="E237" s="4" t="s">
        <v>182</v>
      </c>
      <c r="F237" s="5">
        <v>1</v>
      </c>
      <c r="G237" s="6">
        <v>1</v>
      </c>
      <c r="H237" s="7" t="s">
        <v>224</v>
      </c>
      <c r="I237" s="7"/>
      <c r="J237" s="4"/>
      <c r="K237" s="4" t="s">
        <v>208</v>
      </c>
      <c r="L237" s="5">
        <v>1</v>
      </c>
      <c r="M237" s="6">
        <v>2</v>
      </c>
      <c r="N237" s="7" t="str">
        <f t="shared" si="184"/>
        <v/>
      </c>
      <c r="O237" s="7"/>
      <c r="P237" s="36" t="s">
        <v>25</v>
      </c>
      <c r="Q237" s="35"/>
      <c r="T237" s="121" t="str">
        <f t="shared" si="185"/>
        <v/>
      </c>
      <c r="U237" s="118">
        <f t="shared" si="186"/>
        <v>0</v>
      </c>
      <c r="V237" s="117">
        <f t="shared" si="187"/>
        <v>0</v>
      </c>
      <c r="W237" s="117">
        <f t="shared" si="188"/>
        <v>0</v>
      </c>
      <c r="X237" s="117">
        <f t="shared" si="189"/>
        <v>0</v>
      </c>
      <c r="Y237" s="117">
        <f t="shared" si="190"/>
        <v>3</v>
      </c>
      <c r="Z237" s="117">
        <f t="shared" si="191"/>
        <v>1</v>
      </c>
      <c r="AA237" s="117">
        <f t="shared" si="192"/>
        <v>0</v>
      </c>
      <c r="AC237" s="121" t="str">
        <f t="shared" si="193"/>
        <v/>
      </c>
      <c r="AD237" s="118">
        <f t="shared" si="194"/>
        <v>0</v>
      </c>
      <c r="AE237" s="117">
        <f t="shared" si="195"/>
        <v>0</v>
      </c>
      <c r="AF237" s="117">
        <f t="shared" si="196"/>
        <v>2</v>
      </c>
      <c r="AG237" s="117">
        <f t="shared" si="197"/>
        <v>-1</v>
      </c>
      <c r="AH237" s="117">
        <f t="shared" si="198"/>
        <v>0</v>
      </c>
      <c r="AI237" s="117">
        <f t="shared" si="199"/>
        <v>0</v>
      </c>
      <c r="AJ237" s="117">
        <f t="shared" si="200"/>
        <v>0</v>
      </c>
    </row>
    <row r="238" spans="2:36" ht="16.5" customHeight="1">
      <c r="B238" s="11"/>
      <c r="C238" s="11"/>
      <c r="D238" s="8"/>
      <c r="E238" s="9" t="s">
        <v>183</v>
      </c>
      <c r="F238" s="5">
        <v>2</v>
      </c>
      <c r="G238" s="6">
        <v>0</v>
      </c>
      <c r="H238" s="7" t="s">
        <v>224</v>
      </c>
      <c r="I238" s="10"/>
      <c r="J238" s="8"/>
      <c r="K238" s="9" t="s">
        <v>209</v>
      </c>
      <c r="L238" s="5">
        <v>1</v>
      </c>
      <c r="M238" s="6">
        <v>2</v>
      </c>
      <c r="N238" s="7" t="str">
        <f t="shared" si="184"/>
        <v/>
      </c>
      <c r="O238" s="10"/>
      <c r="P238" s="36"/>
      <c r="Q238" s="35"/>
      <c r="T238" s="121" t="str">
        <f t="shared" si="185"/>
        <v/>
      </c>
      <c r="U238" s="118">
        <f t="shared" si="186"/>
        <v>0</v>
      </c>
      <c r="V238" s="117">
        <f t="shared" si="187"/>
        <v>0</v>
      </c>
      <c r="W238" s="117">
        <f t="shared" si="188"/>
        <v>1</v>
      </c>
      <c r="X238" s="117">
        <f t="shared" si="189"/>
        <v>2</v>
      </c>
      <c r="Y238" s="117">
        <f t="shared" si="190"/>
        <v>0</v>
      </c>
      <c r="Z238" s="117">
        <f t="shared" si="191"/>
        <v>0</v>
      </c>
      <c r="AA238" s="117">
        <f t="shared" si="192"/>
        <v>0</v>
      </c>
      <c r="AC238" s="121" t="str">
        <f t="shared" si="193"/>
        <v/>
      </c>
      <c r="AD238" s="118">
        <f t="shared" si="194"/>
        <v>0</v>
      </c>
      <c r="AE238" s="117">
        <f t="shared" si="195"/>
        <v>0</v>
      </c>
      <c r="AF238" s="117">
        <f t="shared" si="196"/>
        <v>2</v>
      </c>
      <c r="AG238" s="117">
        <f t="shared" si="197"/>
        <v>-1</v>
      </c>
      <c r="AH238" s="117">
        <f t="shared" si="198"/>
        <v>0</v>
      </c>
      <c r="AI238" s="117">
        <f t="shared" si="199"/>
        <v>0</v>
      </c>
      <c r="AJ238" s="117">
        <f t="shared" si="200"/>
        <v>0</v>
      </c>
    </row>
    <row r="239" spans="2:36" ht="16.5" customHeight="1">
      <c r="B239" s="11"/>
      <c r="C239" s="11"/>
      <c r="D239" s="4"/>
      <c r="E239" s="4" t="s">
        <v>184</v>
      </c>
      <c r="F239" s="5">
        <v>1</v>
      </c>
      <c r="G239" s="6">
        <v>2</v>
      </c>
      <c r="H239" s="7" t="s">
        <v>224</v>
      </c>
      <c r="I239" s="7"/>
      <c r="J239" s="4"/>
      <c r="K239" s="4" t="s">
        <v>210</v>
      </c>
      <c r="L239" s="5">
        <v>0</v>
      </c>
      <c r="M239" s="6">
        <v>1</v>
      </c>
      <c r="N239" s="7" t="str">
        <f t="shared" si="184"/>
        <v/>
      </c>
      <c r="O239" s="7"/>
      <c r="P239" s="36"/>
      <c r="Q239" s="35"/>
      <c r="T239" s="121" t="str">
        <f t="shared" si="185"/>
        <v/>
      </c>
      <c r="U239" s="118">
        <f t="shared" si="186"/>
        <v>0</v>
      </c>
      <c r="V239" s="117">
        <f t="shared" si="187"/>
        <v>0</v>
      </c>
      <c r="W239" s="117">
        <f t="shared" si="188"/>
        <v>2</v>
      </c>
      <c r="X239" s="117">
        <f t="shared" si="189"/>
        <v>-1</v>
      </c>
      <c r="Y239" s="117">
        <f t="shared" si="190"/>
        <v>0</v>
      </c>
      <c r="Z239" s="117">
        <f t="shared" si="191"/>
        <v>0</v>
      </c>
      <c r="AA239" s="117">
        <f t="shared" si="192"/>
        <v>0</v>
      </c>
      <c r="AC239" s="121" t="str">
        <f t="shared" si="193"/>
        <v/>
      </c>
      <c r="AD239" s="118">
        <f t="shared" si="194"/>
        <v>0</v>
      </c>
      <c r="AE239" s="117">
        <f t="shared" si="195"/>
        <v>0</v>
      </c>
      <c r="AF239" s="117">
        <f t="shared" si="196"/>
        <v>2</v>
      </c>
      <c r="AG239" s="117">
        <f t="shared" si="197"/>
        <v>-1</v>
      </c>
      <c r="AH239" s="117">
        <f t="shared" si="198"/>
        <v>0</v>
      </c>
      <c r="AI239" s="117">
        <f t="shared" si="199"/>
        <v>0</v>
      </c>
      <c r="AJ239" s="117">
        <f t="shared" si="200"/>
        <v>0</v>
      </c>
    </row>
    <row r="240" spans="2:36" ht="16.5" customHeight="1">
      <c r="B240" s="11"/>
      <c r="C240" s="11"/>
      <c r="D240" s="8"/>
      <c r="E240" s="9" t="s">
        <v>222</v>
      </c>
      <c r="F240" s="5">
        <v>1</v>
      </c>
      <c r="G240" s="6">
        <v>2</v>
      </c>
      <c r="H240" s="7" t="s">
        <v>224</v>
      </c>
      <c r="I240" s="10"/>
      <c r="J240" s="8"/>
      <c r="K240" s="9" t="s">
        <v>211</v>
      </c>
      <c r="L240" s="5">
        <v>2</v>
      </c>
      <c r="M240" s="6">
        <v>2</v>
      </c>
      <c r="N240" s="7" t="str">
        <f t="shared" si="184"/>
        <v/>
      </c>
      <c r="O240" s="10"/>
      <c r="P240" s="36"/>
      <c r="Q240" s="35"/>
      <c r="T240" s="121" t="str">
        <f t="shared" si="185"/>
        <v/>
      </c>
      <c r="U240" s="118">
        <f t="shared" si="186"/>
        <v>0</v>
      </c>
      <c r="V240" s="117">
        <f t="shared" si="187"/>
        <v>0</v>
      </c>
      <c r="W240" s="117">
        <f t="shared" si="188"/>
        <v>2</v>
      </c>
      <c r="X240" s="117">
        <f t="shared" si="189"/>
        <v>-1</v>
      </c>
      <c r="Y240" s="117">
        <f t="shared" si="190"/>
        <v>0</v>
      </c>
      <c r="Z240" s="117">
        <f t="shared" si="191"/>
        <v>0</v>
      </c>
      <c r="AA240" s="117">
        <f t="shared" si="192"/>
        <v>0</v>
      </c>
      <c r="AC240" s="121" t="str">
        <f t="shared" si="193"/>
        <v/>
      </c>
      <c r="AD240" s="118">
        <f t="shared" si="194"/>
        <v>0</v>
      </c>
      <c r="AE240" s="117">
        <f t="shared" si="195"/>
        <v>0</v>
      </c>
      <c r="AF240" s="117">
        <f t="shared" si="196"/>
        <v>0</v>
      </c>
      <c r="AG240" s="117">
        <f t="shared" si="197"/>
        <v>0</v>
      </c>
      <c r="AH240" s="117">
        <f t="shared" si="198"/>
        <v>3</v>
      </c>
      <c r="AI240" s="117">
        <f t="shared" si="199"/>
        <v>1</v>
      </c>
      <c r="AJ240" s="117">
        <f t="shared" si="200"/>
        <v>0</v>
      </c>
    </row>
    <row r="241" spans="2:36" ht="16.5" customHeight="1">
      <c r="B241" s="11"/>
      <c r="C241" s="11"/>
      <c r="D241" s="4"/>
      <c r="E241" s="4" t="s">
        <v>185</v>
      </c>
      <c r="F241" s="5">
        <v>1</v>
      </c>
      <c r="G241" s="6">
        <v>2</v>
      </c>
      <c r="H241" s="7" t="s">
        <v>224</v>
      </c>
      <c r="I241" s="7"/>
      <c r="J241" s="4"/>
      <c r="K241" s="4" t="s">
        <v>212</v>
      </c>
      <c r="L241" s="5">
        <v>0</v>
      </c>
      <c r="M241" s="6">
        <v>1</v>
      </c>
      <c r="N241" s="7" t="str">
        <f t="shared" si="184"/>
        <v/>
      </c>
      <c r="O241" s="7"/>
      <c r="P241" s="36"/>
      <c r="Q241" s="35"/>
      <c r="T241" s="121" t="str">
        <f t="shared" si="185"/>
        <v/>
      </c>
      <c r="U241" s="118">
        <f t="shared" si="186"/>
        <v>0</v>
      </c>
      <c r="V241" s="117">
        <f t="shared" si="187"/>
        <v>0</v>
      </c>
      <c r="W241" s="117">
        <f t="shared" si="188"/>
        <v>2</v>
      </c>
      <c r="X241" s="117">
        <f t="shared" si="189"/>
        <v>-1</v>
      </c>
      <c r="Y241" s="117">
        <f t="shared" si="190"/>
        <v>0</v>
      </c>
      <c r="Z241" s="117">
        <f t="shared" si="191"/>
        <v>0</v>
      </c>
      <c r="AA241" s="117">
        <f t="shared" si="192"/>
        <v>0</v>
      </c>
      <c r="AC241" s="121" t="str">
        <f t="shared" si="193"/>
        <v/>
      </c>
      <c r="AD241" s="118">
        <f t="shared" si="194"/>
        <v>0</v>
      </c>
      <c r="AE241" s="117">
        <f t="shared" si="195"/>
        <v>0</v>
      </c>
      <c r="AF241" s="117">
        <f t="shared" si="196"/>
        <v>2</v>
      </c>
      <c r="AG241" s="117">
        <f t="shared" si="197"/>
        <v>-1</v>
      </c>
      <c r="AH241" s="117">
        <f t="shared" si="198"/>
        <v>0</v>
      </c>
      <c r="AI241" s="117">
        <f t="shared" si="199"/>
        <v>0</v>
      </c>
      <c r="AJ241" s="117">
        <f t="shared" si="200"/>
        <v>0</v>
      </c>
    </row>
    <row r="242" spans="2:36" ht="16.5" customHeight="1">
      <c r="B242" s="11"/>
      <c r="C242" s="11"/>
      <c r="D242" s="8"/>
      <c r="E242" s="9" t="s">
        <v>186</v>
      </c>
      <c r="F242" s="5">
        <v>1</v>
      </c>
      <c r="G242" s="6">
        <v>2</v>
      </c>
      <c r="H242" s="7" t="s">
        <v>224</v>
      </c>
      <c r="I242" s="10"/>
      <c r="J242" s="8"/>
      <c r="K242" s="9" t="s">
        <v>213</v>
      </c>
      <c r="L242" s="5">
        <v>2</v>
      </c>
      <c r="M242" s="6">
        <v>2</v>
      </c>
      <c r="N242" s="7" t="str">
        <f t="shared" si="184"/>
        <v/>
      </c>
      <c r="O242" s="10"/>
      <c r="P242" s="36"/>
      <c r="Q242" s="35"/>
      <c r="T242" s="121" t="str">
        <f t="shared" si="185"/>
        <v/>
      </c>
      <c r="U242" s="118">
        <f t="shared" si="186"/>
        <v>0</v>
      </c>
      <c r="V242" s="117">
        <f t="shared" si="187"/>
        <v>0</v>
      </c>
      <c r="W242" s="117">
        <f t="shared" si="188"/>
        <v>2</v>
      </c>
      <c r="X242" s="117">
        <f t="shared" si="189"/>
        <v>-1</v>
      </c>
      <c r="Y242" s="117">
        <f t="shared" si="190"/>
        <v>0</v>
      </c>
      <c r="Z242" s="117">
        <f t="shared" si="191"/>
        <v>0</v>
      </c>
      <c r="AA242" s="117">
        <f t="shared" si="192"/>
        <v>0</v>
      </c>
      <c r="AC242" s="121" t="str">
        <f t="shared" si="193"/>
        <v/>
      </c>
      <c r="AD242" s="118">
        <f t="shared" si="194"/>
        <v>0</v>
      </c>
      <c r="AE242" s="117">
        <f t="shared" si="195"/>
        <v>0</v>
      </c>
      <c r="AF242" s="117">
        <f t="shared" si="196"/>
        <v>0</v>
      </c>
      <c r="AG242" s="117">
        <f t="shared" si="197"/>
        <v>0</v>
      </c>
      <c r="AH242" s="117">
        <f t="shared" si="198"/>
        <v>3</v>
      </c>
      <c r="AI242" s="117">
        <f t="shared" si="199"/>
        <v>1</v>
      </c>
      <c r="AJ242" s="117">
        <f t="shared" si="200"/>
        <v>0</v>
      </c>
    </row>
    <row r="243" spans="2:36" ht="16.5" customHeight="1">
      <c r="B243" s="11"/>
      <c r="C243" s="11"/>
      <c r="D243" s="4"/>
      <c r="E243" s="4" t="s">
        <v>187</v>
      </c>
      <c r="F243" s="5">
        <v>1</v>
      </c>
      <c r="G243" s="6">
        <v>3</v>
      </c>
      <c r="H243" s="7" t="s">
        <v>224</v>
      </c>
      <c r="I243" s="7"/>
      <c r="J243" s="4"/>
      <c r="K243" s="4" t="s">
        <v>214</v>
      </c>
      <c r="L243" s="5">
        <v>1</v>
      </c>
      <c r="M243" s="6">
        <v>2</v>
      </c>
      <c r="N243" s="7" t="str">
        <f t="shared" si="184"/>
        <v/>
      </c>
      <c r="O243" s="7"/>
      <c r="P243" s="36"/>
      <c r="Q243" s="35"/>
      <c r="T243" s="121" t="str">
        <f t="shared" si="185"/>
        <v/>
      </c>
      <c r="U243" s="118">
        <f t="shared" si="186"/>
        <v>0</v>
      </c>
      <c r="V243" s="117">
        <f t="shared" si="187"/>
        <v>0</v>
      </c>
      <c r="W243" s="117">
        <f t="shared" si="188"/>
        <v>2</v>
      </c>
      <c r="X243" s="117">
        <f t="shared" si="189"/>
        <v>-2</v>
      </c>
      <c r="Y243" s="117">
        <f t="shared" si="190"/>
        <v>0</v>
      </c>
      <c r="Z243" s="117">
        <f t="shared" si="191"/>
        <v>0</v>
      </c>
      <c r="AA243" s="117">
        <f t="shared" si="192"/>
        <v>0</v>
      </c>
      <c r="AC243" s="121" t="str">
        <f t="shared" si="193"/>
        <v/>
      </c>
      <c r="AD243" s="118">
        <f t="shared" si="194"/>
        <v>0</v>
      </c>
      <c r="AE243" s="117">
        <f t="shared" si="195"/>
        <v>0</v>
      </c>
      <c r="AF243" s="117">
        <f t="shared" si="196"/>
        <v>2</v>
      </c>
      <c r="AG243" s="117">
        <f t="shared" si="197"/>
        <v>-1</v>
      </c>
      <c r="AH243" s="117">
        <f t="shared" si="198"/>
        <v>0</v>
      </c>
      <c r="AI243" s="117">
        <f t="shared" si="199"/>
        <v>0</v>
      </c>
      <c r="AJ243" s="117">
        <f t="shared" si="200"/>
        <v>0</v>
      </c>
    </row>
    <row r="244" spans="2:36" ht="16.5" customHeight="1">
      <c r="B244" s="15"/>
      <c r="C244" s="15" t="s">
        <v>10</v>
      </c>
      <c r="D244" s="8"/>
      <c r="E244" s="9" t="s">
        <v>188</v>
      </c>
      <c r="F244" s="5">
        <v>2</v>
      </c>
      <c r="G244" s="6">
        <v>2</v>
      </c>
      <c r="H244" s="7" t="s">
        <v>224</v>
      </c>
      <c r="I244" s="10"/>
      <c r="J244" s="8"/>
      <c r="K244" s="9" t="s">
        <v>215</v>
      </c>
      <c r="L244" s="5">
        <v>1</v>
      </c>
      <c r="M244" s="6">
        <v>1</v>
      </c>
      <c r="N244" s="7" t="str">
        <f t="shared" si="184"/>
        <v/>
      </c>
      <c r="O244" s="10"/>
      <c r="P244" s="39" t="s">
        <v>26</v>
      </c>
      <c r="Q244" s="38"/>
      <c r="T244" s="121" t="str">
        <f t="shared" si="185"/>
        <v/>
      </c>
      <c r="U244" s="118">
        <f t="shared" si="186"/>
        <v>0</v>
      </c>
      <c r="V244" s="117">
        <f t="shared" si="187"/>
        <v>0</v>
      </c>
      <c r="W244" s="117">
        <f t="shared" si="188"/>
        <v>0</v>
      </c>
      <c r="X244" s="117">
        <f t="shared" si="189"/>
        <v>0</v>
      </c>
      <c r="Y244" s="117">
        <f t="shared" si="190"/>
        <v>3</v>
      </c>
      <c r="Z244" s="117">
        <f t="shared" si="191"/>
        <v>1</v>
      </c>
      <c r="AA244" s="117">
        <f t="shared" si="192"/>
        <v>0</v>
      </c>
      <c r="AC244" s="121" t="str">
        <f t="shared" si="193"/>
        <v/>
      </c>
      <c r="AD244" s="118">
        <f t="shared" si="194"/>
        <v>0</v>
      </c>
      <c r="AE244" s="117">
        <f t="shared" si="195"/>
        <v>0</v>
      </c>
      <c r="AF244" s="117">
        <f t="shared" si="196"/>
        <v>0</v>
      </c>
      <c r="AG244" s="117">
        <f t="shared" si="197"/>
        <v>0</v>
      </c>
      <c r="AH244" s="117">
        <f t="shared" si="198"/>
        <v>3</v>
      </c>
      <c r="AI244" s="117">
        <f t="shared" si="199"/>
        <v>1</v>
      </c>
      <c r="AJ244" s="117">
        <f t="shared" si="200"/>
        <v>0</v>
      </c>
    </row>
    <row r="245" spans="2:36" ht="16.5" customHeight="1">
      <c r="B245" s="15"/>
      <c r="C245" s="15"/>
      <c r="D245" s="4"/>
      <c r="E245" s="4" t="s">
        <v>189</v>
      </c>
      <c r="F245" s="5">
        <v>1</v>
      </c>
      <c r="G245" s="6">
        <v>2</v>
      </c>
      <c r="H245" s="7" t="s">
        <v>224</v>
      </c>
      <c r="I245" s="7"/>
      <c r="J245" s="4"/>
      <c r="K245" s="4" t="s">
        <v>216</v>
      </c>
      <c r="L245" s="5">
        <v>1</v>
      </c>
      <c r="M245" s="6">
        <v>1</v>
      </c>
      <c r="N245" s="7" t="str">
        <f t="shared" si="184"/>
        <v/>
      </c>
      <c r="O245" s="7"/>
      <c r="P245" s="39"/>
      <c r="Q245" s="38"/>
      <c r="T245" s="121" t="str">
        <f t="shared" si="185"/>
        <v/>
      </c>
      <c r="U245" s="118">
        <f t="shared" si="186"/>
        <v>0</v>
      </c>
      <c r="V245" s="117">
        <f t="shared" si="187"/>
        <v>0</v>
      </c>
      <c r="W245" s="117">
        <f t="shared" si="188"/>
        <v>2</v>
      </c>
      <c r="X245" s="117">
        <f t="shared" si="189"/>
        <v>-1</v>
      </c>
      <c r="Y245" s="117">
        <f t="shared" si="190"/>
        <v>0</v>
      </c>
      <c r="Z245" s="117">
        <f t="shared" si="191"/>
        <v>0</v>
      </c>
      <c r="AA245" s="117">
        <f t="shared" si="192"/>
        <v>0</v>
      </c>
      <c r="AC245" s="121" t="str">
        <f t="shared" si="193"/>
        <v/>
      </c>
      <c r="AD245" s="118">
        <f t="shared" si="194"/>
        <v>0</v>
      </c>
      <c r="AE245" s="117">
        <f t="shared" si="195"/>
        <v>0</v>
      </c>
      <c r="AF245" s="117">
        <f t="shared" si="196"/>
        <v>0</v>
      </c>
      <c r="AG245" s="117">
        <f t="shared" si="197"/>
        <v>0</v>
      </c>
      <c r="AH245" s="117">
        <f t="shared" si="198"/>
        <v>3</v>
      </c>
      <c r="AI245" s="117">
        <f t="shared" si="199"/>
        <v>1</v>
      </c>
      <c r="AJ245" s="117">
        <f t="shared" si="200"/>
        <v>0</v>
      </c>
    </row>
    <row r="246" spans="2:36" ht="16.5" customHeight="1">
      <c r="B246" s="15"/>
      <c r="C246" s="15"/>
      <c r="D246" s="8"/>
      <c r="E246" s="9" t="s">
        <v>190</v>
      </c>
      <c r="F246" s="5">
        <v>1</v>
      </c>
      <c r="G246" s="6">
        <v>2</v>
      </c>
      <c r="H246" s="7" t="s">
        <v>224</v>
      </c>
      <c r="I246" s="10"/>
      <c r="J246" s="8"/>
      <c r="K246" s="9" t="s">
        <v>217</v>
      </c>
      <c r="L246" s="5">
        <v>1</v>
      </c>
      <c r="M246" s="6">
        <v>2</v>
      </c>
      <c r="N246" s="7" t="str">
        <f t="shared" si="184"/>
        <v/>
      </c>
      <c r="O246" s="10"/>
      <c r="P246" s="39"/>
      <c r="Q246" s="38"/>
      <c r="T246" s="121" t="str">
        <f t="shared" si="185"/>
        <v/>
      </c>
      <c r="U246" s="118">
        <f t="shared" si="186"/>
        <v>0</v>
      </c>
      <c r="V246" s="117">
        <f t="shared" si="187"/>
        <v>0</v>
      </c>
      <c r="W246" s="117">
        <f t="shared" si="188"/>
        <v>2</v>
      </c>
      <c r="X246" s="117">
        <f t="shared" si="189"/>
        <v>-1</v>
      </c>
      <c r="Y246" s="117">
        <f t="shared" si="190"/>
        <v>0</v>
      </c>
      <c r="Z246" s="117">
        <f t="shared" si="191"/>
        <v>0</v>
      </c>
      <c r="AA246" s="117">
        <f t="shared" si="192"/>
        <v>0</v>
      </c>
      <c r="AC246" s="121" t="str">
        <f t="shared" si="193"/>
        <v/>
      </c>
      <c r="AD246" s="118">
        <f t="shared" si="194"/>
        <v>0</v>
      </c>
      <c r="AE246" s="117">
        <f t="shared" si="195"/>
        <v>0</v>
      </c>
      <c r="AF246" s="117">
        <f t="shared" si="196"/>
        <v>2</v>
      </c>
      <c r="AG246" s="117">
        <f t="shared" si="197"/>
        <v>-1</v>
      </c>
      <c r="AH246" s="117">
        <f t="shared" si="198"/>
        <v>0</v>
      </c>
      <c r="AI246" s="117">
        <f t="shared" si="199"/>
        <v>0</v>
      </c>
      <c r="AJ246" s="117">
        <f t="shared" si="200"/>
        <v>0</v>
      </c>
    </row>
    <row r="247" spans="2:36" ht="16.5" customHeight="1">
      <c r="B247" s="15"/>
      <c r="C247" s="15"/>
      <c r="D247" s="4"/>
      <c r="E247" s="4" t="s">
        <v>191</v>
      </c>
      <c r="F247" s="5">
        <v>1</v>
      </c>
      <c r="G247" s="6">
        <v>1</v>
      </c>
      <c r="H247" s="7" t="s">
        <v>224</v>
      </c>
      <c r="I247" s="7"/>
      <c r="J247" s="4"/>
      <c r="K247" s="4" t="s">
        <v>218</v>
      </c>
      <c r="L247" s="5">
        <v>0</v>
      </c>
      <c r="M247" s="6">
        <v>2</v>
      </c>
      <c r="N247" s="7" t="str">
        <f t="shared" si="184"/>
        <v/>
      </c>
      <c r="O247" s="7"/>
      <c r="P247" s="39"/>
      <c r="Q247" s="38"/>
      <c r="T247" s="121" t="str">
        <f t="shared" si="185"/>
        <v/>
      </c>
      <c r="U247" s="118">
        <f t="shared" si="186"/>
        <v>0</v>
      </c>
      <c r="V247" s="117">
        <f t="shared" si="187"/>
        <v>0</v>
      </c>
      <c r="W247" s="117">
        <f t="shared" si="188"/>
        <v>0</v>
      </c>
      <c r="X247" s="117">
        <f t="shared" si="189"/>
        <v>0</v>
      </c>
      <c r="Y247" s="117">
        <f t="shared" si="190"/>
        <v>3</v>
      </c>
      <c r="Z247" s="117">
        <f t="shared" si="191"/>
        <v>1</v>
      </c>
      <c r="AA247" s="117">
        <f t="shared" si="192"/>
        <v>0</v>
      </c>
      <c r="AC247" s="121" t="str">
        <f t="shared" si="193"/>
        <v/>
      </c>
      <c r="AD247" s="118">
        <f t="shared" si="194"/>
        <v>0</v>
      </c>
      <c r="AE247" s="117">
        <f t="shared" si="195"/>
        <v>0</v>
      </c>
      <c r="AF247" s="117">
        <f t="shared" si="196"/>
        <v>2</v>
      </c>
      <c r="AG247" s="117">
        <f t="shared" si="197"/>
        <v>-2</v>
      </c>
      <c r="AH247" s="117">
        <f t="shared" si="198"/>
        <v>0</v>
      </c>
      <c r="AI247" s="117">
        <f t="shared" si="199"/>
        <v>0</v>
      </c>
      <c r="AJ247" s="117">
        <f t="shared" si="200"/>
        <v>0</v>
      </c>
    </row>
    <row r="248" spans="2:36" ht="16.5" customHeight="1">
      <c r="B248" s="15"/>
      <c r="C248" s="15"/>
      <c r="D248" s="8"/>
      <c r="E248" s="9" t="s">
        <v>192</v>
      </c>
      <c r="F248" s="5">
        <v>0</v>
      </c>
      <c r="G248" s="6">
        <v>2</v>
      </c>
      <c r="H248" s="7" t="s">
        <v>224</v>
      </c>
      <c r="I248" s="10"/>
      <c r="J248" s="8"/>
      <c r="K248" s="9" t="s">
        <v>219</v>
      </c>
      <c r="L248" s="5">
        <v>1</v>
      </c>
      <c r="M248" s="6">
        <v>1</v>
      </c>
      <c r="N248" s="7" t="str">
        <f t="shared" si="184"/>
        <v/>
      </c>
      <c r="O248" s="10"/>
      <c r="P248" s="39"/>
      <c r="Q248" s="38"/>
      <c r="T248" s="121" t="str">
        <f t="shared" si="185"/>
        <v/>
      </c>
      <c r="U248" s="118">
        <f t="shared" si="186"/>
        <v>0</v>
      </c>
      <c r="V248" s="117">
        <f t="shared" si="187"/>
        <v>0</v>
      </c>
      <c r="W248" s="117">
        <f t="shared" si="188"/>
        <v>2</v>
      </c>
      <c r="X248" s="117">
        <f t="shared" si="189"/>
        <v>-2</v>
      </c>
      <c r="Y248" s="117">
        <f t="shared" si="190"/>
        <v>0</v>
      </c>
      <c r="Z248" s="117">
        <f t="shared" si="191"/>
        <v>0</v>
      </c>
      <c r="AA248" s="117">
        <f t="shared" si="192"/>
        <v>0</v>
      </c>
      <c r="AC248" s="121" t="str">
        <f t="shared" si="193"/>
        <v/>
      </c>
      <c r="AD248" s="118">
        <f t="shared" si="194"/>
        <v>0</v>
      </c>
      <c r="AE248" s="117">
        <f t="shared" si="195"/>
        <v>0</v>
      </c>
      <c r="AF248" s="117">
        <f t="shared" si="196"/>
        <v>0</v>
      </c>
      <c r="AG248" s="117">
        <f t="shared" si="197"/>
        <v>0</v>
      </c>
      <c r="AH248" s="117">
        <f t="shared" si="198"/>
        <v>3</v>
      </c>
      <c r="AI248" s="117">
        <f t="shared" si="199"/>
        <v>1</v>
      </c>
      <c r="AJ248" s="117">
        <f t="shared" si="200"/>
        <v>0</v>
      </c>
    </row>
    <row r="249" spans="2:36" ht="16.5" customHeight="1">
      <c r="B249" s="15"/>
      <c r="C249" s="15"/>
      <c r="D249" s="4"/>
      <c r="E249" s="4" t="s">
        <v>193</v>
      </c>
      <c r="F249" s="5">
        <v>1</v>
      </c>
      <c r="G249" s="6">
        <v>1</v>
      </c>
      <c r="H249" s="7" t="s">
        <v>224</v>
      </c>
      <c r="I249" s="7"/>
      <c r="J249" s="4"/>
      <c r="K249" s="4" t="s">
        <v>220</v>
      </c>
      <c r="L249" s="5">
        <v>2</v>
      </c>
      <c r="M249" s="6">
        <v>3</v>
      </c>
      <c r="N249" s="7" t="str">
        <f t="shared" si="184"/>
        <v/>
      </c>
      <c r="O249" s="7"/>
      <c r="P249" s="39"/>
      <c r="Q249" s="38"/>
      <c r="T249" s="121" t="str">
        <f t="shared" si="185"/>
        <v/>
      </c>
      <c r="U249" s="118">
        <f t="shared" si="186"/>
        <v>0</v>
      </c>
      <c r="V249" s="117">
        <f t="shared" si="187"/>
        <v>0</v>
      </c>
      <c r="W249" s="117">
        <f t="shared" si="188"/>
        <v>0</v>
      </c>
      <c r="X249" s="117">
        <f t="shared" si="189"/>
        <v>0</v>
      </c>
      <c r="Y249" s="117">
        <f t="shared" si="190"/>
        <v>3</v>
      </c>
      <c r="Z249" s="117">
        <f t="shared" si="191"/>
        <v>1</v>
      </c>
      <c r="AA249" s="117">
        <f t="shared" si="192"/>
        <v>0</v>
      </c>
      <c r="AC249" s="121" t="str">
        <f t="shared" si="193"/>
        <v/>
      </c>
      <c r="AD249" s="118">
        <f t="shared" si="194"/>
        <v>0</v>
      </c>
      <c r="AE249" s="117">
        <f t="shared" si="195"/>
        <v>0</v>
      </c>
      <c r="AF249" s="117">
        <f t="shared" si="196"/>
        <v>2</v>
      </c>
      <c r="AG249" s="117">
        <f t="shared" si="197"/>
        <v>-1</v>
      </c>
      <c r="AH249" s="117">
        <f t="shared" si="198"/>
        <v>0</v>
      </c>
      <c r="AI249" s="117">
        <f t="shared" si="199"/>
        <v>0</v>
      </c>
      <c r="AJ249" s="117">
        <f t="shared" si="200"/>
        <v>0</v>
      </c>
    </row>
    <row r="250" spans="2:36" ht="16.5" customHeight="1">
      <c r="B250" s="15"/>
      <c r="C250" s="15"/>
      <c r="D250" s="8"/>
      <c r="E250" s="9" t="s">
        <v>194</v>
      </c>
      <c r="F250" s="5">
        <v>1</v>
      </c>
      <c r="G250" s="6">
        <v>1</v>
      </c>
      <c r="H250" s="7" t="s">
        <v>224</v>
      </c>
      <c r="I250" s="10"/>
      <c r="J250" s="8"/>
      <c r="K250" s="9" t="s">
        <v>221</v>
      </c>
      <c r="L250" s="5">
        <v>0</v>
      </c>
      <c r="M250" s="6">
        <v>2</v>
      </c>
      <c r="N250" s="7" t="str">
        <f t="shared" si="184"/>
        <v/>
      </c>
      <c r="O250" s="10"/>
      <c r="P250" s="39"/>
      <c r="Q250" s="38"/>
      <c r="T250" s="121" t="str">
        <f t="shared" si="185"/>
        <v/>
      </c>
      <c r="U250" s="118">
        <f t="shared" si="186"/>
        <v>0</v>
      </c>
      <c r="V250" s="117">
        <f t="shared" si="187"/>
        <v>0</v>
      </c>
      <c r="W250" s="117">
        <f t="shared" si="188"/>
        <v>0</v>
      </c>
      <c r="X250" s="117">
        <f t="shared" si="189"/>
        <v>0</v>
      </c>
      <c r="Y250" s="117">
        <f t="shared" si="190"/>
        <v>3</v>
      </c>
      <c r="Z250" s="117">
        <f t="shared" si="191"/>
        <v>1</v>
      </c>
      <c r="AA250" s="117">
        <f t="shared" si="192"/>
        <v>0</v>
      </c>
      <c r="AC250" s="121" t="str">
        <f t="shared" si="193"/>
        <v/>
      </c>
      <c r="AD250" s="118">
        <f t="shared" si="194"/>
        <v>0</v>
      </c>
      <c r="AE250" s="117">
        <f t="shared" si="195"/>
        <v>0</v>
      </c>
      <c r="AF250" s="117">
        <f t="shared" si="196"/>
        <v>2</v>
      </c>
      <c r="AG250" s="117">
        <f t="shared" si="197"/>
        <v>-2</v>
      </c>
      <c r="AH250" s="117">
        <f t="shared" si="198"/>
        <v>0</v>
      </c>
      <c r="AI250" s="117">
        <f t="shared" si="199"/>
        <v>0</v>
      </c>
      <c r="AJ250" s="117">
        <f t="shared" si="200"/>
        <v>0</v>
      </c>
    </row>
    <row r="251" spans="2:36" ht="16.5" customHeight="1">
      <c r="K251" s="3"/>
    </row>
    <row r="252" spans="2:36" ht="23.25">
      <c r="B252" s="33" t="s">
        <v>124</v>
      </c>
      <c r="D252" s="52"/>
      <c r="E252" s="55" t="s">
        <v>21</v>
      </c>
      <c r="F252" s="56"/>
      <c r="G252" s="57"/>
      <c r="H252" s="57"/>
      <c r="I252" s="56"/>
      <c r="J252" s="82"/>
      <c r="K252" s="82" t="s">
        <v>70</v>
      </c>
      <c r="M252" s="91"/>
      <c r="N252" s="92"/>
      <c r="O252" s="92"/>
      <c r="P252" s="93"/>
      <c r="Q252" s="92"/>
      <c r="R252" s="92"/>
    </row>
    <row r="253" spans="2:36" ht="16.5" customHeight="1">
      <c r="C253" s="1"/>
      <c r="D253" s="1"/>
      <c r="E253" s="1"/>
      <c r="H253" s="1"/>
      <c r="I253" s="1"/>
      <c r="J253" s="1"/>
      <c r="P253" s="1"/>
    </row>
    <row r="254" spans="2:36" ht="16.5" customHeight="1">
      <c r="B254" s="12"/>
      <c r="C254" s="12" t="s">
        <v>7</v>
      </c>
      <c r="D254" s="4"/>
      <c r="E254" s="4" t="s">
        <v>32</v>
      </c>
      <c r="F254" s="5">
        <v>3</v>
      </c>
      <c r="G254" s="6">
        <v>0</v>
      </c>
      <c r="H254" s="7" t="s">
        <v>224</v>
      </c>
      <c r="I254" s="7"/>
      <c r="J254" s="4"/>
      <c r="K254" s="4" t="s">
        <v>195</v>
      </c>
      <c r="L254" s="5">
        <v>5</v>
      </c>
      <c r="M254" s="6">
        <v>0</v>
      </c>
      <c r="N254" s="7" t="str">
        <f>AC254</f>
        <v/>
      </c>
      <c r="O254" s="7"/>
      <c r="P254" s="24" t="s">
        <v>13</v>
      </c>
      <c r="Q254" s="13"/>
      <c r="T254" s="121" t="str">
        <f>IF($G$252="","",SUM(Y254:AA254))</f>
        <v/>
      </c>
      <c r="U254" s="118">
        <f t="shared" ref="U254" si="201">IF(V254&gt;0,1,IF(V254=0,0,2))</f>
        <v>0</v>
      </c>
      <c r="V254" s="117">
        <f>$G$252-$H$252</f>
        <v>0</v>
      </c>
      <c r="W254" s="117">
        <f t="shared" ref="W254" si="202">IF(X254&gt;0,1,IF(X254=0,0,2))</f>
        <v>1</v>
      </c>
      <c r="X254" s="117">
        <f>F254-G254</f>
        <v>3</v>
      </c>
      <c r="Y254" s="117">
        <f t="shared" ref="Y254" si="203">IF(U254=W254,3,0)</f>
        <v>0</v>
      </c>
      <c r="Z254" s="117">
        <f t="shared" ref="Z254" si="204">IF(V254=X254,1,0)</f>
        <v>0</v>
      </c>
      <c r="AA254" s="117">
        <f>IF(Z254=1,IF($G$252=F254,1,0),0)</f>
        <v>0</v>
      </c>
      <c r="AC254" s="121" t="str">
        <f>IF($G$252="","",SUM(AH254:AJ254))</f>
        <v/>
      </c>
      <c r="AD254" s="118">
        <f t="shared" ref="AD254" si="205">IF(AE254&gt;0,1,IF(AE254=0,0,2))</f>
        <v>0</v>
      </c>
      <c r="AE254" s="117">
        <f>$G$252-$H$252</f>
        <v>0</v>
      </c>
      <c r="AF254" s="117">
        <f t="shared" ref="AF254" si="206">IF(AG254&gt;0,1,IF(AG254=0,0,2))</f>
        <v>1</v>
      </c>
      <c r="AG254" s="117">
        <f>L254-M254</f>
        <v>5</v>
      </c>
      <c r="AH254" s="117">
        <f t="shared" ref="AH254" si="207">IF(AD254=AF254,3,0)</f>
        <v>0</v>
      </c>
      <c r="AI254" s="117">
        <f t="shared" ref="AI254" si="208">IF(AE254=AG254,1,0)</f>
        <v>0</v>
      </c>
      <c r="AJ254" s="117">
        <f>IF(AI254=1,IF($G$252=L254,1,0),0)</f>
        <v>0</v>
      </c>
    </row>
    <row r="255" spans="2:36" ht="16.5" customHeight="1">
      <c r="B255" s="12"/>
      <c r="C255" s="12"/>
      <c r="D255" s="8"/>
      <c r="E255" s="9" t="s">
        <v>170</v>
      </c>
      <c r="F255" s="5">
        <v>3</v>
      </c>
      <c r="G255" s="6">
        <v>0</v>
      </c>
      <c r="H255" s="7" t="s">
        <v>224</v>
      </c>
      <c r="I255" s="10"/>
      <c r="J255" s="8"/>
      <c r="K255" s="9" t="s">
        <v>196</v>
      </c>
      <c r="L255" s="5">
        <v>5</v>
      </c>
      <c r="M255" s="6">
        <v>0</v>
      </c>
      <c r="N255" s="7" t="str">
        <f t="shared" ref="N255:N281" si="209">AC255</f>
        <v/>
      </c>
      <c r="O255" s="10"/>
      <c r="P255" s="24"/>
      <c r="Q255" s="13"/>
      <c r="T255" s="121" t="str">
        <f t="shared" ref="T255:T281" si="210">IF($G$252="","",SUM(Y255:AA255))</f>
        <v/>
      </c>
      <c r="U255" s="118">
        <f t="shared" ref="U255:U281" si="211">IF(V255&gt;0,1,IF(V255=0,0,2))</f>
        <v>0</v>
      </c>
      <c r="V255" s="117">
        <f t="shared" ref="V255:V281" si="212">$G$252-$H$252</f>
        <v>0</v>
      </c>
      <c r="W255" s="117">
        <f t="shared" ref="W255:W281" si="213">IF(X255&gt;0,1,IF(X255=0,0,2))</f>
        <v>1</v>
      </c>
      <c r="X255" s="117">
        <f t="shared" ref="X255:X281" si="214">F255-G255</f>
        <v>3</v>
      </c>
      <c r="Y255" s="117">
        <f t="shared" ref="Y255:Y281" si="215">IF(U255=W255,3,0)</f>
        <v>0</v>
      </c>
      <c r="Z255" s="117">
        <f t="shared" ref="Z255:Z281" si="216">IF(V255=X255,1,0)</f>
        <v>0</v>
      </c>
      <c r="AA255" s="117">
        <f t="shared" ref="AA255:AA281" si="217">IF(Z255=1,IF($G$252=F255,1,0),0)</f>
        <v>0</v>
      </c>
      <c r="AC255" s="121" t="str">
        <f t="shared" ref="AC255:AC281" si="218">IF($G$252="","",SUM(AH255:AJ255))</f>
        <v/>
      </c>
      <c r="AD255" s="118">
        <f t="shared" ref="AD255:AD281" si="219">IF(AE255&gt;0,1,IF(AE255=0,0,2))</f>
        <v>0</v>
      </c>
      <c r="AE255" s="117">
        <f t="shared" ref="AE255:AE281" si="220">$G$252-$H$252</f>
        <v>0</v>
      </c>
      <c r="AF255" s="117">
        <f t="shared" ref="AF255:AF281" si="221">IF(AG255&gt;0,1,IF(AG255=0,0,2))</f>
        <v>1</v>
      </c>
      <c r="AG255" s="117">
        <f t="shared" ref="AG255:AG281" si="222">L255-M255</f>
        <v>5</v>
      </c>
      <c r="AH255" s="117">
        <f t="shared" ref="AH255:AH281" si="223">IF(AD255=AF255,3,0)</f>
        <v>0</v>
      </c>
      <c r="AI255" s="117">
        <f t="shared" ref="AI255:AI281" si="224">IF(AE255=AG255,1,0)</f>
        <v>0</v>
      </c>
      <c r="AJ255" s="117">
        <f t="shared" ref="AJ255:AJ281" si="225">IF(AI255=1,IF($G$252=L255,1,0),0)</f>
        <v>0</v>
      </c>
    </row>
    <row r="256" spans="2:36" ht="16.5" customHeight="1">
      <c r="B256" s="12"/>
      <c r="C256" s="12"/>
      <c r="D256" s="4"/>
      <c r="E256" s="4" t="s">
        <v>171</v>
      </c>
      <c r="F256" s="5">
        <v>4</v>
      </c>
      <c r="G256" s="6">
        <v>0</v>
      </c>
      <c r="H256" s="7" t="s">
        <v>224</v>
      </c>
      <c r="I256" s="7"/>
      <c r="J256" s="4"/>
      <c r="K256" s="4" t="s">
        <v>197</v>
      </c>
      <c r="L256" s="5">
        <v>6</v>
      </c>
      <c r="M256" s="6">
        <v>0</v>
      </c>
      <c r="N256" s="7" t="str">
        <f t="shared" si="209"/>
        <v/>
      </c>
      <c r="O256" s="7"/>
      <c r="P256" s="24"/>
      <c r="Q256" s="13"/>
      <c r="T256" s="121" t="str">
        <f t="shared" si="210"/>
        <v/>
      </c>
      <c r="U256" s="118">
        <f t="shared" si="211"/>
        <v>0</v>
      </c>
      <c r="V256" s="117">
        <f t="shared" si="212"/>
        <v>0</v>
      </c>
      <c r="W256" s="117">
        <f t="shared" si="213"/>
        <v>1</v>
      </c>
      <c r="X256" s="117">
        <f t="shared" si="214"/>
        <v>4</v>
      </c>
      <c r="Y256" s="117">
        <f t="shared" si="215"/>
        <v>0</v>
      </c>
      <c r="Z256" s="117">
        <f t="shared" si="216"/>
        <v>0</v>
      </c>
      <c r="AA256" s="117">
        <f t="shared" si="217"/>
        <v>0</v>
      </c>
      <c r="AC256" s="121" t="str">
        <f t="shared" si="218"/>
        <v/>
      </c>
      <c r="AD256" s="118">
        <f t="shared" si="219"/>
        <v>0</v>
      </c>
      <c r="AE256" s="117">
        <f t="shared" si="220"/>
        <v>0</v>
      </c>
      <c r="AF256" s="117">
        <f t="shared" si="221"/>
        <v>1</v>
      </c>
      <c r="AG256" s="117">
        <f t="shared" si="222"/>
        <v>6</v>
      </c>
      <c r="AH256" s="117">
        <f t="shared" si="223"/>
        <v>0</v>
      </c>
      <c r="AI256" s="117">
        <f t="shared" si="224"/>
        <v>0</v>
      </c>
      <c r="AJ256" s="117">
        <f t="shared" si="225"/>
        <v>0</v>
      </c>
    </row>
    <row r="257" spans="2:36" ht="16.5" customHeight="1">
      <c r="B257" s="12"/>
      <c r="C257" s="12"/>
      <c r="D257" s="8"/>
      <c r="E257" s="9" t="s">
        <v>172</v>
      </c>
      <c r="F257" s="5">
        <v>3</v>
      </c>
      <c r="G257" s="6">
        <v>0</v>
      </c>
      <c r="H257" s="7" t="s">
        <v>224</v>
      </c>
      <c r="I257" s="10"/>
      <c r="J257" s="8"/>
      <c r="K257" s="9" t="s">
        <v>198</v>
      </c>
      <c r="L257" s="5">
        <v>4</v>
      </c>
      <c r="M257" s="6">
        <v>0</v>
      </c>
      <c r="N257" s="7" t="str">
        <f t="shared" si="209"/>
        <v/>
      </c>
      <c r="O257" s="10"/>
      <c r="P257" s="24"/>
      <c r="Q257" s="13"/>
      <c r="T257" s="121" t="str">
        <f t="shared" si="210"/>
        <v/>
      </c>
      <c r="U257" s="118">
        <f t="shared" si="211"/>
        <v>0</v>
      </c>
      <c r="V257" s="117">
        <f t="shared" si="212"/>
        <v>0</v>
      </c>
      <c r="W257" s="117">
        <f t="shared" si="213"/>
        <v>1</v>
      </c>
      <c r="X257" s="117">
        <f t="shared" si="214"/>
        <v>3</v>
      </c>
      <c r="Y257" s="117">
        <f t="shared" si="215"/>
        <v>0</v>
      </c>
      <c r="Z257" s="117">
        <f t="shared" si="216"/>
        <v>0</v>
      </c>
      <c r="AA257" s="117">
        <f t="shared" si="217"/>
        <v>0</v>
      </c>
      <c r="AC257" s="121" t="str">
        <f t="shared" si="218"/>
        <v/>
      </c>
      <c r="AD257" s="118">
        <f t="shared" si="219"/>
        <v>0</v>
      </c>
      <c r="AE257" s="117">
        <f t="shared" si="220"/>
        <v>0</v>
      </c>
      <c r="AF257" s="117">
        <f t="shared" si="221"/>
        <v>1</v>
      </c>
      <c r="AG257" s="117">
        <f t="shared" si="222"/>
        <v>4</v>
      </c>
      <c r="AH257" s="117">
        <f t="shared" si="223"/>
        <v>0</v>
      </c>
      <c r="AI257" s="117">
        <f t="shared" si="224"/>
        <v>0</v>
      </c>
      <c r="AJ257" s="117">
        <f t="shared" si="225"/>
        <v>0</v>
      </c>
    </row>
    <row r="258" spans="2:36" ht="16.5" customHeight="1">
      <c r="B258" s="12"/>
      <c r="C258" s="12"/>
      <c r="D258" s="4"/>
      <c r="E258" s="4" t="s">
        <v>173</v>
      </c>
      <c r="F258" s="5">
        <v>6</v>
      </c>
      <c r="G258" s="6">
        <v>0</v>
      </c>
      <c r="H258" s="7" t="s">
        <v>224</v>
      </c>
      <c r="I258" s="7"/>
      <c r="J258" s="4"/>
      <c r="K258" s="4" t="s">
        <v>199</v>
      </c>
      <c r="L258" s="5">
        <v>4</v>
      </c>
      <c r="M258" s="6">
        <v>0</v>
      </c>
      <c r="N258" s="7" t="str">
        <f t="shared" si="209"/>
        <v/>
      </c>
      <c r="O258" s="7"/>
      <c r="P258" s="24"/>
      <c r="Q258" s="13"/>
      <c r="T258" s="121" t="str">
        <f t="shared" si="210"/>
        <v/>
      </c>
      <c r="U258" s="118">
        <f t="shared" si="211"/>
        <v>0</v>
      </c>
      <c r="V258" s="117">
        <f t="shared" si="212"/>
        <v>0</v>
      </c>
      <c r="W258" s="117">
        <f t="shared" si="213"/>
        <v>1</v>
      </c>
      <c r="X258" s="117">
        <f t="shared" si="214"/>
        <v>6</v>
      </c>
      <c r="Y258" s="117">
        <f t="shared" si="215"/>
        <v>0</v>
      </c>
      <c r="Z258" s="117">
        <f t="shared" si="216"/>
        <v>0</v>
      </c>
      <c r="AA258" s="117">
        <f t="shared" si="217"/>
        <v>0</v>
      </c>
      <c r="AC258" s="121" t="str">
        <f t="shared" si="218"/>
        <v/>
      </c>
      <c r="AD258" s="118">
        <f t="shared" si="219"/>
        <v>0</v>
      </c>
      <c r="AE258" s="117">
        <f t="shared" si="220"/>
        <v>0</v>
      </c>
      <c r="AF258" s="117">
        <f t="shared" si="221"/>
        <v>1</v>
      </c>
      <c r="AG258" s="117">
        <f t="shared" si="222"/>
        <v>4</v>
      </c>
      <c r="AH258" s="117">
        <f t="shared" si="223"/>
        <v>0</v>
      </c>
      <c r="AI258" s="117">
        <f t="shared" si="224"/>
        <v>0</v>
      </c>
      <c r="AJ258" s="117">
        <f t="shared" si="225"/>
        <v>0</v>
      </c>
    </row>
    <row r="259" spans="2:36" ht="16.5" customHeight="1">
      <c r="B259" s="12"/>
      <c r="C259" s="12"/>
      <c r="D259" s="8"/>
      <c r="E259" s="9" t="s">
        <v>174</v>
      </c>
      <c r="F259" s="5">
        <v>4</v>
      </c>
      <c r="G259" s="6">
        <v>0</v>
      </c>
      <c r="H259" s="7" t="s">
        <v>224</v>
      </c>
      <c r="I259" s="10"/>
      <c r="J259" s="8"/>
      <c r="K259" s="9" t="s">
        <v>200</v>
      </c>
      <c r="L259" s="5">
        <v>3</v>
      </c>
      <c r="M259" s="6">
        <v>0</v>
      </c>
      <c r="N259" s="7" t="str">
        <f t="shared" si="209"/>
        <v/>
      </c>
      <c r="O259" s="10"/>
      <c r="P259" s="24"/>
      <c r="Q259" s="13"/>
      <c r="T259" s="121" t="str">
        <f t="shared" si="210"/>
        <v/>
      </c>
      <c r="U259" s="118">
        <f t="shared" si="211"/>
        <v>0</v>
      </c>
      <c r="V259" s="117">
        <f t="shared" si="212"/>
        <v>0</v>
      </c>
      <c r="W259" s="117">
        <f t="shared" si="213"/>
        <v>1</v>
      </c>
      <c r="X259" s="117">
        <f t="shared" si="214"/>
        <v>4</v>
      </c>
      <c r="Y259" s="117">
        <f t="shared" si="215"/>
        <v>0</v>
      </c>
      <c r="Z259" s="117">
        <f t="shared" si="216"/>
        <v>0</v>
      </c>
      <c r="AA259" s="117">
        <f t="shared" si="217"/>
        <v>0</v>
      </c>
      <c r="AC259" s="121" t="str">
        <f t="shared" si="218"/>
        <v/>
      </c>
      <c r="AD259" s="118">
        <f t="shared" si="219"/>
        <v>0</v>
      </c>
      <c r="AE259" s="117">
        <f t="shared" si="220"/>
        <v>0</v>
      </c>
      <c r="AF259" s="117">
        <f t="shared" si="221"/>
        <v>1</v>
      </c>
      <c r="AG259" s="117">
        <f t="shared" si="222"/>
        <v>3</v>
      </c>
      <c r="AH259" s="117">
        <f t="shared" si="223"/>
        <v>0</v>
      </c>
      <c r="AI259" s="117">
        <f t="shared" si="224"/>
        <v>0</v>
      </c>
      <c r="AJ259" s="117">
        <f t="shared" si="225"/>
        <v>0</v>
      </c>
    </row>
    <row r="260" spans="2:36" ht="16.5" customHeight="1">
      <c r="B260" s="12"/>
      <c r="C260" s="12"/>
      <c r="D260" s="4"/>
      <c r="E260" s="4" t="s">
        <v>175</v>
      </c>
      <c r="F260" s="5">
        <v>4</v>
      </c>
      <c r="G260" s="6">
        <v>0</v>
      </c>
      <c r="H260" s="7" t="s">
        <v>224</v>
      </c>
      <c r="I260" s="7"/>
      <c r="J260" s="4"/>
      <c r="K260" s="4" t="s">
        <v>201</v>
      </c>
      <c r="L260" s="5">
        <v>6</v>
      </c>
      <c r="M260" s="6">
        <v>0</v>
      </c>
      <c r="N260" s="7" t="str">
        <f t="shared" si="209"/>
        <v/>
      </c>
      <c r="O260" s="7"/>
      <c r="P260" s="24"/>
      <c r="Q260" s="13"/>
      <c r="T260" s="121" t="str">
        <f t="shared" si="210"/>
        <v/>
      </c>
      <c r="U260" s="118">
        <f t="shared" si="211"/>
        <v>0</v>
      </c>
      <c r="V260" s="117">
        <f t="shared" si="212"/>
        <v>0</v>
      </c>
      <c r="W260" s="117">
        <f t="shared" si="213"/>
        <v>1</v>
      </c>
      <c r="X260" s="117">
        <f t="shared" si="214"/>
        <v>4</v>
      </c>
      <c r="Y260" s="117">
        <f t="shared" si="215"/>
        <v>0</v>
      </c>
      <c r="Z260" s="117">
        <f t="shared" si="216"/>
        <v>0</v>
      </c>
      <c r="AA260" s="117">
        <f t="shared" si="217"/>
        <v>0</v>
      </c>
      <c r="AC260" s="121" t="str">
        <f t="shared" si="218"/>
        <v/>
      </c>
      <c r="AD260" s="118">
        <f t="shared" si="219"/>
        <v>0</v>
      </c>
      <c r="AE260" s="117">
        <f t="shared" si="220"/>
        <v>0</v>
      </c>
      <c r="AF260" s="117">
        <f t="shared" si="221"/>
        <v>1</v>
      </c>
      <c r="AG260" s="117">
        <f t="shared" si="222"/>
        <v>6</v>
      </c>
      <c r="AH260" s="117">
        <f t="shared" si="223"/>
        <v>0</v>
      </c>
      <c r="AI260" s="117">
        <f t="shared" si="224"/>
        <v>0</v>
      </c>
      <c r="AJ260" s="117">
        <f t="shared" si="225"/>
        <v>0</v>
      </c>
    </row>
    <row r="261" spans="2:36" ht="16.5" customHeight="1">
      <c r="B261" s="14"/>
      <c r="C261" s="14" t="s">
        <v>8</v>
      </c>
      <c r="D261" s="8"/>
      <c r="E261" s="9" t="s">
        <v>33</v>
      </c>
      <c r="F261" s="5">
        <v>4</v>
      </c>
      <c r="G261" s="6">
        <v>0</v>
      </c>
      <c r="H261" s="7" t="s">
        <v>224</v>
      </c>
      <c r="I261" s="10"/>
      <c r="J261" s="8"/>
      <c r="K261" s="9" t="s">
        <v>225</v>
      </c>
      <c r="L261" s="5">
        <v>3</v>
      </c>
      <c r="M261" s="6">
        <v>0</v>
      </c>
      <c r="N261" s="7" t="str">
        <f t="shared" si="209"/>
        <v/>
      </c>
      <c r="O261" s="10"/>
      <c r="P261" s="31" t="s">
        <v>16</v>
      </c>
      <c r="Q261" s="30"/>
      <c r="T261" s="121" t="str">
        <f t="shared" si="210"/>
        <v/>
      </c>
      <c r="U261" s="118">
        <f t="shared" si="211"/>
        <v>0</v>
      </c>
      <c r="V261" s="117">
        <f t="shared" si="212"/>
        <v>0</v>
      </c>
      <c r="W261" s="117">
        <f t="shared" si="213"/>
        <v>1</v>
      </c>
      <c r="X261" s="117">
        <f t="shared" si="214"/>
        <v>4</v>
      </c>
      <c r="Y261" s="117">
        <f t="shared" si="215"/>
        <v>0</v>
      </c>
      <c r="Z261" s="117">
        <f t="shared" si="216"/>
        <v>0</v>
      </c>
      <c r="AA261" s="117">
        <f t="shared" si="217"/>
        <v>0</v>
      </c>
      <c r="AC261" s="121" t="str">
        <f t="shared" si="218"/>
        <v/>
      </c>
      <c r="AD261" s="118">
        <f t="shared" si="219"/>
        <v>0</v>
      </c>
      <c r="AE261" s="117">
        <f t="shared" si="220"/>
        <v>0</v>
      </c>
      <c r="AF261" s="117">
        <f t="shared" si="221"/>
        <v>1</v>
      </c>
      <c r="AG261" s="117">
        <f t="shared" si="222"/>
        <v>3</v>
      </c>
      <c r="AH261" s="117">
        <f t="shared" si="223"/>
        <v>0</v>
      </c>
      <c r="AI261" s="117">
        <f t="shared" si="224"/>
        <v>0</v>
      </c>
      <c r="AJ261" s="117">
        <f t="shared" si="225"/>
        <v>0</v>
      </c>
    </row>
    <row r="262" spans="2:36" ht="16.5" customHeight="1">
      <c r="B262" s="14"/>
      <c r="C262" s="14"/>
      <c r="D262" s="4"/>
      <c r="E262" s="4" t="s">
        <v>176</v>
      </c>
      <c r="F262" s="5">
        <v>4</v>
      </c>
      <c r="G262" s="6">
        <v>0</v>
      </c>
      <c r="H262" s="7" t="s">
        <v>224</v>
      </c>
      <c r="I262" s="7"/>
      <c r="J262" s="4"/>
      <c r="K262" s="4" t="s">
        <v>203</v>
      </c>
      <c r="L262" s="5">
        <v>6</v>
      </c>
      <c r="M262" s="6">
        <v>0</v>
      </c>
      <c r="N262" s="7" t="str">
        <f t="shared" si="209"/>
        <v/>
      </c>
      <c r="O262" s="7"/>
      <c r="P262" s="31"/>
      <c r="Q262" s="30"/>
      <c r="T262" s="121" t="str">
        <f t="shared" si="210"/>
        <v/>
      </c>
      <c r="U262" s="118">
        <f t="shared" si="211"/>
        <v>0</v>
      </c>
      <c r="V262" s="117">
        <f t="shared" si="212"/>
        <v>0</v>
      </c>
      <c r="W262" s="117">
        <f t="shared" si="213"/>
        <v>1</v>
      </c>
      <c r="X262" s="117">
        <f t="shared" si="214"/>
        <v>4</v>
      </c>
      <c r="Y262" s="117">
        <f t="shared" si="215"/>
        <v>0</v>
      </c>
      <c r="Z262" s="117">
        <f t="shared" si="216"/>
        <v>0</v>
      </c>
      <c r="AA262" s="117">
        <f t="shared" si="217"/>
        <v>0</v>
      </c>
      <c r="AC262" s="121" t="str">
        <f t="shared" si="218"/>
        <v/>
      </c>
      <c r="AD262" s="118">
        <f t="shared" si="219"/>
        <v>0</v>
      </c>
      <c r="AE262" s="117">
        <f t="shared" si="220"/>
        <v>0</v>
      </c>
      <c r="AF262" s="117">
        <f t="shared" si="221"/>
        <v>1</v>
      </c>
      <c r="AG262" s="117">
        <f t="shared" si="222"/>
        <v>6</v>
      </c>
      <c r="AH262" s="117">
        <f t="shared" si="223"/>
        <v>0</v>
      </c>
      <c r="AI262" s="117">
        <f t="shared" si="224"/>
        <v>0</v>
      </c>
      <c r="AJ262" s="117">
        <f t="shared" si="225"/>
        <v>0</v>
      </c>
    </row>
    <row r="263" spans="2:36" ht="16.5" customHeight="1">
      <c r="B263" s="14"/>
      <c r="C263" s="14"/>
      <c r="D263" s="8"/>
      <c r="E263" s="9" t="s">
        <v>177</v>
      </c>
      <c r="F263" s="5">
        <v>3</v>
      </c>
      <c r="G263" s="6">
        <v>0</v>
      </c>
      <c r="H263" s="7" t="s">
        <v>224</v>
      </c>
      <c r="I263" s="10"/>
      <c r="J263" s="8"/>
      <c r="K263" s="9" t="s">
        <v>204</v>
      </c>
      <c r="L263" s="5">
        <v>5</v>
      </c>
      <c r="M263" s="6">
        <v>0</v>
      </c>
      <c r="N263" s="7" t="str">
        <f t="shared" si="209"/>
        <v/>
      </c>
      <c r="O263" s="10"/>
      <c r="P263" s="31"/>
      <c r="Q263" s="30"/>
      <c r="T263" s="121" t="str">
        <f t="shared" si="210"/>
        <v/>
      </c>
      <c r="U263" s="118">
        <f t="shared" si="211"/>
        <v>0</v>
      </c>
      <c r="V263" s="117">
        <f t="shared" si="212"/>
        <v>0</v>
      </c>
      <c r="W263" s="117">
        <f t="shared" si="213"/>
        <v>1</v>
      </c>
      <c r="X263" s="117">
        <f t="shared" si="214"/>
        <v>3</v>
      </c>
      <c r="Y263" s="117">
        <f t="shared" si="215"/>
        <v>0</v>
      </c>
      <c r="Z263" s="117">
        <f t="shared" si="216"/>
        <v>0</v>
      </c>
      <c r="AA263" s="117">
        <f t="shared" si="217"/>
        <v>0</v>
      </c>
      <c r="AC263" s="121" t="str">
        <f t="shared" si="218"/>
        <v/>
      </c>
      <c r="AD263" s="118">
        <f t="shared" si="219"/>
        <v>0</v>
      </c>
      <c r="AE263" s="117">
        <f t="shared" si="220"/>
        <v>0</v>
      </c>
      <c r="AF263" s="117">
        <f t="shared" si="221"/>
        <v>1</v>
      </c>
      <c r="AG263" s="117">
        <f t="shared" si="222"/>
        <v>5</v>
      </c>
      <c r="AH263" s="117">
        <f t="shared" si="223"/>
        <v>0</v>
      </c>
      <c r="AI263" s="117">
        <f t="shared" si="224"/>
        <v>0</v>
      </c>
      <c r="AJ263" s="117">
        <f t="shared" si="225"/>
        <v>0</v>
      </c>
    </row>
    <row r="264" spans="2:36" ht="16.5" customHeight="1">
      <c r="B264" s="14"/>
      <c r="C264" s="14"/>
      <c r="D264" s="4"/>
      <c r="E264" s="4" t="s">
        <v>178</v>
      </c>
      <c r="F264" s="5">
        <v>3</v>
      </c>
      <c r="G264" s="6">
        <v>0</v>
      </c>
      <c r="H264" s="7" t="s">
        <v>224</v>
      </c>
      <c r="I264" s="7"/>
      <c r="J264" s="4"/>
      <c r="K264" s="4" t="s">
        <v>223</v>
      </c>
      <c r="L264" s="5">
        <v>5</v>
      </c>
      <c r="M264" s="6">
        <v>0</v>
      </c>
      <c r="N264" s="7" t="str">
        <f t="shared" si="209"/>
        <v/>
      </c>
      <c r="O264" s="7"/>
      <c r="P264" s="31"/>
      <c r="Q264" s="30"/>
      <c r="T264" s="121" t="str">
        <f t="shared" si="210"/>
        <v/>
      </c>
      <c r="U264" s="118">
        <f t="shared" si="211"/>
        <v>0</v>
      </c>
      <c r="V264" s="117">
        <f t="shared" si="212"/>
        <v>0</v>
      </c>
      <c r="W264" s="117">
        <f t="shared" si="213"/>
        <v>1</v>
      </c>
      <c r="X264" s="117">
        <f t="shared" si="214"/>
        <v>3</v>
      </c>
      <c r="Y264" s="117">
        <f t="shared" si="215"/>
        <v>0</v>
      </c>
      <c r="Z264" s="117">
        <f t="shared" si="216"/>
        <v>0</v>
      </c>
      <c r="AA264" s="117">
        <f t="shared" si="217"/>
        <v>0</v>
      </c>
      <c r="AC264" s="121" t="str">
        <f t="shared" si="218"/>
        <v/>
      </c>
      <c r="AD264" s="118">
        <f t="shared" si="219"/>
        <v>0</v>
      </c>
      <c r="AE264" s="117">
        <f t="shared" si="220"/>
        <v>0</v>
      </c>
      <c r="AF264" s="117">
        <f t="shared" si="221"/>
        <v>1</v>
      </c>
      <c r="AG264" s="117">
        <f t="shared" si="222"/>
        <v>5</v>
      </c>
      <c r="AH264" s="117">
        <f t="shared" si="223"/>
        <v>0</v>
      </c>
      <c r="AI264" s="117">
        <f t="shared" si="224"/>
        <v>0</v>
      </c>
      <c r="AJ264" s="117">
        <f t="shared" si="225"/>
        <v>0</v>
      </c>
    </row>
    <row r="265" spans="2:36" ht="16.5" customHeight="1">
      <c r="B265" s="14"/>
      <c r="C265" s="14"/>
      <c r="D265" s="8"/>
      <c r="E265" s="9" t="s">
        <v>179</v>
      </c>
      <c r="F265" s="5">
        <v>5</v>
      </c>
      <c r="G265" s="6">
        <v>0</v>
      </c>
      <c r="H265" s="7" t="s">
        <v>224</v>
      </c>
      <c r="I265" s="10"/>
      <c r="J265" s="8"/>
      <c r="K265" s="9" t="s">
        <v>205</v>
      </c>
      <c r="L265" s="5">
        <v>2</v>
      </c>
      <c r="M265" s="6">
        <v>0</v>
      </c>
      <c r="N265" s="7" t="str">
        <f t="shared" si="209"/>
        <v/>
      </c>
      <c r="O265" s="10"/>
      <c r="P265" s="31"/>
      <c r="Q265" s="30"/>
      <c r="T265" s="121" t="str">
        <f t="shared" si="210"/>
        <v/>
      </c>
      <c r="U265" s="118">
        <f t="shared" si="211"/>
        <v>0</v>
      </c>
      <c r="V265" s="117">
        <f t="shared" si="212"/>
        <v>0</v>
      </c>
      <c r="W265" s="117">
        <f t="shared" si="213"/>
        <v>1</v>
      </c>
      <c r="X265" s="117">
        <f t="shared" si="214"/>
        <v>5</v>
      </c>
      <c r="Y265" s="117">
        <f t="shared" si="215"/>
        <v>0</v>
      </c>
      <c r="Z265" s="117">
        <f t="shared" si="216"/>
        <v>0</v>
      </c>
      <c r="AA265" s="117">
        <f t="shared" si="217"/>
        <v>0</v>
      </c>
      <c r="AC265" s="121" t="str">
        <f t="shared" si="218"/>
        <v/>
      </c>
      <c r="AD265" s="118">
        <f t="shared" si="219"/>
        <v>0</v>
      </c>
      <c r="AE265" s="117">
        <f t="shared" si="220"/>
        <v>0</v>
      </c>
      <c r="AF265" s="117">
        <f t="shared" si="221"/>
        <v>1</v>
      </c>
      <c r="AG265" s="117">
        <f t="shared" si="222"/>
        <v>2</v>
      </c>
      <c r="AH265" s="117">
        <f t="shared" si="223"/>
        <v>0</v>
      </c>
      <c r="AI265" s="117">
        <f t="shared" si="224"/>
        <v>0</v>
      </c>
      <c r="AJ265" s="117">
        <f t="shared" si="225"/>
        <v>0</v>
      </c>
    </row>
    <row r="266" spans="2:36" ht="16.5" customHeight="1">
      <c r="B266" s="14"/>
      <c r="C266" s="14"/>
      <c r="D266" s="4"/>
      <c r="E266" s="4" t="s">
        <v>180</v>
      </c>
      <c r="F266" s="5">
        <v>4</v>
      </c>
      <c r="G266" s="6">
        <v>0</v>
      </c>
      <c r="H266" s="7" t="s">
        <v>224</v>
      </c>
      <c r="I266" s="7"/>
      <c r="J266" s="4"/>
      <c r="K266" s="4" t="s">
        <v>206</v>
      </c>
      <c r="L266" s="5">
        <v>3</v>
      </c>
      <c r="M266" s="6">
        <v>0</v>
      </c>
      <c r="N266" s="7" t="str">
        <f t="shared" si="209"/>
        <v/>
      </c>
      <c r="O266" s="7"/>
      <c r="P266" s="31"/>
      <c r="Q266" s="30"/>
      <c r="T266" s="121" t="str">
        <f t="shared" si="210"/>
        <v/>
      </c>
      <c r="U266" s="118">
        <f t="shared" si="211"/>
        <v>0</v>
      </c>
      <c r="V266" s="117">
        <f t="shared" si="212"/>
        <v>0</v>
      </c>
      <c r="W266" s="117">
        <f t="shared" si="213"/>
        <v>1</v>
      </c>
      <c r="X266" s="117">
        <f t="shared" si="214"/>
        <v>4</v>
      </c>
      <c r="Y266" s="117">
        <f t="shared" si="215"/>
        <v>0</v>
      </c>
      <c r="Z266" s="117">
        <f t="shared" si="216"/>
        <v>0</v>
      </c>
      <c r="AA266" s="117">
        <f t="shared" si="217"/>
        <v>0</v>
      </c>
      <c r="AC266" s="121" t="str">
        <f t="shared" si="218"/>
        <v/>
      </c>
      <c r="AD266" s="118">
        <f t="shared" si="219"/>
        <v>0</v>
      </c>
      <c r="AE266" s="117">
        <f t="shared" si="220"/>
        <v>0</v>
      </c>
      <c r="AF266" s="117">
        <f t="shared" si="221"/>
        <v>1</v>
      </c>
      <c r="AG266" s="117">
        <f t="shared" si="222"/>
        <v>3</v>
      </c>
      <c r="AH266" s="117">
        <f t="shared" si="223"/>
        <v>0</v>
      </c>
      <c r="AI266" s="117">
        <f t="shared" si="224"/>
        <v>0</v>
      </c>
      <c r="AJ266" s="117">
        <f t="shared" si="225"/>
        <v>0</v>
      </c>
    </row>
    <row r="267" spans="2:36" ht="16.5" customHeight="1">
      <c r="B267" s="14"/>
      <c r="C267" s="14"/>
      <c r="D267" s="8"/>
      <c r="E267" s="9" t="s">
        <v>181</v>
      </c>
      <c r="F267" s="5">
        <v>3</v>
      </c>
      <c r="G267" s="6">
        <v>0</v>
      </c>
      <c r="H267" s="7" t="s">
        <v>224</v>
      </c>
      <c r="I267" s="10"/>
      <c r="J267" s="8"/>
      <c r="K267" s="9" t="s">
        <v>207</v>
      </c>
      <c r="L267" s="5">
        <v>4</v>
      </c>
      <c r="M267" s="6">
        <v>0</v>
      </c>
      <c r="N267" s="7" t="str">
        <f t="shared" si="209"/>
        <v/>
      </c>
      <c r="O267" s="10"/>
      <c r="P267" s="31"/>
      <c r="Q267" s="30"/>
      <c r="T267" s="121" t="str">
        <f t="shared" si="210"/>
        <v/>
      </c>
      <c r="U267" s="118">
        <f t="shared" si="211"/>
        <v>0</v>
      </c>
      <c r="V267" s="117">
        <f t="shared" si="212"/>
        <v>0</v>
      </c>
      <c r="W267" s="117">
        <f t="shared" si="213"/>
        <v>1</v>
      </c>
      <c r="X267" s="117">
        <f t="shared" si="214"/>
        <v>3</v>
      </c>
      <c r="Y267" s="117">
        <f t="shared" si="215"/>
        <v>0</v>
      </c>
      <c r="Z267" s="117">
        <f t="shared" si="216"/>
        <v>0</v>
      </c>
      <c r="AA267" s="117">
        <f t="shared" si="217"/>
        <v>0</v>
      </c>
      <c r="AC267" s="121" t="str">
        <f t="shared" si="218"/>
        <v/>
      </c>
      <c r="AD267" s="118">
        <f t="shared" si="219"/>
        <v>0</v>
      </c>
      <c r="AE267" s="117">
        <f t="shared" si="220"/>
        <v>0</v>
      </c>
      <c r="AF267" s="117">
        <f t="shared" si="221"/>
        <v>1</v>
      </c>
      <c r="AG267" s="117">
        <f t="shared" si="222"/>
        <v>4</v>
      </c>
      <c r="AH267" s="117">
        <f t="shared" si="223"/>
        <v>0</v>
      </c>
      <c r="AI267" s="117">
        <f t="shared" si="224"/>
        <v>0</v>
      </c>
      <c r="AJ267" s="117">
        <f t="shared" si="225"/>
        <v>0</v>
      </c>
    </row>
    <row r="268" spans="2:36" ht="16.5" customHeight="1">
      <c r="B268" s="11"/>
      <c r="C268" s="11" t="s">
        <v>9</v>
      </c>
      <c r="D268" s="4"/>
      <c r="E268" s="4" t="s">
        <v>182</v>
      </c>
      <c r="F268" s="5">
        <v>3</v>
      </c>
      <c r="G268" s="6">
        <v>0</v>
      </c>
      <c r="H268" s="7" t="s">
        <v>224</v>
      </c>
      <c r="I268" s="7"/>
      <c r="J268" s="4"/>
      <c r="K268" s="4" t="s">
        <v>208</v>
      </c>
      <c r="L268" s="5">
        <v>4</v>
      </c>
      <c r="M268" s="6">
        <v>0</v>
      </c>
      <c r="N268" s="7" t="str">
        <f t="shared" si="209"/>
        <v/>
      </c>
      <c r="O268" s="7"/>
      <c r="P268" s="36" t="s">
        <v>25</v>
      </c>
      <c r="Q268" s="35"/>
      <c r="T268" s="121" t="str">
        <f t="shared" si="210"/>
        <v/>
      </c>
      <c r="U268" s="118">
        <f t="shared" si="211"/>
        <v>0</v>
      </c>
      <c r="V268" s="117">
        <f t="shared" si="212"/>
        <v>0</v>
      </c>
      <c r="W268" s="117">
        <f t="shared" si="213"/>
        <v>1</v>
      </c>
      <c r="X268" s="117">
        <f t="shared" si="214"/>
        <v>3</v>
      </c>
      <c r="Y268" s="117">
        <f t="shared" si="215"/>
        <v>0</v>
      </c>
      <c r="Z268" s="117">
        <f t="shared" si="216"/>
        <v>0</v>
      </c>
      <c r="AA268" s="117">
        <f t="shared" si="217"/>
        <v>0</v>
      </c>
      <c r="AC268" s="121" t="str">
        <f t="shared" si="218"/>
        <v/>
      </c>
      <c r="AD268" s="118">
        <f t="shared" si="219"/>
        <v>0</v>
      </c>
      <c r="AE268" s="117">
        <f t="shared" si="220"/>
        <v>0</v>
      </c>
      <c r="AF268" s="117">
        <f t="shared" si="221"/>
        <v>1</v>
      </c>
      <c r="AG268" s="117">
        <f t="shared" si="222"/>
        <v>4</v>
      </c>
      <c r="AH268" s="117">
        <f t="shared" si="223"/>
        <v>0</v>
      </c>
      <c r="AI268" s="117">
        <f t="shared" si="224"/>
        <v>0</v>
      </c>
      <c r="AJ268" s="117">
        <f t="shared" si="225"/>
        <v>0</v>
      </c>
    </row>
    <row r="269" spans="2:36" ht="16.5" customHeight="1">
      <c r="B269" s="11"/>
      <c r="C269" s="11"/>
      <c r="D269" s="8"/>
      <c r="E269" s="9" t="s">
        <v>183</v>
      </c>
      <c r="F269" s="5">
        <v>3</v>
      </c>
      <c r="G269" s="6">
        <v>0</v>
      </c>
      <c r="H269" s="7" t="s">
        <v>224</v>
      </c>
      <c r="I269" s="10"/>
      <c r="J269" s="8"/>
      <c r="K269" s="9" t="s">
        <v>209</v>
      </c>
      <c r="L269" s="5">
        <v>6</v>
      </c>
      <c r="M269" s="6">
        <v>0</v>
      </c>
      <c r="N269" s="7" t="str">
        <f t="shared" si="209"/>
        <v/>
      </c>
      <c r="O269" s="10"/>
      <c r="P269" s="36"/>
      <c r="Q269" s="35"/>
      <c r="T269" s="121" t="str">
        <f t="shared" si="210"/>
        <v/>
      </c>
      <c r="U269" s="118">
        <f t="shared" si="211"/>
        <v>0</v>
      </c>
      <c r="V269" s="117">
        <f t="shared" si="212"/>
        <v>0</v>
      </c>
      <c r="W269" s="117">
        <f t="shared" si="213"/>
        <v>1</v>
      </c>
      <c r="X269" s="117">
        <f t="shared" si="214"/>
        <v>3</v>
      </c>
      <c r="Y269" s="117">
        <f t="shared" si="215"/>
        <v>0</v>
      </c>
      <c r="Z269" s="117">
        <f t="shared" si="216"/>
        <v>0</v>
      </c>
      <c r="AA269" s="117">
        <f t="shared" si="217"/>
        <v>0</v>
      </c>
      <c r="AC269" s="121" t="str">
        <f t="shared" si="218"/>
        <v/>
      </c>
      <c r="AD269" s="118">
        <f t="shared" si="219"/>
        <v>0</v>
      </c>
      <c r="AE269" s="117">
        <f t="shared" si="220"/>
        <v>0</v>
      </c>
      <c r="AF269" s="117">
        <f t="shared" si="221"/>
        <v>1</v>
      </c>
      <c r="AG269" s="117">
        <f t="shared" si="222"/>
        <v>6</v>
      </c>
      <c r="AH269" s="117">
        <f t="shared" si="223"/>
        <v>0</v>
      </c>
      <c r="AI269" s="117">
        <f t="shared" si="224"/>
        <v>0</v>
      </c>
      <c r="AJ269" s="117">
        <f t="shared" si="225"/>
        <v>0</v>
      </c>
    </row>
    <row r="270" spans="2:36" ht="16.5" customHeight="1">
      <c r="B270" s="11"/>
      <c r="C270" s="11"/>
      <c r="D270" s="4"/>
      <c r="E270" s="4" t="s">
        <v>184</v>
      </c>
      <c r="F270" s="5">
        <v>4</v>
      </c>
      <c r="G270" s="6">
        <v>0</v>
      </c>
      <c r="H270" s="7" t="s">
        <v>224</v>
      </c>
      <c r="I270" s="7"/>
      <c r="J270" s="4"/>
      <c r="K270" s="4" t="s">
        <v>210</v>
      </c>
      <c r="L270" s="5">
        <v>2</v>
      </c>
      <c r="M270" s="6">
        <v>0</v>
      </c>
      <c r="N270" s="7" t="str">
        <f t="shared" si="209"/>
        <v/>
      </c>
      <c r="O270" s="7"/>
      <c r="P270" s="36"/>
      <c r="Q270" s="35"/>
      <c r="T270" s="121" t="str">
        <f t="shared" si="210"/>
        <v/>
      </c>
      <c r="U270" s="118">
        <f t="shared" si="211"/>
        <v>0</v>
      </c>
      <c r="V270" s="117">
        <f t="shared" si="212"/>
        <v>0</v>
      </c>
      <c r="W270" s="117">
        <f t="shared" si="213"/>
        <v>1</v>
      </c>
      <c r="X270" s="117">
        <f t="shared" si="214"/>
        <v>4</v>
      </c>
      <c r="Y270" s="117">
        <f t="shared" si="215"/>
        <v>0</v>
      </c>
      <c r="Z270" s="117">
        <f t="shared" si="216"/>
        <v>0</v>
      </c>
      <c r="AA270" s="117">
        <f t="shared" si="217"/>
        <v>0</v>
      </c>
      <c r="AC270" s="121" t="str">
        <f t="shared" si="218"/>
        <v/>
      </c>
      <c r="AD270" s="118">
        <f t="shared" si="219"/>
        <v>0</v>
      </c>
      <c r="AE270" s="117">
        <f t="shared" si="220"/>
        <v>0</v>
      </c>
      <c r="AF270" s="117">
        <f t="shared" si="221"/>
        <v>1</v>
      </c>
      <c r="AG270" s="117">
        <f t="shared" si="222"/>
        <v>2</v>
      </c>
      <c r="AH270" s="117">
        <f t="shared" si="223"/>
        <v>0</v>
      </c>
      <c r="AI270" s="117">
        <f t="shared" si="224"/>
        <v>0</v>
      </c>
      <c r="AJ270" s="117">
        <f t="shared" si="225"/>
        <v>0</v>
      </c>
    </row>
    <row r="271" spans="2:36" ht="16.5" customHeight="1">
      <c r="B271" s="11"/>
      <c r="C271" s="11"/>
      <c r="D271" s="8"/>
      <c r="E271" s="9" t="s">
        <v>222</v>
      </c>
      <c r="F271" s="5">
        <v>3</v>
      </c>
      <c r="G271" s="6">
        <v>0</v>
      </c>
      <c r="H271" s="7" t="s">
        <v>224</v>
      </c>
      <c r="I271" s="10"/>
      <c r="J271" s="8"/>
      <c r="K271" s="9" t="s">
        <v>211</v>
      </c>
      <c r="L271" s="5">
        <v>3</v>
      </c>
      <c r="M271" s="6">
        <v>1</v>
      </c>
      <c r="N271" s="7" t="str">
        <f t="shared" si="209"/>
        <v/>
      </c>
      <c r="O271" s="10"/>
      <c r="P271" s="36"/>
      <c r="Q271" s="35"/>
      <c r="T271" s="121" t="str">
        <f t="shared" si="210"/>
        <v/>
      </c>
      <c r="U271" s="118">
        <f t="shared" si="211"/>
        <v>0</v>
      </c>
      <c r="V271" s="117">
        <f t="shared" si="212"/>
        <v>0</v>
      </c>
      <c r="W271" s="117">
        <f t="shared" si="213"/>
        <v>1</v>
      </c>
      <c r="X271" s="117">
        <f t="shared" si="214"/>
        <v>3</v>
      </c>
      <c r="Y271" s="117">
        <f t="shared" si="215"/>
        <v>0</v>
      </c>
      <c r="Z271" s="117">
        <f t="shared" si="216"/>
        <v>0</v>
      </c>
      <c r="AA271" s="117">
        <f t="shared" si="217"/>
        <v>0</v>
      </c>
      <c r="AC271" s="121" t="str">
        <f t="shared" si="218"/>
        <v/>
      </c>
      <c r="AD271" s="118">
        <f t="shared" si="219"/>
        <v>0</v>
      </c>
      <c r="AE271" s="117">
        <f t="shared" si="220"/>
        <v>0</v>
      </c>
      <c r="AF271" s="117">
        <f t="shared" si="221"/>
        <v>1</v>
      </c>
      <c r="AG271" s="117">
        <f t="shared" si="222"/>
        <v>2</v>
      </c>
      <c r="AH271" s="117">
        <f t="shared" si="223"/>
        <v>0</v>
      </c>
      <c r="AI271" s="117">
        <f t="shared" si="224"/>
        <v>0</v>
      </c>
      <c r="AJ271" s="117">
        <f t="shared" si="225"/>
        <v>0</v>
      </c>
    </row>
    <row r="272" spans="2:36" ht="16.5" customHeight="1">
      <c r="B272" s="11"/>
      <c r="C272" s="11"/>
      <c r="D272" s="4"/>
      <c r="E272" s="4" t="s">
        <v>185</v>
      </c>
      <c r="F272" s="5">
        <v>3</v>
      </c>
      <c r="G272" s="6">
        <v>0</v>
      </c>
      <c r="H272" s="7" t="s">
        <v>224</v>
      </c>
      <c r="I272" s="7"/>
      <c r="J272" s="4"/>
      <c r="K272" s="4" t="s">
        <v>212</v>
      </c>
      <c r="L272" s="5">
        <v>3</v>
      </c>
      <c r="M272" s="6">
        <v>0</v>
      </c>
      <c r="N272" s="7" t="str">
        <f t="shared" si="209"/>
        <v/>
      </c>
      <c r="O272" s="7"/>
      <c r="P272" s="36"/>
      <c r="Q272" s="35"/>
      <c r="T272" s="121" t="str">
        <f t="shared" si="210"/>
        <v/>
      </c>
      <c r="U272" s="118">
        <f t="shared" si="211"/>
        <v>0</v>
      </c>
      <c r="V272" s="117">
        <f t="shared" si="212"/>
        <v>0</v>
      </c>
      <c r="W272" s="117">
        <f t="shared" si="213"/>
        <v>1</v>
      </c>
      <c r="X272" s="117">
        <f t="shared" si="214"/>
        <v>3</v>
      </c>
      <c r="Y272" s="117">
        <f t="shared" si="215"/>
        <v>0</v>
      </c>
      <c r="Z272" s="117">
        <f t="shared" si="216"/>
        <v>0</v>
      </c>
      <c r="AA272" s="117">
        <f t="shared" si="217"/>
        <v>0</v>
      </c>
      <c r="AC272" s="121" t="str">
        <f t="shared" si="218"/>
        <v/>
      </c>
      <c r="AD272" s="118">
        <f t="shared" si="219"/>
        <v>0</v>
      </c>
      <c r="AE272" s="117">
        <f t="shared" si="220"/>
        <v>0</v>
      </c>
      <c r="AF272" s="117">
        <f t="shared" si="221"/>
        <v>1</v>
      </c>
      <c r="AG272" s="117">
        <f t="shared" si="222"/>
        <v>3</v>
      </c>
      <c r="AH272" s="117">
        <f t="shared" si="223"/>
        <v>0</v>
      </c>
      <c r="AI272" s="117">
        <f t="shared" si="224"/>
        <v>0</v>
      </c>
      <c r="AJ272" s="117">
        <f t="shared" si="225"/>
        <v>0</v>
      </c>
    </row>
    <row r="273" spans="2:36" ht="16.5" customHeight="1">
      <c r="B273" s="11"/>
      <c r="C273" s="11"/>
      <c r="D273" s="8"/>
      <c r="E273" s="9" t="s">
        <v>186</v>
      </c>
      <c r="F273" s="5">
        <v>6</v>
      </c>
      <c r="G273" s="6">
        <v>0</v>
      </c>
      <c r="H273" s="7" t="s">
        <v>224</v>
      </c>
      <c r="I273" s="10"/>
      <c r="J273" s="8"/>
      <c r="K273" s="9" t="s">
        <v>213</v>
      </c>
      <c r="L273" s="5">
        <v>3</v>
      </c>
      <c r="M273" s="6">
        <v>1</v>
      </c>
      <c r="N273" s="7" t="str">
        <f t="shared" si="209"/>
        <v/>
      </c>
      <c r="O273" s="10"/>
      <c r="P273" s="36"/>
      <c r="Q273" s="35"/>
      <c r="T273" s="121" t="str">
        <f t="shared" si="210"/>
        <v/>
      </c>
      <c r="U273" s="118">
        <f t="shared" si="211"/>
        <v>0</v>
      </c>
      <c r="V273" s="117">
        <f t="shared" si="212"/>
        <v>0</v>
      </c>
      <c r="W273" s="117">
        <f t="shared" si="213"/>
        <v>1</v>
      </c>
      <c r="X273" s="117">
        <f t="shared" si="214"/>
        <v>6</v>
      </c>
      <c r="Y273" s="117">
        <f t="shared" si="215"/>
        <v>0</v>
      </c>
      <c r="Z273" s="117">
        <f t="shared" si="216"/>
        <v>0</v>
      </c>
      <c r="AA273" s="117">
        <f t="shared" si="217"/>
        <v>0</v>
      </c>
      <c r="AC273" s="121" t="str">
        <f t="shared" si="218"/>
        <v/>
      </c>
      <c r="AD273" s="118">
        <f t="shared" si="219"/>
        <v>0</v>
      </c>
      <c r="AE273" s="117">
        <f t="shared" si="220"/>
        <v>0</v>
      </c>
      <c r="AF273" s="117">
        <f t="shared" si="221"/>
        <v>1</v>
      </c>
      <c r="AG273" s="117">
        <f t="shared" si="222"/>
        <v>2</v>
      </c>
      <c r="AH273" s="117">
        <f t="shared" si="223"/>
        <v>0</v>
      </c>
      <c r="AI273" s="117">
        <f t="shared" si="224"/>
        <v>0</v>
      </c>
      <c r="AJ273" s="117">
        <f t="shared" si="225"/>
        <v>0</v>
      </c>
    </row>
    <row r="274" spans="2:36" ht="16.5" customHeight="1">
      <c r="B274" s="11"/>
      <c r="C274" s="11"/>
      <c r="D274" s="4"/>
      <c r="E274" s="4" t="s">
        <v>187</v>
      </c>
      <c r="F274" s="5">
        <v>5</v>
      </c>
      <c r="G274" s="6">
        <v>0</v>
      </c>
      <c r="H274" s="7" t="s">
        <v>224</v>
      </c>
      <c r="I274" s="7"/>
      <c r="J274" s="4"/>
      <c r="K274" s="4" t="s">
        <v>214</v>
      </c>
      <c r="L274" s="5">
        <v>4</v>
      </c>
      <c r="M274" s="6">
        <v>0</v>
      </c>
      <c r="N274" s="7" t="str">
        <f t="shared" si="209"/>
        <v/>
      </c>
      <c r="O274" s="7"/>
      <c r="P274" s="36"/>
      <c r="Q274" s="35"/>
      <c r="T274" s="121" t="str">
        <f t="shared" si="210"/>
        <v/>
      </c>
      <c r="U274" s="118">
        <f t="shared" si="211"/>
        <v>0</v>
      </c>
      <c r="V274" s="117">
        <f t="shared" si="212"/>
        <v>0</v>
      </c>
      <c r="W274" s="117">
        <f t="shared" si="213"/>
        <v>1</v>
      </c>
      <c r="X274" s="117">
        <f t="shared" si="214"/>
        <v>5</v>
      </c>
      <c r="Y274" s="117">
        <f t="shared" si="215"/>
        <v>0</v>
      </c>
      <c r="Z274" s="117">
        <f t="shared" si="216"/>
        <v>0</v>
      </c>
      <c r="AA274" s="117">
        <f t="shared" si="217"/>
        <v>0</v>
      </c>
      <c r="AC274" s="121" t="str">
        <f t="shared" si="218"/>
        <v/>
      </c>
      <c r="AD274" s="118">
        <f t="shared" si="219"/>
        <v>0</v>
      </c>
      <c r="AE274" s="117">
        <f t="shared" si="220"/>
        <v>0</v>
      </c>
      <c r="AF274" s="117">
        <f t="shared" si="221"/>
        <v>1</v>
      </c>
      <c r="AG274" s="117">
        <f t="shared" si="222"/>
        <v>4</v>
      </c>
      <c r="AH274" s="117">
        <f t="shared" si="223"/>
        <v>0</v>
      </c>
      <c r="AI274" s="117">
        <f t="shared" si="224"/>
        <v>0</v>
      </c>
      <c r="AJ274" s="117">
        <f t="shared" si="225"/>
        <v>0</v>
      </c>
    </row>
    <row r="275" spans="2:36" ht="16.5" customHeight="1">
      <c r="B275" s="15"/>
      <c r="C275" s="15" t="s">
        <v>10</v>
      </c>
      <c r="D275" s="8"/>
      <c r="E275" s="9" t="s">
        <v>188</v>
      </c>
      <c r="F275" s="5">
        <v>4</v>
      </c>
      <c r="G275" s="6">
        <v>0</v>
      </c>
      <c r="H275" s="7" t="s">
        <v>224</v>
      </c>
      <c r="I275" s="10"/>
      <c r="J275" s="8"/>
      <c r="K275" s="9" t="s">
        <v>215</v>
      </c>
      <c r="L275" s="5">
        <v>3</v>
      </c>
      <c r="M275" s="6">
        <v>0</v>
      </c>
      <c r="N275" s="7" t="str">
        <f t="shared" si="209"/>
        <v/>
      </c>
      <c r="O275" s="10"/>
      <c r="P275" s="39" t="s">
        <v>26</v>
      </c>
      <c r="Q275" s="38"/>
      <c r="T275" s="121" t="str">
        <f t="shared" si="210"/>
        <v/>
      </c>
      <c r="U275" s="118">
        <f t="shared" si="211"/>
        <v>0</v>
      </c>
      <c r="V275" s="117">
        <f t="shared" si="212"/>
        <v>0</v>
      </c>
      <c r="W275" s="117">
        <f t="shared" si="213"/>
        <v>1</v>
      </c>
      <c r="X275" s="117">
        <f t="shared" si="214"/>
        <v>4</v>
      </c>
      <c r="Y275" s="117">
        <f t="shared" si="215"/>
        <v>0</v>
      </c>
      <c r="Z275" s="117">
        <f t="shared" si="216"/>
        <v>0</v>
      </c>
      <c r="AA275" s="117">
        <f t="shared" si="217"/>
        <v>0</v>
      </c>
      <c r="AC275" s="121" t="str">
        <f t="shared" si="218"/>
        <v/>
      </c>
      <c r="AD275" s="118">
        <f t="shared" si="219"/>
        <v>0</v>
      </c>
      <c r="AE275" s="117">
        <f t="shared" si="220"/>
        <v>0</v>
      </c>
      <c r="AF275" s="117">
        <f t="shared" si="221"/>
        <v>1</v>
      </c>
      <c r="AG275" s="117">
        <f t="shared" si="222"/>
        <v>3</v>
      </c>
      <c r="AH275" s="117">
        <f t="shared" si="223"/>
        <v>0</v>
      </c>
      <c r="AI275" s="117">
        <f t="shared" si="224"/>
        <v>0</v>
      </c>
      <c r="AJ275" s="117">
        <f t="shared" si="225"/>
        <v>0</v>
      </c>
    </row>
    <row r="276" spans="2:36" ht="16.5" customHeight="1">
      <c r="B276" s="15"/>
      <c r="C276" s="15"/>
      <c r="D276" s="4"/>
      <c r="E276" s="4" t="s">
        <v>189</v>
      </c>
      <c r="F276" s="5">
        <v>6</v>
      </c>
      <c r="G276" s="6">
        <v>0</v>
      </c>
      <c r="H276" s="7" t="s">
        <v>224</v>
      </c>
      <c r="I276" s="7"/>
      <c r="J276" s="4"/>
      <c r="K276" s="4" t="s">
        <v>216</v>
      </c>
      <c r="L276" s="5">
        <v>3</v>
      </c>
      <c r="M276" s="6">
        <v>0</v>
      </c>
      <c r="N276" s="7" t="str">
        <f t="shared" si="209"/>
        <v/>
      </c>
      <c r="O276" s="7"/>
      <c r="P276" s="39"/>
      <c r="Q276" s="38"/>
      <c r="T276" s="121" t="str">
        <f t="shared" si="210"/>
        <v/>
      </c>
      <c r="U276" s="118">
        <f t="shared" si="211"/>
        <v>0</v>
      </c>
      <c r="V276" s="117">
        <f t="shared" si="212"/>
        <v>0</v>
      </c>
      <c r="W276" s="117">
        <f t="shared" si="213"/>
        <v>1</v>
      </c>
      <c r="X276" s="117">
        <f t="shared" si="214"/>
        <v>6</v>
      </c>
      <c r="Y276" s="117">
        <f t="shared" si="215"/>
        <v>0</v>
      </c>
      <c r="Z276" s="117">
        <f t="shared" si="216"/>
        <v>0</v>
      </c>
      <c r="AA276" s="117">
        <f t="shared" si="217"/>
        <v>0</v>
      </c>
      <c r="AC276" s="121" t="str">
        <f t="shared" si="218"/>
        <v/>
      </c>
      <c r="AD276" s="118">
        <f t="shared" si="219"/>
        <v>0</v>
      </c>
      <c r="AE276" s="117">
        <f t="shared" si="220"/>
        <v>0</v>
      </c>
      <c r="AF276" s="117">
        <f t="shared" si="221"/>
        <v>1</v>
      </c>
      <c r="AG276" s="117">
        <f t="shared" si="222"/>
        <v>3</v>
      </c>
      <c r="AH276" s="117">
        <f t="shared" si="223"/>
        <v>0</v>
      </c>
      <c r="AI276" s="117">
        <f t="shared" si="224"/>
        <v>0</v>
      </c>
      <c r="AJ276" s="117">
        <f t="shared" si="225"/>
        <v>0</v>
      </c>
    </row>
    <row r="277" spans="2:36" ht="16.5" customHeight="1">
      <c r="B277" s="15"/>
      <c r="C277" s="15"/>
      <c r="D277" s="8"/>
      <c r="E277" s="9" t="s">
        <v>190</v>
      </c>
      <c r="F277" s="5">
        <v>3</v>
      </c>
      <c r="G277" s="6">
        <v>0</v>
      </c>
      <c r="H277" s="7" t="s">
        <v>224</v>
      </c>
      <c r="I277" s="10"/>
      <c r="J277" s="8"/>
      <c r="K277" s="9" t="s">
        <v>217</v>
      </c>
      <c r="L277" s="5">
        <v>4</v>
      </c>
      <c r="M277" s="6">
        <v>0</v>
      </c>
      <c r="N277" s="7" t="str">
        <f t="shared" si="209"/>
        <v/>
      </c>
      <c r="O277" s="10"/>
      <c r="P277" s="39"/>
      <c r="Q277" s="38"/>
      <c r="T277" s="121" t="str">
        <f t="shared" si="210"/>
        <v/>
      </c>
      <c r="U277" s="118">
        <f t="shared" si="211"/>
        <v>0</v>
      </c>
      <c r="V277" s="117">
        <f t="shared" si="212"/>
        <v>0</v>
      </c>
      <c r="W277" s="117">
        <f t="shared" si="213"/>
        <v>1</v>
      </c>
      <c r="X277" s="117">
        <f t="shared" si="214"/>
        <v>3</v>
      </c>
      <c r="Y277" s="117">
        <f t="shared" si="215"/>
        <v>0</v>
      </c>
      <c r="Z277" s="117">
        <f t="shared" si="216"/>
        <v>0</v>
      </c>
      <c r="AA277" s="117">
        <f t="shared" si="217"/>
        <v>0</v>
      </c>
      <c r="AC277" s="121" t="str">
        <f t="shared" si="218"/>
        <v/>
      </c>
      <c r="AD277" s="118">
        <f t="shared" si="219"/>
        <v>0</v>
      </c>
      <c r="AE277" s="117">
        <f t="shared" si="220"/>
        <v>0</v>
      </c>
      <c r="AF277" s="117">
        <f t="shared" si="221"/>
        <v>1</v>
      </c>
      <c r="AG277" s="117">
        <f t="shared" si="222"/>
        <v>4</v>
      </c>
      <c r="AH277" s="117">
        <f t="shared" si="223"/>
        <v>0</v>
      </c>
      <c r="AI277" s="117">
        <f t="shared" si="224"/>
        <v>0</v>
      </c>
      <c r="AJ277" s="117">
        <f t="shared" si="225"/>
        <v>0</v>
      </c>
    </row>
    <row r="278" spans="2:36" ht="16.5" customHeight="1">
      <c r="B278" s="15"/>
      <c r="C278" s="15"/>
      <c r="D278" s="4"/>
      <c r="E278" s="4" t="s">
        <v>191</v>
      </c>
      <c r="F278" s="5">
        <v>4</v>
      </c>
      <c r="G278" s="6">
        <v>0</v>
      </c>
      <c r="H278" s="7" t="s">
        <v>224</v>
      </c>
      <c r="I278" s="7"/>
      <c r="J278" s="4"/>
      <c r="K278" s="4" t="s">
        <v>218</v>
      </c>
      <c r="L278" s="5">
        <v>4</v>
      </c>
      <c r="M278" s="6">
        <v>1</v>
      </c>
      <c r="N278" s="7" t="str">
        <f t="shared" si="209"/>
        <v/>
      </c>
      <c r="O278" s="7"/>
      <c r="P278" s="39"/>
      <c r="Q278" s="38"/>
      <c r="T278" s="121" t="str">
        <f t="shared" si="210"/>
        <v/>
      </c>
      <c r="U278" s="118">
        <f t="shared" si="211"/>
        <v>0</v>
      </c>
      <c r="V278" s="117">
        <f t="shared" si="212"/>
        <v>0</v>
      </c>
      <c r="W278" s="117">
        <f t="shared" si="213"/>
        <v>1</v>
      </c>
      <c r="X278" s="117">
        <f t="shared" si="214"/>
        <v>4</v>
      </c>
      <c r="Y278" s="117">
        <f t="shared" si="215"/>
        <v>0</v>
      </c>
      <c r="Z278" s="117">
        <f t="shared" si="216"/>
        <v>0</v>
      </c>
      <c r="AA278" s="117">
        <f t="shared" si="217"/>
        <v>0</v>
      </c>
      <c r="AC278" s="121" t="str">
        <f t="shared" si="218"/>
        <v/>
      </c>
      <c r="AD278" s="118">
        <f t="shared" si="219"/>
        <v>0</v>
      </c>
      <c r="AE278" s="117">
        <f t="shared" si="220"/>
        <v>0</v>
      </c>
      <c r="AF278" s="117">
        <f t="shared" si="221"/>
        <v>1</v>
      </c>
      <c r="AG278" s="117">
        <f t="shared" si="222"/>
        <v>3</v>
      </c>
      <c r="AH278" s="117">
        <f t="shared" si="223"/>
        <v>0</v>
      </c>
      <c r="AI278" s="117">
        <f t="shared" si="224"/>
        <v>0</v>
      </c>
      <c r="AJ278" s="117">
        <f t="shared" si="225"/>
        <v>0</v>
      </c>
    </row>
    <row r="279" spans="2:36" ht="16.5" customHeight="1">
      <c r="B279" s="15"/>
      <c r="C279" s="15"/>
      <c r="D279" s="8"/>
      <c r="E279" s="9" t="s">
        <v>192</v>
      </c>
      <c r="F279" s="5">
        <v>4</v>
      </c>
      <c r="G279" s="6">
        <v>0</v>
      </c>
      <c r="H279" s="7" t="s">
        <v>224</v>
      </c>
      <c r="I279" s="10"/>
      <c r="J279" s="8"/>
      <c r="K279" s="9" t="s">
        <v>219</v>
      </c>
      <c r="L279" s="5">
        <v>3</v>
      </c>
      <c r="M279" s="6">
        <v>0</v>
      </c>
      <c r="N279" s="7" t="str">
        <f t="shared" si="209"/>
        <v/>
      </c>
      <c r="O279" s="10"/>
      <c r="P279" s="39"/>
      <c r="Q279" s="38"/>
      <c r="T279" s="121" t="str">
        <f t="shared" si="210"/>
        <v/>
      </c>
      <c r="U279" s="118">
        <f t="shared" si="211"/>
        <v>0</v>
      </c>
      <c r="V279" s="117">
        <f t="shared" si="212"/>
        <v>0</v>
      </c>
      <c r="W279" s="117">
        <f t="shared" si="213"/>
        <v>1</v>
      </c>
      <c r="X279" s="117">
        <f t="shared" si="214"/>
        <v>4</v>
      </c>
      <c r="Y279" s="117">
        <f t="shared" si="215"/>
        <v>0</v>
      </c>
      <c r="Z279" s="117">
        <f t="shared" si="216"/>
        <v>0</v>
      </c>
      <c r="AA279" s="117">
        <f t="shared" si="217"/>
        <v>0</v>
      </c>
      <c r="AC279" s="121" t="str">
        <f t="shared" si="218"/>
        <v/>
      </c>
      <c r="AD279" s="118">
        <f t="shared" si="219"/>
        <v>0</v>
      </c>
      <c r="AE279" s="117">
        <f t="shared" si="220"/>
        <v>0</v>
      </c>
      <c r="AF279" s="117">
        <f t="shared" si="221"/>
        <v>1</v>
      </c>
      <c r="AG279" s="117">
        <f t="shared" si="222"/>
        <v>3</v>
      </c>
      <c r="AH279" s="117">
        <f t="shared" si="223"/>
        <v>0</v>
      </c>
      <c r="AI279" s="117">
        <f t="shared" si="224"/>
        <v>0</v>
      </c>
      <c r="AJ279" s="117">
        <f t="shared" si="225"/>
        <v>0</v>
      </c>
    </row>
    <row r="280" spans="2:36" ht="16.5" customHeight="1">
      <c r="B280" s="15"/>
      <c r="C280" s="15"/>
      <c r="D280" s="4"/>
      <c r="E280" s="4" t="s">
        <v>193</v>
      </c>
      <c r="F280" s="5">
        <v>3</v>
      </c>
      <c r="G280" s="6">
        <v>0</v>
      </c>
      <c r="H280" s="7" t="s">
        <v>224</v>
      </c>
      <c r="I280" s="7"/>
      <c r="J280" s="4"/>
      <c r="K280" s="4" t="s">
        <v>220</v>
      </c>
      <c r="L280" s="5">
        <v>2</v>
      </c>
      <c r="M280" s="6">
        <v>0</v>
      </c>
      <c r="N280" s="7" t="str">
        <f t="shared" si="209"/>
        <v/>
      </c>
      <c r="O280" s="7"/>
      <c r="P280" s="39"/>
      <c r="Q280" s="38"/>
      <c r="T280" s="121" t="str">
        <f t="shared" si="210"/>
        <v/>
      </c>
      <c r="U280" s="118">
        <f t="shared" si="211"/>
        <v>0</v>
      </c>
      <c r="V280" s="117">
        <f t="shared" si="212"/>
        <v>0</v>
      </c>
      <c r="W280" s="117">
        <f t="shared" si="213"/>
        <v>1</v>
      </c>
      <c r="X280" s="117">
        <f t="shared" si="214"/>
        <v>3</v>
      </c>
      <c r="Y280" s="117">
        <f t="shared" si="215"/>
        <v>0</v>
      </c>
      <c r="Z280" s="117">
        <f t="shared" si="216"/>
        <v>0</v>
      </c>
      <c r="AA280" s="117">
        <f t="shared" si="217"/>
        <v>0</v>
      </c>
      <c r="AC280" s="121" t="str">
        <f t="shared" si="218"/>
        <v/>
      </c>
      <c r="AD280" s="118">
        <f t="shared" si="219"/>
        <v>0</v>
      </c>
      <c r="AE280" s="117">
        <f t="shared" si="220"/>
        <v>0</v>
      </c>
      <c r="AF280" s="117">
        <f t="shared" si="221"/>
        <v>1</v>
      </c>
      <c r="AG280" s="117">
        <f t="shared" si="222"/>
        <v>2</v>
      </c>
      <c r="AH280" s="117">
        <f t="shared" si="223"/>
        <v>0</v>
      </c>
      <c r="AI280" s="117">
        <f t="shared" si="224"/>
        <v>0</v>
      </c>
      <c r="AJ280" s="117">
        <f t="shared" si="225"/>
        <v>0</v>
      </c>
    </row>
    <row r="281" spans="2:36" ht="16.5" customHeight="1">
      <c r="B281" s="15"/>
      <c r="C281" s="15"/>
      <c r="D281" s="8"/>
      <c r="E281" s="9" t="s">
        <v>194</v>
      </c>
      <c r="F281" s="5">
        <v>5</v>
      </c>
      <c r="G281" s="6">
        <v>0</v>
      </c>
      <c r="H281" s="7" t="s">
        <v>224</v>
      </c>
      <c r="I281" s="10"/>
      <c r="J281" s="8"/>
      <c r="K281" s="9" t="s">
        <v>221</v>
      </c>
      <c r="L281" s="5"/>
      <c r="M281" s="6"/>
      <c r="N281" s="7" t="str">
        <f t="shared" si="209"/>
        <v/>
      </c>
      <c r="O281" s="10"/>
      <c r="P281" s="39"/>
      <c r="Q281" s="38"/>
      <c r="T281" s="121" t="str">
        <f t="shared" si="210"/>
        <v/>
      </c>
      <c r="U281" s="118">
        <f t="shared" si="211"/>
        <v>0</v>
      </c>
      <c r="V281" s="117">
        <f t="shared" si="212"/>
        <v>0</v>
      </c>
      <c r="W281" s="117">
        <f t="shared" si="213"/>
        <v>1</v>
      </c>
      <c r="X281" s="117">
        <f t="shared" si="214"/>
        <v>5</v>
      </c>
      <c r="Y281" s="117">
        <f t="shared" si="215"/>
        <v>0</v>
      </c>
      <c r="Z281" s="117">
        <f t="shared" si="216"/>
        <v>0</v>
      </c>
      <c r="AA281" s="117">
        <f t="shared" si="217"/>
        <v>0</v>
      </c>
      <c r="AC281" s="121" t="str">
        <f t="shared" si="218"/>
        <v/>
      </c>
      <c r="AD281" s="118">
        <f t="shared" si="219"/>
        <v>0</v>
      </c>
      <c r="AE281" s="117">
        <f t="shared" si="220"/>
        <v>0</v>
      </c>
      <c r="AF281" s="117">
        <f t="shared" si="221"/>
        <v>0</v>
      </c>
      <c r="AG281" s="117">
        <f t="shared" si="222"/>
        <v>0</v>
      </c>
      <c r="AH281" s="117">
        <f t="shared" si="223"/>
        <v>3</v>
      </c>
      <c r="AI281" s="117">
        <f t="shared" si="224"/>
        <v>1</v>
      </c>
      <c r="AJ281" s="117">
        <f t="shared" si="225"/>
        <v>1</v>
      </c>
    </row>
    <row r="282" spans="2:36" ht="16.5" customHeight="1">
      <c r="K282" s="3"/>
    </row>
    <row r="283" spans="2:36" ht="23.25">
      <c r="B283" s="33" t="s">
        <v>125</v>
      </c>
      <c r="D283" s="52"/>
      <c r="E283" s="55" t="s">
        <v>18</v>
      </c>
      <c r="F283" s="56"/>
      <c r="G283" s="57"/>
      <c r="H283" s="57"/>
      <c r="I283" s="56"/>
      <c r="J283" s="82"/>
      <c r="K283" s="82" t="s">
        <v>71</v>
      </c>
      <c r="M283" s="91"/>
      <c r="N283" s="92"/>
      <c r="O283" s="92"/>
      <c r="P283" s="93"/>
      <c r="Q283" s="92"/>
      <c r="R283" s="92"/>
    </row>
    <row r="284" spans="2:36" ht="16.5" customHeight="1">
      <c r="C284" s="1"/>
      <c r="D284" s="1"/>
      <c r="E284" s="1"/>
      <c r="H284" s="1"/>
      <c r="I284" s="1"/>
      <c r="J284" s="1"/>
      <c r="P284" s="1"/>
    </row>
    <row r="285" spans="2:36" ht="16.5" customHeight="1">
      <c r="B285" s="12"/>
      <c r="C285" s="12" t="s">
        <v>7</v>
      </c>
      <c r="D285" s="4"/>
      <c r="E285" s="4" t="s">
        <v>32</v>
      </c>
      <c r="F285" s="5">
        <v>2</v>
      </c>
      <c r="G285" s="6">
        <v>1</v>
      </c>
      <c r="H285" s="7" t="s">
        <v>224</v>
      </c>
      <c r="I285" s="7"/>
      <c r="J285" s="4"/>
      <c r="K285" s="4" t="s">
        <v>195</v>
      </c>
      <c r="L285" s="5">
        <v>2</v>
      </c>
      <c r="M285" s="6">
        <v>1</v>
      </c>
      <c r="N285" s="7" t="str">
        <f>AC285</f>
        <v/>
      </c>
      <c r="O285" s="7"/>
      <c r="P285" s="24" t="s">
        <v>13</v>
      </c>
      <c r="Q285" s="13"/>
      <c r="T285" s="121" t="str">
        <f>IF($G$283="","",SUM(Y285:AA285))</f>
        <v/>
      </c>
      <c r="U285" s="118">
        <f t="shared" ref="U285" si="226">IF(V285&gt;0,1,IF(V285=0,0,2))</f>
        <v>0</v>
      </c>
      <c r="V285" s="117">
        <f>$G$283-$H$283</f>
        <v>0</v>
      </c>
      <c r="W285" s="117">
        <f t="shared" ref="W285" si="227">IF(X285&gt;0,1,IF(X285=0,0,2))</f>
        <v>1</v>
      </c>
      <c r="X285" s="117">
        <f>F285-G285</f>
        <v>1</v>
      </c>
      <c r="Y285" s="117">
        <f t="shared" ref="Y285" si="228">IF(U285=W285,3,0)</f>
        <v>0</v>
      </c>
      <c r="Z285" s="117">
        <f t="shared" ref="Z285" si="229">IF(V285=X285,1,0)</f>
        <v>0</v>
      </c>
      <c r="AA285" s="117">
        <f>IF(Z285=1,IF($G$283=F285,1,0),0)</f>
        <v>0</v>
      </c>
      <c r="AC285" s="121" t="str">
        <f>IF($G$283="","",SUM(AH285:AJ285))</f>
        <v/>
      </c>
      <c r="AD285" s="118">
        <f t="shared" ref="AD285" si="230">IF(AE285&gt;0,1,IF(AE285=0,0,2))</f>
        <v>0</v>
      </c>
      <c r="AE285" s="117">
        <f>$G$283-$H$283</f>
        <v>0</v>
      </c>
      <c r="AF285" s="117">
        <f t="shared" ref="AF285" si="231">IF(AG285&gt;0,1,IF(AG285=0,0,2))</f>
        <v>1</v>
      </c>
      <c r="AG285" s="117">
        <f>L285-M285</f>
        <v>1</v>
      </c>
      <c r="AH285" s="117">
        <f t="shared" ref="AH285" si="232">IF(AD285=AF285,3,0)</f>
        <v>0</v>
      </c>
      <c r="AI285" s="117">
        <f t="shared" ref="AI285" si="233">IF(AE285=AG285,1,0)</f>
        <v>0</v>
      </c>
      <c r="AJ285" s="117">
        <f>IF(AI285=1,IF($G$283=L285,1,0),0)</f>
        <v>0</v>
      </c>
    </row>
    <row r="286" spans="2:36" ht="16.5" customHeight="1">
      <c r="B286" s="12"/>
      <c r="C286" s="12"/>
      <c r="D286" s="8"/>
      <c r="E286" s="9" t="s">
        <v>170</v>
      </c>
      <c r="F286" s="5">
        <v>2</v>
      </c>
      <c r="G286" s="6">
        <v>1</v>
      </c>
      <c r="H286" s="7" t="s">
        <v>224</v>
      </c>
      <c r="I286" s="10"/>
      <c r="J286" s="8"/>
      <c r="K286" s="9" t="s">
        <v>196</v>
      </c>
      <c r="L286" s="5">
        <v>2</v>
      </c>
      <c r="M286" s="6">
        <v>1</v>
      </c>
      <c r="N286" s="7" t="str">
        <f t="shared" ref="N286:N312" si="234">AC286</f>
        <v/>
      </c>
      <c r="O286" s="10"/>
      <c r="P286" s="24"/>
      <c r="Q286" s="13"/>
      <c r="T286" s="121" t="str">
        <f t="shared" ref="T286:T312" si="235">IF($G$283="","",SUM(Y286:AA286))</f>
        <v/>
      </c>
      <c r="U286" s="118">
        <f t="shared" ref="U286:U312" si="236">IF(V286&gt;0,1,IF(V286=0,0,2))</f>
        <v>0</v>
      </c>
      <c r="V286" s="117">
        <f t="shared" ref="V286:V312" si="237">$G$283-$H$283</f>
        <v>0</v>
      </c>
      <c r="W286" s="117">
        <f t="shared" ref="W286:W312" si="238">IF(X286&gt;0,1,IF(X286=0,0,2))</f>
        <v>1</v>
      </c>
      <c r="X286" s="117">
        <f t="shared" ref="X286:X312" si="239">F286-G286</f>
        <v>1</v>
      </c>
      <c r="Y286" s="117">
        <f t="shared" ref="Y286:Y312" si="240">IF(U286=W286,3,0)</f>
        <v>0</v>
      </c>
      <c r="Z286" s="117">
        <f t="shared" ref="Z286:Z312" si="241">IF(V286=X286,1,0)</f>
        <v>0</v>
      </c>
      <c r="AA286" s="117">
        <f t="shared" ref="AA286:AA312" si="242">IF(Z286=1,IF($G$283=F286,1,0),0)</f>
        <v>0</v>
      </c>
      <c r="AC286" s="121" t="str">
        <f t="shared" ref="AC286:AC312" si="243">IF($G$283="","",SUM(AH286:AJ286))</f>
        <v/>
      </c>
      <c r="AD286" s="118">
        <f t="shared" ref="AD286:AD312" si="244">IF(AE286&gt;0,1,IF(AE286=0,0,2))</f>
        <v>0</v>
      </c>
      <c r="AE286" s="117">
        <f t="shared" ref="AE286:AE312" si="245">$G$283-$H$283</f>
        <v>0</v>
      </c>
      <c r="AF286" s="117">
        <f t="shared" ref="AF286:AF312" si="246">IF(AG286&gt;0,1,IF(AG286=0,0,2))</f>
        <v>1</v>
      </c>
      <c r="AG286" s="117">
        <f t="shared" ref="AG286:AG312" si="247">L286-M286</f>
        <v>1</v>
      </c>
      <c r="AH286" s="117">
        <f t="shared" ref="AH286:AH312" si="248">IF(AD286=AF286,3,0)</f>
        <v>0</v>
      </c>
      <c r="AI286" s="117">
        <f t="shared" ref="AI286:AI312" si="249">IF(AE286=AG286,1,0)</f>
        <v>0</v>
      </c>
      <c r="AJ286" s="117">
        <f t="shared" ref="AJ286:AJ312" si="250">IF(AI286=1,IF($G$283=L286,1,0),0)</f>
        <v>0</v>
      </c>
    </row>
    <row r="287" spans="2:36" ht="16.5" customHeight="1">
      <c r="B287" s="12"/>
      <c r="C287" s="12"/>
      <c r="D287" s="4"/>
      <c r="E287" s="4" t="s">
        <v>171</v>
      </c>
      <c r="F287" s="5">
        <v>2</v>
      </c>
      <c r="G287" s="6">
        <v>1</v>
      </c>
      <c r="H287" s="7" t="s">
        <v>224</v>
      </c>
      <c r="I287" s="7"/>
      <c r="J287" s="4"/>
      <c r="K287" s="4" t="s">
        <v>197</v>
      </c>
      <c r="L287" s="5">
        <v>2</v>
      </c>
      <c r="M287" s="6">
        <v>1</v>
      </c>
      <c r="N287" s="7" t="str">
        <f t="shared" si="234"/>
        <v/>
      </c>
      <c r="O287" s="7"/>
      <c r="P287" s="24"/>
      <c r="Q287" s="13"/>
      <c r="T287" s="121" t="str">
        <f t="shared" si="235"/>
        <v/>
      </c>
      <c r="U287" s="118">
        <f t="shared" si="236"/>
        <v>0</v>
      </c>
      <c r="V287" s="117">
        <f t="shared" si="237"/>
        <v>0</v>
      </c>
      <c r="W287" s="117">
        <f t="shared" si="238"/>
        <v>1</v>
      </c>
      <c r="X287" s="117">
        <f t="shared" si="239"/>
        <v>1</v>
      </c>
      <c r="Y287" s="117">
        <f t="shared" si="240"/>
        <v>0</v>
      </c>
      <c r="Z287" s="117">
        <f t="shared" si="241"/>
        <v>0</v>
      </c>
      <c r="AA287" s="117">
        <f t="shared" si="242"/>
        <v>0</v>
      </c>
      <c r="AC287" s="121" t="str">
        <f t="shared" si="243"/>
        <v/>
      </c>
      <c r="AD287" s="118">
        <f t="shared" si="244"/>
        <v>0</v>
      </c>
      <c r="AE287" s="117">
        <f t="shared" si="245"/>
        <v>0</v>
      </c>
      <c r="AF287" s="117">
        <f t="shared" si="246"/>
        <v>1</v>
      </c>
      <c r="AG287" s="117">
        <f t="shared" si="247"/>
        <v>1</v>
      </c>
      <c r="AH287" s="117">
        <f t="shared" si="248"/>
        <v>0</v>
      </c>
      <c r="AI287" s="117">
        <f t="shared" si="249"/>
        <v>0</v>
      </c>
      <c r="AJ287" s="117">
        <f t="shared" si="250"/>
        <v>0</v>
      </c>
    </row>
    <row r="288" spans="2:36" ht="16.5" customHeight="1">
      <c r="B288" s="12"/>
      <c r="C288" s="12"/>
      <c r="D288" s="8"/>
      <c r="E288" s="9" t="s">
        <v>172</v>
      </c>
      <c r="F288" s="5">
        <v>2</v>
      </c>
      <c r="G288" s="6">
        <v>0</v>
      </c>
      <c r="H288" s="7" t="s">
        <v>224</v>
      </c>
      <c r="I288" s="10"/>
      <c r="J288" s="8"/>
      <c r="K288" s="9" t="s">
        <v>198</v>
      </c>
      <c r="L288" s="5">
        <v>1</v>
      </c>
      <c r="M288" s="6">
        <v>1</v>
      </c>
      <c r="N288" s="7" t="str">
        <f t="shared" si="234"/>
        <v/>
      </c>
      <c r="O288" s="10"/>
      <c r="P288" s="24"/>
      <c r="Q288" s="13"/>
      <c r="T288" s="121" t="str">
        <f t="shared" si="235"/>
        <v/>
      </c>
      <c r="U288" s="118">
        <f t="shared" si="236"/>
        <v>0</v>
      </c>
      <c r="V288" s="117">
        <f t="shared" si="237"/>
        <v>0</v>
      </c>
      <c r="W288" s="117">
        <f t="shared" si="238"/>
        <v>1</v>
      </c>
      <c r="X288" s="117">
        <f t="shared" si="239"/>
        <v>2</v>
      </c>
      <c r="Y288" s="117">
        <f t="shared" si="240"/>
        <v>0</v>
      </c>
      <c r="Z288" s="117">
        <f t="shared" si="241"/>
        <v>0</v>
      </c>
      <c r="AA288" s="117">
        <f t="shared" si="242"/>
        <v>0</v>
      </c>
      <c r="AC288" s="121" t="str">
        <f t="shared" si="243"/>
        <v/>
      </c>
      <c r="AD288" s="118">
        <f t="shared" si="244"/>
        <v>0</v>
      </c>
      <c r="AE288" s="117">
        <f t="shared" si="245"/>
        <v>0</v>
      </c>
      <c r="AF288" s="117">
        <f t="shared" si="246"/>
        <v>0</v>
      </c>
      <c r="AG288" s="117">
        <f t="shared" si="247"/>
        <v>0</v>
      </c>
      <c r="AH288" s="117">
        <f t="shared" si="248"/>
        <v>3</v>
      </c>
      <c r="AI288" s="117">
        <f t="shared" si="249"/>
        <v>1</v>
      </c>
      <c r="AJ288" s="117">
        <f t="shared" si="250"/>
        <v>0</v>
      </c>
    </row>
    <row r="289" spans="2:36" ht="16.5" customHeight="1">
      <c r="B289" s="12"/>
      <c r="C289" s="12"/>
      <c r="D289" s="4"/>
      <c r="E289" s="4" t="s">
        <v>173</v>
      </c>
      <c r="F289" s="5">
        <v>2</v>
      </c>
      <c r="G289" s="6">
        <v>2</v>
      </c>
      <c r="H289" s="7" t="s">
        <v>224</v>
      </c>
      <c r="I289" s="7"/>
      <c r="J289" s="4"/>
      <c r="K289" s="4" t="s">
        <v>199</v>
      </c>
      <c r="L289" s="5">
        <v>2</v>
      </c>
      <c r="M289" s="6">
        <v>1</v>
      </c>
      <c r="N289" s="7" t="str">
        <f t="shared" si="234"/>
        <v/>
      </c>
      <c r="O289" s="7"/>
      <c r="P289" s="24"/>
      <c r="Q289" s="13"/>
      <c r="T289" s="121" t="str">
        <f t="shared" si="235"/>
        <v/>
      </c>
      <c r="U289" s="118">
        <f t="shared" si="236"/>
        <v>0</v>
      </c>
      <c r="V289" s="117">
        <f t="shared" si="237"/>
        <v>0</v>
      </c>
      <c r="W289" s="117">
        <f t="shared" si="238"/>
        <v>0</v>
      </c>
      <c r="X289" s="117">
        <f t="shared" si="239"/>
        <v>0</v>
      </c>
      <c r="Y289" s="117">
        <f t="shared" si="240"/>
        <v>3</v>
      </c>
      <c r="Z289" s="117">
        <f t="shared" si="241"/>
        <v>1</v>
      </c>
      <c r="AA289" s="117">
        <f t="shared" si="242"/>
        <v>0</v>
      </c>
      <c r="AC289" s="121" t="str">
        <f t="shared" si="243"/>
        <v/>
      </c>
      <c r="AD289" s="118">
        <f t="shared" si="244"/>
        <v>0</v>
      </c>
      <c r="AE289" s="117">
        <f t="shared" si="245"/>
        <v>0</v>
      </c>
      <c r="AF289" s="117">
        <f t="shared" si="246"/>
        <v>1</v>
      </c>
      <c r="AG289" s="117">
        <f t="shared" si="247"/>
        <v>1</v>
      </c>
      <c r="AH289" s="117">
        <f t="shared" si="248"/>
        <v>0</v>
      </c>
      <c r="AI289" s="117">
        <f t="shared" si="249"/>
        <v>0</v>
      </c>
      <c r="AJ289" s="117">
        <f t="shared" si="250"/>
        <v>0</v>
      </c>
    </row>
    <row r="290" spans="2:36" ht="16.5" customHeight="1">
      <c r="B290" s="12"/>
      <c r="C290" s="12"/>
      <c r="D290" s="8"/>
      <c r="E290" s="9" t="s">
        <v>174</v>
      </c>
      <c r="F290" s="5">
        <v>2</v>
      </c>
      <c r="G290" s="6">
        <v>1</v>
      </c>
      <c r="H290" s="7" t="s">
        <v>224</v>
      </c>
      <c r="I290" s="10"/>
      <c r="J290" s="8"/>
      <c r="K290" s="9" t="s">
        <v>200</v>
      </c>
      <c r="L290" s="5">
        <v>2</v>
      </c>
      <c r="M290" s="6">
        <v>1</v>
      </c>
      <c r="N290" s="7" t="str">
        <f t="shared" si="234"/>
        <v/>
      </c>
      <c r="O290" s="10"/>
      <c r="P290" s="24"/>
      <c r="Q290" s="13"/>
      <c r="T290" s="121" t="str">
        <f t="shared" si="235"/>
        <v/>
      </c>
      <c r="U290" s="118">
        <f t="shared" si="236"/>
        <v>0</v>
      </c>
      <c r="V290" s="117">
        <f t="shared" si="237"/>
        <v>0</v>
      </c>
      <c r="W290" s="117">
        <f t="shared" si="238"/>
        <v>1</v>
      </c>
      <c r="X290" s="117">
        <f t="shared" si="239"/>
        <v>1</v>
      </c>
      <c r="Y290" s="117">
        <f t="shared" si="240"/>
        <v>0</v>
      </c>
      <c r="Z290" s="117">
        <f t="shared" si="241"/>
        <v>0</v>
      </c>
      <c r="AA290" s="117">
        <f t="shared" si="242"/>
        <v>0</v>
      </c>
      <c r="AC290" s="121" t="str">
        <f t="shared" si="243"/>
        <v/>
      </c>
      <c r="AD290" s="118">
        <f t="shared" si="244"/>
        <v>0</v>
      </c>
      <c r="AE290" s="117">
        <f t="shared" si="245"/>
        <v>0</v>
      </c>
      <c r="AF290" s="117">
        <f t="shared" si="246"/>
        <v>1</v>
      </c>
      <c r="AG290" s="117">
        <f t="shared" si="247"/>
        <v>1</v>
      </c>
      <c r="AH290" s="117">
        <f t="shared" si="248"/>
        <v>0</v>
      </c>
      <c r="AI290" s="117">
        <f t="shared" si="249"/>
        <v>0</v>
      </c>
      <c r="AJ290" s="117">
        <f t="shared" si="250"/>
        <v>0</v>
      </c>
    </row>
    <row r="291" spans="2:36" ht="16.5" customHeight="1">
      <c r="B291" s="12"/>
      <c r="C291" s="12"/>
      <c r="D291" s="4"/>
      <c r="E291" s="4" t="s">
        <v>175</v>
      </c>
      <c r="F291" s="5">
        <v>1</v>
      </c>
      <c r="G291" s="6">
        <v>1</v>
      </c>
      <c r="H291" s="7" t="s">
        <v>224</v>
      </c>
      <c r="I291" s="7"/>
      <c r="J291" s="4"/>
      <c r="K291" s="4" t="s">
        <v>201</v>
      </c>
      <c r="L291" s="5">
        <v>3</v>
      </c>
      <c r="M291" s="6">
        <v>1</v>
      </c>
      <c r="N291" s="7" t="str">
        <f t="shared" si="234"/>
        <v/>
      </c>
      <c r="O291" s="7"/>
      <c r="P291" s="24"/>
      <c r="Q291" s="13"/>
      <c r="T291" s="121" t="str">
        <f t="shared" si="235"/>
        <v/>
      </c>
      <c r="U291" s="118">
        <f t="shared" si="236"/>
        <v>0</v>
      </c>
      <c r="V291" s="117">
        <f t="shared" si="237"/>
        <v>0</v>
      </c>
      <c r="W291" s="117">
        <f t="shared" si="238"/>
        <v>0</v>
      </c>
      <c r="X291" s="117">
        <f t="shared" si="239"/>
        <v>0</v>
      </c>
      <c r="Y291" s="117">
        <f t="shared" si="240"/>
        <v>3</v>
      </c>
      <c r="Z291" s="117">
        <f t="shared" si="241"/>
        <v>1</v>
      </c>
      <c r="AA291" s="117">
        <f t="shared" si="242"/>
        <v>0</v>
      </c>
      <c r="AC291" s="121" t="str">
        <f t="shared" si="243"/>
        <v/>
      </c>
      <c r="AD291" s="118">
        <f t="shared" si="244"/>
        <v>0</v>
      </c>
      <c r="AE291" s="117">
        <f t="shared" si="245"/>
        <v>0</v>
      </c>
      <c r="AF291" s="117">
        <f t="shared" si="246"/>
        <v>1</v>
      </c>
      <c r="AG291" s="117">
        <f t="shared" si="247"/>
        <v>2</v>
      </c>
      <c r="AH291" s="117">
        <f t="shared" si="248"/>
        <v>0</v>
      </c>
      <c r="AI291" s="117">
        <f t="shared" si="249"/>
        <v>0</v>
      </c>
      <c r="AJ291" s="117">
        <f t="shared" si="250"/>
        <v>0</v>
      </c>
    </row>
    <row r="292" spans="2:36" ht="16.5" customHeight="1">
      <c r="B292" s="14"/>
      <c r="C292" s="14" t="s">
        <v>8</v>
      </c>
      <c r="D292" s="8"/>
      <c r="E292" s="9" t="s">
        <v>33</v>
      </c>
      <c r="F292" s="5">
        <v>1</v>
      </c>
      <c r="G292" s="6">
        <v>1</v>
      </c>
      <c r="H292" s="7" t="s">
        <v>224</v>
      </c>
      <c r="I292" s="10"/>
      <c r="J292" s="8"/>
      <c r="K292" s="9" t="s">
        <v>225</v>
      </c>
      <c r="L292" s="5">
        <v>2</v>
      </c>
      <c r="M292" s="6">
        <v>0</v>
      </c>
      <c r="N292" s="7" t="str">
        <f t="shared" si="234"/>
        <v/>
      </c>
      <c r="O292" s="10"/>
      <c r="P292" s="31" t="s">
        <v>16</v>
      </c>
      <c r="Q292" s="30"/>
      <c r="T292" s="121" t="str">
        <f t="shared" si="235"/>
        <v/>
      </c>
      <c r="U292" s="118">
        <f t="shared" si="236"/>
        <v>0</v>
      </c>
      <c r="V292" s="117">
        <f t="shared" si="237"/>
        <v>0</v>
      </c>
      <c r="W292" s="117">
        <f t="shared" si="238"/>
        <v>0</v>
      </c>
      <c r="X292" s="117">
        <f t="shared" si="239"/>
        <v>0</v>
      </c>
      <c r="Y292" s="117">
        <f t="shared" si="240"/>
        <v>3</v>
      </c>
      <c r="Z292" s="117">
        <f t="shared" si="241"/>
        <v>1</v>
      </c>
      <c r="AA292" s="117">
        <f t="shared" si="242"/>
        <v>0</v>
      </c>
      <c r="AC292" s="121" t="str">
        <f t="shared" si="243"/>
        <v/>
      </c>
      <c r="AD292" s="118">
        <f t="shared" si="244"/>
        <v>0</v>
      </c>
      <c r="AE292" s="117">
        <f t="shared" si="245"/>
        <v>0</v>
      </c>
      <c r="AF292" s="117">
        <f t="shared" si="246"/>
        <v>1</v>
      </c>
      <c r="AG292" s="117">
        <f t="shared" si="247"/>
        <v>2</v>
      </c>
      <c r="AH292" s="117">
        <f t="shared" si="248"/>
        <v>0</v>
      </c>
      <c r="AI292" s="117">
        <f t="shared" si="249"/>
        <v>0</v>
      </c>
      <c r="AJ292" s="117">
        <f t="shared" si="250"/>
        <v>0</v>
      </c>
    </row>
    <row r="293" spans="2:36" ht="16.5" customHeight="1">
      <c r="B293" s="14"/>
      <c r="C293" s="14"/>
      <c r="D293" s="4"/>
      <c r="E293" s="4" t="s">
        <v>176</v>
      </c>
      <c r="F293" s="5">
        <v>2</v>
      </c>
      <c r="G293" s="6">
        <v>2</v>
      </c>
      <c r="H293" s="7" t="s">
        <v>224</v>
      </c>
      <c r="I293" s="7"/>
      <c r="J293" s="4"/>
      <c r="K293" s="4" t="s">
        <v>203</v>
      </c>
      <c r="L293" s="5">
        <v>2</v>
      </c>
      <c r="M293" s="6">
        <v>1</v>
      </c>
      <c r="N293" s="7" t="str">
        <f t="shared" si="234"/>
        <v/>
      </c>
      <c r="O293" s="7"/>
      <c r="P293" s="31"/>
      <c r="Q293" s="30"/>
      <c r="T293" s="121" t="str">
        <f t="shared" si="235"/>
        <v/>
      </c>
      <c r="U293" s="118">
        <f t="shared" si="236"/>
        <v>0</v>
      </c>
      <c r="V293" s="117">
        <f t="shared" si="237"/>
        <v>0</v>
      </c>
      <c r="W293" s="117">
        <f t="shared" si="238"/>
        <v>0</v>
      </c>
      <c r="X293" s="117">
        <f t="shared" si="239"/>
        <v>0</v>
      </c>
      <c r="Y293" s="117">
        <f t="shared" si="240"/>
        <v>3</v>
      </c>
      <c r="Z293" s="117">
        <f t="shared" si="241"/>
        <v>1</v>
      </c>
      <c r="AA293" s="117">
        <f t="shared" si="242"/>
        <v>0</v>
      </c>
      <c r="AC293" s="121" t="str">
        <f t="shared" si="243"/>
        <v/>
      </c>
      <c r="AD293" s="118">
        <f t="shared" si="244"/>
        <v>0</v>
      </c>
      <c r="AE293" s="117">
        <f t="shared" si="245"/>
        <v>0</v>
      </c>
      <c r="AF293" s="117">
        <f t="shared" si="246"/>
        <v>1</v>
      </c>
      <c r="AG293" s="117">
        <f t="shared" si="247"/>
        <v>1</v>
      </c>
      <c r="AH293" s="117">
        <f t="shared" si="248"/>
        <v>0</v>
      </c>
      <c r="AI293" s="117">
        <f t="shared" si="249"/>
        <v>0</v>
      </c>
      <c r="AJ293" s="117">
        <f t="shared" si="250"/>
        <v>0</v>
      </c>
    </row>
    <row r="294" spans="2:36" ht="16.5" customHeight="1">
      <c r="B294" s="14"/>
      <c r="C294" s="14"/>
      <c r="D294" s="8"/>
      <c r="E294" s="9" t="s">
        <v>177</v>
      </c>
      <c r="F294" s="5">
        <v>2</v>
      </c>
      <c r="G294" s="6">
        <v>1</v>
      </c>
      <c r="H294" s="7" t="s">
        <v>224</v>
      </c>
      <c r="I294" s="10"/>
      <c r="J294" s="8"/>
      <c r="K294" s="9" t="s">
        <v>204</v>
      </c>
      <c r="L294" s="5">
        <v>1</v>
      </c>
      <c r="M294" s="6">
        <v>1</v>
      </c>
      <c r="N294" s="7" t="str">
        <f t="shared" si="234"/>
        <v/>
      </c>
      <c r="O294" s="10"/>
      <c r="P294" s="31"/>
      <c r="Q294" s="30"/>
      <c r="T294" s="121" t="str">
        <f t="shared" si="235"/>
        <v/>
      </c>
      <c r="U294" s="118">
        <f t="shared" si="236"/>
        <v>0</v>
      </c>
      <c r="V294" s="117">
        <f t="shared" si="237"/>
        <v>0</v>
      </c>
      <c r="W294" s="117">
        <f t="shared" si="238"/>
        <v>1</v>
      </c>
      <c r="X294" s="117">
        <f t="shared" si="239"/>
        <v>1</v>
      </c>
      <c r="Y294" s="117">
        <f t="shared" si="240"/>
        <v>0</v>
      </c>
      <c r="Z294" s="117">
        <f t="shared" si="241"/>
        <v>0</v>
      </c>
      <c r="AA294" s="117">
        <f t="shared" si="242"/>
        <v>0</v>
      </c>
      <c r="AC294" s="121" t="str">
        <f t="shared" si="243"/>
        <v/>
      </c>
      <c r="AD294" s="118">
        <f t="shared" si="244"/>
        <v>0</v>
      </c>
      <c r="AE294" s="117">
        <f t="shared" si="245"/>
        <v>0</v>
      </c>
      <c r="AF294" s="117">
        <f t="shared" si="246"/>
        <v>0</v>
      </c>
      <c r="AG294" s="117">
        <f t="shared" si="247"/>
        <v>0</v>
      </c>
      <c r="AH294" s="117">
        <f t="shared" si="248"/>
        <v>3</v>
      </c>
      <c r="AI294" s="117">
        <f t="shared" si="249"/>
        <v>1</v>
      </c>
      <c r="AJ294" s="117">
        <f t="shared" si="250"/>
        <v>0</v>
      </c>
    </row>
    <row r="295" spans="2:36" ht="16.5" customHeight="1">
      <c r="B295" s="14"/>
      <c r="C295" s="14"/>
      <c r="D295" s="4"/>
      <c r="E295" s="4" t="s">
        <v>178</v>
      </c>
      <c r="F295" s="5">
        <v>2</v>
      </c>
      <c r="G295" s="6">
        <v>1</v>
      </c>
      <c r="H295" s="7" t="s">
        <v>224</v>
      </c>
      <c r="I295" s="7"/>
      <c r="J295" s="4"/>
      <c r="K295" s="4" t="s">
        <v>223</v>
      </c>
      <c r="L295" s="5">
        <v>3</v>
      </c>
      <c r="M295" s="6">
        <v>1</v>
      </c>
      <c r="N295" s="7" t="str">
        <f t="shared" si="234"/>
        <v/>
      </c>
      <c r="O295" s="7"/>
      <c r="P295" s="31"/>
      <c r="Q295" s="30"/>
      <c r="T295" s="121" t="str">
        <f t="shared" si="235"/>
        <v/>
      </c>
      <c r="U295" s="118">
        <f t="shared" si="236"/>
        <v>0</v>
      </c>
      <c r="V295" s="117">
        <f t="shared" si="237"/>
        <v>0</v>
      </c>
      <c r="W295" s="117">
        <f t="shared" si="238"/>
        <v>1</v>
      </c>
      <c r="X295" s="117">
        <f t="shared" si="239"/>
        <v>1</v>
      </c>
      <c r="Y295" s="117">
        <f t="shared" si="240"/>
        <v>0</v>
      </c>
      <c r="Z295" s="117">
        <f t="shared" si="241"/>
        <v>0</v>
      </c>
      <c r="AA295" s="117">
        <f t="shared" si="242"/>
        <v>0</v>
      </c>
      <c r="AC295" s="121" t="str">
        <f t="shared" si="243"/>
        <v/>
      </c>
      <c r="AD295" s="118">
        <f t="shared" si="244"/>
        <v>0</v>
      </c>
      <c r="AE295" s="117">
        <f t="shared" si="245"/>
        <v>0</v>
      </c>
      <c r="AF295" s="117">
        <f t="shared" si="246"/>
        <v>1</v>
      </c>
      <c r="AG295" s="117">
        <f t="shared" si="247"/>
        <v>2</v>
      </c>
      <c r="AH295" s="117">
        <f t="shared" si="248"/>
        <v>0</v>
      </c>
      <c r="AI295" s="117">
        <f t="shared" si="249"/>
        <v>0</v>
      </c>
      <c r="AJ295" s="117">
        <f t="shared" si="250"/>
        <v>0</v>
      </c>
    </row>
    <row r="296" spans="2:36" ht="16.5" customHeight="1">
      <c r="B296" s="14"/>
      <c r="C296" s="14"/>
      <c r="D296" s="8"/>
      <c r="E296" s="9" t="s">
        <v>179</v>
      </c>
      <c r="F296" s="5">
        <v>3</v>
      </c>
      <c r="G296" s="6">
        <v>2</v>
      </c>
      <c r="H296" s="7" t="s">
        <v>224</v>
      </c>
      <c r="I296" s="10"/>
      <c r="J296" s="8"/>
      <c r="K296" s="9" t="s">
        <v>205</v>
      </c>
      <c r="L296" s="5">
        <v>2</v>
      </c>
      <c r="M296" s="6">
        <v>2</v>
      </c>
      <c r="N296" s="7" t="str">
        <f t="shared" si="234"/>
        <v/>
      </c>
      <c r="O296" s="10"/>
      <c r="P296" s="31"/>
      <c r="Q296" s="30"/>
      <c r="T296" s="121" t="str">
        <f t="shared" si="235"/>
        <v/>
      </c>
      <c r="U296" s="118">
        <f t="shared" si="236"/>
        <v>0</v>
      </c>
      <c r="V296" s="117">
        <f t="shared" si="237"/>
        <v>0</v>
      </c>
      <c r="W296" s="117">
        <f t="shared" si="238"/>
        <v>1</v>
      </c>
      <c r="X296" s="117">
        <f t="shared" si="239"/>
        <v>1</v>
      </c>
      <c r="Y296" s="117">
        <f t="shared" si="240"/>
        <v>0</v>
      </c>
      <c r="Z296" s="117">
        <f t="shared" si="241"/>
        <v>0</v>
      </c>
      <c r="AA296" s="117">
        <f t="shared" si="242"/>
        <v>0</v>
      </c>
      <c r="AC296" s="121" t="str">
        <f t="shared" si="243"/>
        <v/>
      </c>
      <c r="AD296" s="118">
        <f t="shared" si="244"/>
        <v>0</v>
      </c>
      <c r="AE296" s="117">
        <f t="shared" si="245"/>
        <v>0</v>
      </c>
      <c r="AF296" s="117">
        <f t="shared" si="246"/>
        <v>0</v>
      </c>
      <c r="AG296" s="117">
        <f t="shared" si="247"/>
        <v>0</v>
      </c>
      <c r="AH296" s="117">
        <f t="shared" si="248"/>
        <v>3</v>
      </c>
      <c r="AI296" s="117">
        <f t="shared" si="249"/>
        <v>1</v>
      </c>
      <c r="AJ296" s="117">
        <f t="shared" si="250"/>
        <v>0</v>
      </c>
    </row>
    <row r="297" spans="2:36" ht="16.5" customHeight="1">
      <c r="B297" s="14"/>
      <c r="C297" s="14"/>
      <c r="D297" s="4"/>
      <c r="E297" s="4" t="s">
        <v>180</v>
      </c>
      <c r="F297" s="5">
        <v>1</v>
      </c>
      <c r="G297" s="6">
        <v>1</v>
      </c>
      <c r="H297" s="7" t="s">
        <v>224</v>
      </c>
      <c r="I297" s="7"/>
      <c r="J297" s="4"/>
      <c r="K297" s="4" t="s">
        <v>206</v>
      </c>
      <c r="L297" s="5">
        <v>2</v>
      </c>
      <c r="M297" s="6">
        <v>2</v>
      </c>
      <c r="N297" s="7" t="str">
        <f t="shared" si="234"/>
        <v/>
      </c>
      <c r="O297" s="7"/>
      <c r="P297" s="31"/>
      <c r="Q297" s="30"/>
      <c r="T297" s="121" t="str">
        <f t="shared" si="235"/>
        <v/>
      </c>
      <c r="U297" s="118">
        <f t="shared" si="236"/>
        <v>0</v>
      </c>
      <c r="V297" s="117">
        <f t="shared" si="237"/>
        <v>0</v>
      </c>
      <c r="W297" s="117">
        <f t="shared" si="238"/>
        <v>0</v>
      </c>
      <c r="X297" s="117">
        <f t="shared" si="239"/>
        <v>0</v>
      </c>
      <c r="Y297" s="117">
        <f t="shared" si="240"/>
        <v>3</v>
      </c>
      <c r="Z297" s="117">
        <f t="shared" si="241"/>
        <v>1</v>
      </c>
      <c r="AA297" s="117">
        <f t="shared" si="242"/>
        <v>0</v>
      </c>
      <c r="AC297" s="121" t="str">
        <f t="shared" si="243"/>
        <v/>
      </c>
      <c r="AD297" s="118">
        <f t="shared" si="244"/>
        <v>0</v>
      </c>
      <c r="AE297" s="117">
        <f t="shared" si="245"/>
        <v>0</v>
      </c>
      <c r="AF297" s="117">
        <f t="shared" si="246"/>
        <v>0</v>
      </c>
      <c r="AG297" s="117">
        <f t="shared" si="247"/>
        <v>0</v>
      </c>
      <c r="AH297" s="117">
        <f t="shared" si="248"/>
        <v>3</v>
      </c>
      <c r="AI297" s="117">
        <f t="shared" si="249"/>
        <v>1</v>
      </c>
      <c r="AJ297" s="117">
        <f t="shared" si="250"/>
        <v>0</v>
      </c>
    </row>
    <row r="298" spans="2:36" ht="16.5" customHeight="1">
      <c r="B298" s="14"/>
      <c r="C298" s="14"/>
      <c r="D298" s="8"/>
      <c r="E298" s="9" t="s">
        <v>181</v>
      </c>
      <c r="F298" s="5">
        <v>2</v>
      </c>
      <c r="G298" s="6">
        <v>1</v>
      </c>
      <c r="H298" s="7" t="s">
        <v>224</v>
      </c>
      <c r="I298" s="10"/>
      <c r="J298" s="8"/>
      <c r="K298" s="9" t="s">
        <v>207</v>
      </c>
      <c r="L298" s="5">
        <v>1</v>
      </c>
      <c r="M298" s="6">
        <v>2</v>
      </c>
      <c r="N298" s="7" t="str">
        <f t="shared" si="234"/>
        <v/>
      </c>
      <c r="O298" s="10"/>
      <c r="P298" s="31"/>
      <c r="Q298" s="30"/>
      <c r="T298" s="121" t="str">
        <f t="shared" si="235"/>
        <v/>
      </c>
      <c r="U298" s="118">
        <f t="shared" si="236"/>
        <v>0</v>
      </c>
      <c r="V298" s="117">
        <f t="shared" si="237"/>
        <v>0</v>
      </c>
      <c r="W298" s="117">
        <f t="shared" si="238"/>
        <v>1</v>
      </c>
      <c r="X298" s="117">
        <f t="shared" si="239"/>
        <v>1</v>
      </c>
      <c r="Y298" s="117">
        <f t="shared" si="240"/>
        <v>0</v>
      </c>
      <c r="Z298" s="117">
        <f t="shared" si="241"/>
        <v>0</v>
      </c>
      <c r="AA298" s="117">
        <f t="shared" si="242"/>
        <v>0</v>
      </c>
      <c r="AC298" s="121" t="str">
        <f t="shared" si="243"/>
        <v/>
      </c>
      <c r="AD298" s="118">
        <f t="shared" si="244"/>
        <v>0</v>
      </c>
      <c r="AE298" s="117">
        <f t="shared" si="245"/>
        <v>0</v>
      </c>
      <c r="AF298" s="117">
        <f t="shared" si="246"/>
        <v>2</v>
      </c>
      <c r="AG298" s="117">
        <f t="shared" si="247"/>
        <v>-1</v>
      </c>
      <c r="AH298" s="117">
        <f t="shared" si="248"/>
        <v>0</v>
      </c>
      <c r="AI298" s="117">
        <f t="shared" si="249"/>
        <v>0</v>
      </c>
      <c r="AJ298" s="117">
        <f t="shared" si="250"/>
        <v>0</v>
      </c>
    </row>
    <row r="299" spans="2:36" ht="16.5" customHeight="1">
      <c r="B299" s="11"/>
      <c r="C299" s="11" t="s">
        <v>9</v>
      </c>
      <c r="D299" s="4"/>
      <c r="E299" s="4" t="s">
        <v>182</v>
      </c>
      <c r="F299" s="5">
        <v>3</v>
      </c>
      <c r="G299" s="6">
        <v>1</v>
      </c>
      <c r="H299" s="7" t="s">
        <v>224</v>
      </c>
      <c r="I299" s="7"/>
      <c r="J299" s="4"/>
      <c r="K299" s="4" t="s">
        <v>208</v>
      </c>
      <c r="L299" s="5">
        <v>2</v>
      </c>
      <c r="M299" s="6">
        <v>0</v>
      </c>
      <c r="N299" s="7" t="str">
        <f t="shared" si="234"/>
        <v/>
      </c>
      <c r="O299" s="7"/>
      <c r="P299" s="36" t="s">
        <v>25</v>
      </c>
      <c r="Q299" s="35"/>
      <c r="T299" s="121" t="str">
        <f t="shared" si="235"/>
        <v/>
      </c>
      <c r="U299" s="118">
        <f t="shared" si="236"/>
        <v>0</v>
      </c>
      <c r="V299" s="117">
        <f t="shared" si="237"/>
        <v>0</v>
      </c>
      <c r="W299" s="117">
        <f t="shared" si="238"/>
        <v>1</v>
      </c>
      <c r="X299" s="117">
        <f t="shared" si="239"/>
        <v>2</v>
      </c>
      <c r="Y299" s="117">
        <f t="shared" si="240"/>
        <v>0</v>
      </c>
      <c r="Z299" s="117">
        <f t="shared" si="241"/>
        <v>0</v>
      </c>
      <c r="AA299" s="117">
        <f t="shared" si="242"/>
        <v>0</v>
      </c>
      <c r="AC299" s="121" t="str">
        <f t="shared" si="243"/>
        <v/>
      </c>
      <c r="AD299" s="118">
        <f t="shared" si="244"/>
        <v>0</v>
      </c>
      <c r="AE299" s="117">
        <f t="shared" si="245"/>
        <v>0</v>
      </c>
      <c r="AF299" s="117">
        <f t="shared" si="246"/>
        <v>1</v>
      </c>
      <c r="AG299" s="117">
        <f t="shared" si="247"/>
        <v>2</v>
      </c>
      <c r="AH299" s="117">
        <f t="shared" si="248"/>
        <v>0</v>
      </c>
      <c r="AI299" s="117">
        <f t="shared" si="249"/>
        <v>0</v>
      </c>
      <c r="AJ299" s="117">
        <f t="shared" si="250"/>
        <v>0</v>
      </c>
    </row>
    <row r="300" spans="2:36" ht="16.5" customHeight="1">
      <c r="B300" s="11"/>
      <c r="C300" s="11"/>
      <c r="D300" s="8"/>
      <c r="E300" s="9" t="s">
        <v>183</v>
      </c>
      <c r="F300" s="5">
        <v>2</v>
      </c>
      <c r="G300" s="6">
        <v>0</v>
      </c>
      <c r="H300" s="7" t="s">
        <v>224</v>
      </c>
      <c r="I300" s="10"/>
      <c r="J300" s="8"/>
      <c r="K300" s="9" t="s">
        <v>209</v>
      </c>
      <c r="L300" s="5">
        <v>2</v>
      </c>
      <c r="M300" s="6">
        <v>1</v>
      </c>
      <c r="N300" s="7" t="str">
        <f t="shared" si="234"/>
        <v/>
      </c>
      <c r="O300" s="10"/>
      <c r="P300" s="36"/>
      <c r="Q300" s="35"/>
      <c r="T300" s="121" t="str">
        <f t="shared" si="235"/>
        <v/>
      </c>
      <c r="U300" s="118">
        <f t="shared" si="236"/>
        <v>0</v>
      </c>
      <c r="V300" s="117">
        <f t="shared" si="237"/>
        <v>0</v>
      </c>
      <c r="W300" s="117">
        <f t="shared" si="238"/>
        <v>1</v>
      </c>
      <c r="X300" s="117">
        <f t="shared" si="239"/>
        <v>2</v>
      </c>
      <c r="Y300" s="117">
        <f t="shared" si="240"/>
        <v>0</v>
      </c>
      <c r="Z300" s="117">
        <f t="shared" si="241"/>
        <v>0</v>
      </c>
      <c r="AA300" s="117">
        <f t="shared" si="242"/>
        <v>0</v>
      </c>
      <c r="AC300" s="121" t="str">
        <f t="shared" si="243"/>
        <v/>
      </c>
      <c r="AD300" s="118">
        <f t="shared" si="244"/>
        <v>0</v>
      </c>
      <c r="AE300" s="117">
        <f t="shared" si="245"/>
        <v>0</v>
      </c>
      <c r="AF300" s="117">
        <f t="shared" si="246"/>
        <v>1</v>
      </c>
      <c r="AG300" s="117">
        <f t="shared" si="247"/>
        <v>1</v>
      </c>
      <c r="AH300" s="117">
        <f t="shared" si="248"/>
        <v>0</v>
      </c>
      <c r="AI300" s="117">
        <f t="shared" si="249"/>
        <v>0</v>
      </c>
      <c r="AJ300" s="117">
        <f t="shared" si="250"/>
        <v>0</v>
      </c>
    </row>
    <row r="301" spans="2:36" ht="16.5" customHeight="1">
      <c r="B301" s="11"/>
      <c r="C301" s="11"/>
      <c r="D301" s="4"/>
      <c r="E301" s="4" t="s">
        <v>184</v>
      </c>
      <c r="F301" s="5">
        <v>2</v>
      </c>
      <c r="G301" s="6">
        <v>1</v>
      </c>
      <c r="H301" s="7" t="s">
        <v>224</v>
      </c>
      <c r="I301" s="7"/>
      <c r="J301" s="4"/>
      <c r="K301" s="4" t="s">
        <v>210</v>
      </c>
      <c r="L301" s="5">
        <v>1</v>
      </c>
      <c r="M301" s="6">
        <v>1</v>
      </c>
      <c r="N301" s="7" t="str">
        <f t="shared" si="234"/>
        <v/>
      </c>
      <c r="O301" s="7"/>
      <c r="P301" s="36"/>
      <c r="Q301" s="35"/>
      <c r="T301" s="121" t="str">
        <f t="shared" si="235"/>
        <v/>
      </c>
      <c r="U301" s="118">
        <f t="shared" si="236"/>
        <v>0</v>
      </c>
      <c r="V301" s="117">
        <f t="shared" si="237"/>
        <v>0</v>
      </c>
      <c r="W301" s="117">
        <f t="shared" si="238"/>
        <v>1</v>
      </c>
      <c r="X301" s="117">
        <f t="shared" si="239"/>
        <v>1</v>
      </c>
      <c r="Y301" s="117">
        <f t="shared" si="240"/>
        <v>0</v>
      </c>
      <c r="Z301" s="117">
        <f t="shared" si="241"/>
        <v>0</v>
      </c>
      <c r="AA301" s="117">
        <f t="shared" si="242"/>
        <v>0</v>
      </c>
      <c r="AC301" s="121" t="str">
        <f t="shared" si="243"/>
        <v/>
      </c>
      <c r="AD301" s="118">
        <f t="shared" si="244"/>
        <v>0</v>
      </c>
      <c r="AE301" s="117">
        <f t="shared" si="245"/>
        <v>0</v>
      </c>
      <c r="AF301" s="117">
        <f t="shared" si="246"/>
        <v>0</v>
      </c>
      <c r="AG301" s="117">
        <f t="shared" si="247"/>
        <v>0</v>
      </c>
      <c r="AH301" s="117">
        <f t="shared" si="248"/>
        <v>3</v>
      </c>
      <c r="AI301" s="117">
        <f t="shared" si="249"/>
        <v>1</v>
      </c>
      <c r="AJ301" s="117">
        <f t="shared" si="250"/>
        <v>0</v>
      </c>
    </row>
    <row r="302" spans="2:36" ht="16.5" customHeight="1">
      <c r="B302" s="11"/>
      <c r="C302" s="11"/>
      <c r="D302" s="8"/>
      <c r="E302" s="9" t="s">
        <v>222</v>
      </c>
      <c r="F302" s="5">
        <v>3</v>
      </c>
      <c r="G302" s="6">
        <v>1</v>
      </c>
      <c r="H302" s="7" t="s">
        <v>224</v>
      </c>
      <c r="I302" s="10"/>
      <c r="J302" s="8"/>
      <c r="K302" s="9" t="s">
        <v>211</v>
      </c>
      <c r="L302" s="5">
        <v>1</v>
      </c>
      <c r="M302" s="6">
        <v>1</v>
      </c>
      <c r="N302" s="7" t="str">
        <f t="shared" si="234"/>
        <v/>
      </c>
      <c r="O302" s="10"/>
      <c r="P302" s="36"/>
      <c r="Q302" s="35"/>
      <c r="T302" s="121" t="str">
        <f t="shared" si="235"/>
        <v/>
      </c>
      <c r="U302" s="118">
        <f t="shared" si="236"/>
        <v>0</v>
      </c>
      <c r="V302" s="117">
        <f t="shared" si="237"/>
        <v>0</v>
      </c>
      <c r="W302" s="117">
        <f t="shared" si="238"/>
        <v>1</v>
      </c>
      <c r="X302" s="117">
        <f t="shared" si="239"/>
        <v>2</v>
      </c>
      <c r="Y302" s="117">
        <f t="shared" si="240"/>
        <v>0</v>
      </c>
      <c r="Z302" s="117">
        <f t="shared" si="241"/>
        <v>0</v>
      </c>
      <c r="AA302" s="117">
        <f t="shared" si="242"/>
        <v>0</v>
      </c>
      <c r="AC302" s="121" t="str">
        <f t="shared" si="243"/>
        <v/>
      </c>
      <c r="AD302" s="118">
        <f t="shared" si="244"/>
        <v>0</v>
      </c>
      <c r="AE302" s="117">
        <f t="shared" si="245"/>
        <v>0</v>
      </c>
      <c r="AF302" s="117">
        <f t="shared" si="246"/>
        <v>0</v>
      </c>
      <c r="AG302" s="117">
        <f t="shared" si="247"/>
        <v>0</v>
      </c>
      <c r="AH302" s="117">
        <f t="shared" si="248"/>
        <v>3</v>
      </c>
      <c r="AI302" s="117">
        <f t="shared" si="249"/>
        <v>1</v>
      </c>
      <c r="AJ302" s="117">
        <f t="shared" si="250"/>
        <v>0</v>
      </c>
    </row>
    <row r="303" spans="2:36" ht="16.5" customHeight="1">
      <c r="B303" s="11"/>
      <c r="C303" s="11"/>
      <c r="D303" s="4"/>
      <c r="E303" s="4" t="s">
        <v>185</v>
      </c>
      <c r="F303" s="5">
        <v>2</v>
      </c>
      <c r="G303" s="6">
        <v>1</v>
      </c>
      <c r="H303" s="7" t="s">
        <v>224</v>
      </c>
      <c r="I303" s="7"/>
      <c r="J303" s="4"/>
      <c r="K303" s="4" t="s">
        <v>212</v>
      </c>
      <c r="L303" s="5">
        <v>1</v>
      </c>
      <c r="M303" s="6">
        <v>1</v>
      </c>
      <c r="N303" s="7" t="str">
        <f t="shared" si="234"/>
        <v/>
      </c>
      <c r="O303" s="7"/>
      <c r="P303" s="36"/>
      <c r="Q303" s="35"/>
      <c r="T303" s="121" t="str">
        <f t="shared" si="235"/>
        <v/>
      </c>
      <c r="U303" s="118">
        <f t="shared" si="236"/>
        <v>0</v>
      </c>
      <c r="V303" s="117">
        <f t="shared" si="237"/>
        <v>0</v>
      </c>
      <c r="W303" s="117">
        <f t="shared" si="238"/>
        <v>1</v>
      </c>
      <c r="X303" s="117">
        <f t="shared" si="239"/>
        <v>1</v>
      </c>
      <c r="Y303" s="117">
        <f t="shared" si="240"/>
        <v>0</v>
      </c>
      <c r="Z303" s="117">
        <f t="shared" si="241"/>
        <v>0</v>
      </c>
      <c r="AA303" s="117">
        <f t="shared" si="242"/>
        <v>0</v>
      </c>
      <c r="AC303" s="121" t="str">
        <f t="shared" si="243"/>
        <v/>
      </c>
      <c r="AD303" s="118">
        <f t="shared" si="244"/>
        <v>0</v>
      </c>
      <c r="AE303" s="117">
        <f t="shared" si="245"/>
        <v>0</v>
      </c>
      <c r="AF303" s="117">
        <f t="shared" si="246"/>
        <v>0</v>
      </c>
      <c r="AG303" s="117">
        <f t="shared" si="247"/>
        <v>0</v>
      </c>
      <c r="AH303" s="117">
        <f t="shared" si="248"/>
        <v>3</v>
      </c>
      <c r="AI303" s="117">
        <f t="shared" si="249"/>
        <v>1</v>
      </c>
      <c r="AJ303" s="117">
        <f t="shared" si="250"/>
        <v>0</v>
      </c>
    </row>
    <row r="304" spans="2:36" ht="16.5" customHeight="1">
      <c r="B304" s="11"/>
      <c r="C304" s="11"/>
      <c r="D304" s="8"/>
      <c r="E304" s="9" t="s">
        <v>186</v>
      </c>
      <c r="F304" s="5">
        <v>3</v>
      </c>
      <c r="G304" s="6">
        <v>1</v>
      </c>
      <c r="H304" s="7" t="s">
        <v>224</v>
      </c>
      <c r="I304" s="10"/>
      <c r="J304" s="8"/>
      <c r="K304" s="9" t="s">
        <v>213</v>
      </c>
      <c r="L304" s="5">
        <v>1</v>
      </c>
      <c r="M304" s="6">
        <v>1</v>
      </c>
      <c r="N304" s="7" t="str">
        <f t="shared" si="234"/>
        <v/>
      </c>
      <c r="O304" s="10"/>
      <c r="P304" s="36"/>
      <c r="Q304" s="35"/>
      <c r="T304" s="121" t="str">
        <f t="shared" si="235"/>
        <v/>
      </c>
      <c r="U304" s="118">
        <f t="shared" si="236"/>
        <v>0</v>
      </c>
      <c r="V304" s="117">
        <f t="shared" si="237"/>
        <v>0</v>
      </c>
      <c r="W304" s="117">
        <f t="shared" si="238"/>
        <v>1</v>
      </c>
      <c r="X304" s="117">
        <f t="shared" si="239"/>
        <v>2</v>
      </c>
      <c r="Y304" s="117">
        <f t="shared" si="240"/>
        <v>0</v>
      </c>
      <c r="Z304" s="117">
        <f t="shared" si="241"/>
        <v>0</v>
      </c>
      <c r="AA304" s="117">
        <f t="shared" si="242"/>
        <v>0</v>
      </c>
      <c r="AC304" s="121" t="str">
        <f t="shared" si="243"/>
        <v/>
      </c>
      <c r="AD304" s="118">
        <f t="shared" si="244"/>
        <v>0</v>
      </c>
      <c r="AE304" s="117">
        <f t="shared" si="245"/>
        <v>0</v>
      </c>
      <c r="AF304" s="117">
        <f t="shared" si="246"/>
        <v>0</v>
      </c>
      <c r="AG304" s="117">
        <f t="shared" si="247"/>
        <v>0</v>
      </c>
      <c r="AH304" s="117">
        <f t="shared" si="248"/>
        <v>3</v>
      </c>
      <c r="AI304" s="117">
        <f t="shared" si="249"/>
        <v>1</v>
      </c>
      <c r="AJ304" s="117">
        <f t="shared" si="250"/>
        <v>0</v>
      </c>
    </row>
    <row r="305" spans="2:36" ht="16.5" customHeight="1">
      <c r="B305" s="11"/>
      <c r="C305" s="11"/>
      <c r="D305" s="4"/>
      <c r="E305" s="4" t="s">
        <v>187</v>
      </c>
      <c r="F305" s="5">
        <v>3</v>
      </c>
      <c r="G305" s="6">
        <v>1</v>
      </c>
      <c r="H305" s="7" t="s">
        <v>224</v>
      </c>
      <c r="I305" s="7"/>
      <c r="J305" s="4"/>
      <c r="K305" s="4" t="s">
        <v>214</v>
      </c>
      <c r="L305" s="5">
        <v>2</v>
      </c>
      <c r="M305" s="6">
        <v>2</v>
      </c>
      <c r="N305" s="7" t="str">
        <f t="shared" si="234"/>
        <v/>
      </c>
      <c r="O305" s="7"/>
      <c r="P305" s="36"/>
      <c r="Q305" s="35"/>
      <c r="T305" s="121" t="str">
        <f t="shared" si="235"/>
        <v/>
      </c>
      <c r="U305" s="118">
        <f t="shared" si="236"/>
        <v>0</v>
      </c>
      <c r="V305" s="117">
        <f t="shared" si="237"/>
        <v>0</v>
      </c>
      <c r="W305" s="117">
        <f t="shared" si="238"/>
        <v>1</v>
      </c>
      <c r="X305" s="117">
        <f t="shared" si="239"/>
        <v>2</v>
      </c>
      <c r="Y305" s="117">
        <f t="shared" si="240"/>
        <v>0</v>
      </c>
      <c r="Z305" s="117">
        <f t="shared" si="241"/>
        <v>0</v>
      </c>
      <c r="AA305" s="117">
        <f t="shared" si="242"/>
        <v>0</v>
      </c>
      <c r="AC305" s="121" t="str">
        <f t="shared" si="243"/>
        <v/>
      </c>
      <c r="AD305" s="118">
        <f t="shared" si="244"/>
        <v>0</v>
      </c>
      <c r="AE305" s="117">
        <f t="shared" si="245"/>
        <v>0</v>
      </c>
      <c r="AF305" s="117">
        <f t="shared" si="246"/>
        <v>0</v>
      </c>
      <c r="AG305" s="117">
        <f t="shared" si="247"/>
        <v>0</v>
      </c>
      <c r="AH305" s="117">
        <f t="shared" si="248"/>
        <v>3</v>
      </c>
      <c r="AI305" s="117">
        <f t="shared" si="249"/>
        <v>1</v>
      </c>
      <c r="AJ305" s="117">
        <f t="shared" si="250"/>
        <v>0</v>
      </c>
    </row>
    <row r="306" spans="2:36" ht="16.5" customHeight="1">
      <c r="B306" s="15"/>
      <c r="C306" s="15" t="s">
        <v>10</v>
      </c>
      <c r="D306" s="8"/>
      <c r="E306" s="9" t="s">
        <v>188</v>
      </c>
      <c r="F306" s="5">
        <v>2</v>
      </c>
      <c r="G306" s="6">
        <v>1</v>
      </c>
      <c r="H306" s="7" t="s">
        <v>224</v>
      </c>
      <c r="I306" s="10"/>
      <c r="J306" s="8"/>
      <c r="K306" s="9" t="s">
        <v>215</v>
      </c>
      <c r="L306" s="5">
        <v>2</v>
      </c>
      <c r="M306" s="6">
        <v>1</v>
      </c>
      <c r="N306" s="7" t="str">
        <f t="shared" si="234"/>
        <v/>
      </c>
      <c r="O306" s="10"/>
      <c r="P306" s="39" t="s">
        <v>26</v>
      </c>
      <c r="Q306" s="38"/>
      <c r="T306" s="121" t="str">
        <f t="shared" si="235"/>
        <v/>
      </c>
      <c r="U306" s="118">
        <f t="shared" si="236"/>
        <v>0</v>
      </c>
      <c r="V306" s="117">
        <f t="shared" si="237"/>
        <v>0</v>
      </c>
      <c r="W306" s="117">
        <f t="shared" si="238"/>
        <v>1</v>
      </c>
      <c r="X306" s="117">
        <f t="shared" si="239"/>
        <v>1</v>
      </c>
      <c r="Y306" s="117">
        <f t="shared" si="240"/>
        <v>0</v>
      </c>
      <c r="Z306" s="117">
        <f t="shared" si="241"/>
        <v>0</v>
      </c>
      <c r="AA306" s="117">
        <f t="shared" si="242"/>
        <v>0</v>
      </c>
      <c r="AC306" s="121" t="str">
        <f t="shared" si="243"/>
        <v/>
      </c>
      <c r="AD306" s="118">
        <f t="shared" si="244"/>
        <v>0</v>
      </c>
      <c r="AE306" s="117">
        <f t="shared" si="245"/>
        <v>0</v>
      </c>
      <c r="AF306" s="117">
        <f t="shared" si="246"/>
        <v>1</v>
      </c>
      <c r="AG306" s="117">
        <f t="shared" si="247"/>
        <v>1</v>
      </c>
      <c r="AH306" s="117">
        <f t="shared" si="248"/>
        <v>0</v>
      </c>
      <c r="AI306" s="117">
        <f t="shared" si="249"/>
        <v>0</v>
      </c>
      <c r="AJ306" s="117">
        <f t="shared" si="250"/>
        <v>0</v>
      </c>
    </row>
    <row r="307" spans="2:36" ht="16.5" customHeight="1">
      <c r="B307" s="15"/>
      <c r="C307" s="15"/>
      <c r="D307" s="4"/>
      <c r="E307" s="4" t="s">
        <v>189</v>
      </c>
      <c r="F307" s="5">
        <v>3</v>
      </c>
      <c r="G307" s="6">
        <v>1</v>
      </c>
      <c r="H307" s="7" t="s">
        <v>224</v>
      </c>
      <c r="I307" s="7"/>
      <c r="J307" s="4"/>
      <c r="K307" s="4" t="s">
        <v>216</v>
      </c>
      <c r="L307" s="5">
        <v>2</v>
      </c>
      <c r="M307" s="6">
        <v>1</v>
      </c>
      <c r="N307" s="7" t="str">
        <f t="shared" si="234"/>
        <v/>
      </c>
      <c r="O307" s="7"/>
      <c r="P307" s="39"/>
      <c r="Q307" s="38"/>
      <c r="T307" s="121" t="str">
        <f t="shared" si="235"/>
        <v/>
      </c>
      <c r="U307" s="118">
        <f t="shared" si="236"/>
        <v>0</v>
      </c>
      <c r="V307" s="117">
        <f t="shared" si="237"/>
        <v>0</v>
      </c>
      <c r="W307" s="117">
        <f t="shared" si="238"/>
        <v>1</v>
      </c>
      <c r="X307" s="117">
        <f t="shared" si="239"/>
        <v>2</v>
      </c>
      <c r="Y307" s="117">
        <f t="shared" si="240"/>
        <v>0</v>
      </c>
      <c r="Z307" s="117">
        <f t="shared" si="241"/>
        <v>0</v>
      </c>
      <c r="AA307" s="117">
        <f t="shared" si="242"/>
        <v>0</v>
      </c>
      <c r="AC307" s="121" t="str">
        <f t="shared" si="243"/>
        <v/>
      </c>
      <c r="AD307" s="118">
        <f t="shared" si="244"/>
        <v>0</v>
      </c>
      <c r="AE307" s="117">
        <f t="shared" si="245"/>
        <v>0</v>
      </c>
      <c r="AF307" s="117">
        <f t="shared" si="246"/>
        <v>1</v>
      </c>
      <c r="AG307" s="117">
        <f t="shared" si="247"/>
        <v>1</v>
      </c>
      <c r="AH307" s="117">
        <f t="shared" si="248"/>
        <v>0</v>
      </c>
      <c r="AI307" s="117">
        <f t="shared" si="249"/>
        <v>0</v>
      </c>
      <c r="AJ307" s="117">
        <f t="shared" si="250"/>
        <v>0</v>
      </c>
    </row>
    <row r="308" spans="2:36" ht="16.5" customHeight="1">
      <c r="B308" s="15"/>
      <c r="C308" s="15"/>
      <c r="D308" s="8"/>
      <c r="E308" s="9" t="s">
        <v>190</v>
      </c>
      <c r="F308" s="5">
        <v>3</v>
      </c>
      <c r="G308" s="6">
        <v>2</v>
      </c>
      <c r="H308" s="7" t="s">
        <v>224</v>
      </c>
      <c r="I308" s="10"/>
      <c r="J308" s="8"/>
      <c r="K308" s="9" t="s">
        <v>217</v>
      </c>
      <c r="L308" s="5">
        <v>1</v>
      </c>
      <c r="M308" s="6">
        <v>1</v>
      </c>
      <c r="N308" s="7" t="str">
        <f t="shared" si="234"/>
        <v/>
      </c>
      <c r="O308" s="10"/>
      <c r="P308" s="39"/>
      <c r="Q308" s="38"/>
      <c r="T308" s="121" t="str">
        <f t="shared" si="235"/>
        <v/>
      </c>
      <c r="U308" s="118">
        <f t="shared" si="236"/>
        <v>0</v>
      </c>
      <c r="V308" s="117">
        <f t="shared" si="237"/>
        <v>0</v>
      </c>
      <c r="W308" s="117">
        <f t="shared" si="238"/>
        <v>1</v>
      </c>
      <c r="X308" s="117">
        <f t="shared" si="239"/>
        <v>1</v>
      </c>
      <c r="Y308" s="117">
        <f t="shared" si="240"/>
        <v>0</v>
      </c>
      <c r="Z308" s="117">
        <f t="shared" si="241"/>
        <v>0</v>
      </c>
      <c r="AA308" s="117">
        <f t="shared" si="242"/>
        <v>0</v>
      </c>
      <c r="AC308" s="121" t="str">
        <f t="shared" si="243"/>
        <v/>
      </c>
      <c r="AD308" s="118">
        <f t="shared" si="244"/>
        <v>0</v>
      </c>
      <c r="AE308" s="117">
        <f t="shared" si="245"/>
        <v>0</v>
      </c>
      <c r="AF308" s="117">
        <f t="shared" si="246"/>
        <v>0</v>
      </c>
      <c r="AG308" s="117">
        <f t="shared" si="247"/>
        <v>0</v>
      </c>
      <c r="AH308" s="117">
        <f t="shared" si="248"/>
        <v>3</v>
      </c>
      <c r="AI308" s="117">
        <f t="shared" si="249"/>
        <v>1</v>
      </c>
      <c r="AJ308" s="117">
        <f t="shared" si="250"/>
        <v>0</v>
      </c>
    </row>
    <row r="309" spans="2:36" ht="16.5" customHeight="1">
      <c r="B309" s="15"/>
      <c r="C309" s="15"/>
      <c r="D309" s="4"/>
      <c r="E309" s="4" t="s">
        <v>191</v>
      </c>
      <c r="F309" s="5">
        <v>1</v>
      </c>
      <c r="G309" s="6">
        <v>1</v>
      </c>
      <c r="H309" s="7" t="s">
        <v>224</v>
      </c>
      <c r="I309" s="7"/>
      <c r="J309" s="4"/>
      <c r="K309" s="4" t="s">
        <v>218</v>
      </c>
      <c r="L309" s="5">
        <v>2</v>
      </c>
      <c r="M309" s="6">
        <v>1</v>
      </c>
      <c r="N309" s="7" t="str">
        <f t="shared" si="234"/>
        <v/>
      </c>
      <c r="O309" s="7"/>
      <c r="P309" s="39"/>
      <c r="Q309" s="38"/>
      <c r="T309" s="121" t="str">
        <f t="shared" si="235"/>
        <v/>
      </c>
      <c r="U309" s="118">
        <f t="shared" si="236"/>
        <v>0</v>
      </c>
      <c r="V309" s="117">
        <f t="shared" si="237"/>
        <v>0</v>
      </c>
      <c r="W309" s="117">
        <f t="shared" si="238"/>
        <v>0</v>
      </c>
      <c r="X309" s="117">
        <f t="shared" si="239"/>
        <v>0</v>
      </c>
      <c r="Y309" s="117">
        <f t="shared" si="240"/>
        <v>3</v>
      </c>
      <c r="Z309" s="117">
        <f t="shared" si="241"/>
        <v>1</v>
      </c>
      <c r="AA309" s="117">
        <f t="shared" si="242"/>
        <v>0</v>
      </c>
      <c r="AC309" s="121" t="str">
        <f t="shared" si="243"/>
        <v/>
      </c>
      <c r="AD309" s="118">
        <f t="shared" si="244"/>
        <v>0</v>
      </c>
      <c r="AE309" s="117">
        <f t="shared" si="245"/>
        <v>0</v>
      </c>
      <c r="AF309" s="117">
        <f t="shared" si="246"/>
        <v>1</v>
      </c>
      <c r="AG309" s="117">
        <f t="shared" si="247"/>
        <v>1</v>
      </c>
      <c r="AH309" s="117">
        <f t="shared" si="248"/>
        <v>0</v>
      </c>
      <c r="AI309" s="117">
        <f t="shared" si="249"/>
        <v>0</v>
      </c>
      <c r="AJ309" s="117">
        <f t="shared" si="250"/>
        <v>0</v>
      </c>
    </row>
    <row r="310" spans="2:36" ht="16.5" customHeight="1">
      <c r="B310" s="15"/>
      <c r="C310" s="15"/>
      <c r="D310" s="8"/>
      <c r="E310" s="9" t="s">
        <v>192</v>
      </c>
      <c r="F310" s="5">
        <v>2</v>
      </c>
      <c r="G310" s="6">
        <v>1</v>
      </c>
      <c r="H310" s="7" t="s">
        <v>224</v>
      </c>
      <c r="I310" s="10"/>
      <c r="J310" s="8"/>
      <c r="K310" s="9" t="s">
        <v>219</v>
      </c>
      <c r="L310" s="5">
        <v>1</v>
      </c>
      <c r="M310" s="6">
        <v>1</v>
      </c>
      <c r="N310" s="7" t="str">
        <f t="shared" si="234"/>
        <v/>
      </c>
      <c r="O310" s="10"/>
      <c r="P310" s="39"/>
      <c r="Q310" s="38"/>
      <c r="T310" s="121" t="str">
        <f t="shared" si="235"/>
        <v/>
      </c>
      <c r="U310" s="118">
        <f t="shared" si="236"/>
        <v>0</v>
      </c>
      <c r="V310" s="117">
        <f t="shared" si="237"/>
        <v>0</v>
      </c>
      <c r="W310" s="117">
        <f t="shared" si="238"/>
        <v>1</v>
      </c>
      <c r="X310" s="117">
        <f t="shared" si="239"/>
        <v>1</v>
      </c>
      <c r="Y310" s="117">
        <f t="shared" si="240"/>
        <v>0</v>
      </c>
      <c r="Z310" s="117">
        <f t="shared" si="241"/>
        <v>0</v>
      </c>
      <c r="AA310" s="117">
        <f t="shared" si="242"/>
        <v>0</v>
      </c>
      <c r="AC310" s="121" t="str">
        <f t="shared" si="243"/>
        <v/>
      </c>
      <c r="AD310" s="118">
        <f t="shared" si="244"/>
        <v>0</v>
      </c>
      <c r="AE310" s="117">
        <f t="shared" si="245"/>
        <v>0</v>
      </c>
      <c r="AF310" s="117">
        <f t="shared" si="246"/>
        <v>0</v>
      </c>
      <c r="AG310" s="117">
        <f t="shared" si="247"/>
        <v>0</v>
      </c>
      <c r="AH310" s="117">
        <f t="shared" si="248"/>
        <v>3</v>
      </c>
      <c r="AI310" s="117">
        <f t="shared" si="249"/>
        <v>1</v>
      </c>
      <c r="AJ310" s="117">
        <f t="shared" si="250"/>
        <v>0</v>
      </c>
    </row>
    <row r="311" spans="2:36" ht="16.5" customHeight="1">
      <c r="B311" s="15"/>
      <c r="C311" s="15"/>
      <c r="D311" s="4"/>
      <c r="E311" s="4" t="s">
        <v>193</v>
      </c>
      <c r="F311" s="5">
        <v>1</v>
      </c>
      <c r="G311" s="6">
        <v>1</v>
      </c>
      <c r="H311" s="7" t="s">
        <v>224</v>
      </c>
      <c r="I311" s="7"/>
      <c r="J311" s="4"/>
      <c r="K311" s="4" t="s">
        <v>220</v>
      </c>
      <c r="L311" s="5">
        <v>3</v>
      </c>
      <c r="M311" s="6">
        <v>1</v>
      </c>
      <c r="N311" s="7" t="str">
        <f t="shared" si="234"/>
        <v/>
      </c>
      <c r="O311" s="7"/>
      <c r="P311" s="39"/>
      <c r="Q311" s="38"/>
      <c r="T311" s="121" t="str">
        <f t="shared" si="235"/>
        <v/>
      </c>
      <c r="U311" s="118">
        <f t="shared" si="236"/>
        <v>0</v>
      </c>
      <c r="V311" s="117">
        <f t="shared" si="237"/>
        <v>0</v>
      </c>
      <c r="W311" s="117">
        <f t="shared" si="238"/>
        <v>0</v>
      </c>
      <c r="X311" s="117">
        <f t="shared" si="239"/>
        <v>0</v>
      </c>
      <c r="Y311" s="117">
        <f t="shared" si="240"/>
        <v>3</v>
      </c>
      <c r="Z311" s="117">
        <f t="shared" si="241"/>
        <v>1</v>
      </c>
      <c r="AA311" s="117">
        <f t="shared" si="242"/>
        <v>0</v>
      </c>
      <c r="AC311" s="121" t="str">
        <f t="shared" si="243"/>
        <v/>
      </c>
      <c r="AD311" s="118">
        <f t="shared" si="244"/>
        <v>0</v>
      </c>
      <c r="AE311" s="117">
        <f t="shared" si="245"/>
        <v>0</v>
      </c>
      <c r="AF311" s="117">
        <f t="shared" si="246"/>
        <v>1</v>
      </c>
      <c r="AG311" s="117">
        <f t="shared" si="247"/>
        <v>2</v>
      </c>
      <c r="AH311" s="117">
        <f t="shared" si="248"/>
        <v>0</v>
      </c>
      <c r="AI311" s="117">
        <f t="shared" si="249"/>
        <v>0</v>
      </c>
      <c r="AJ311" s="117">
        <f t="shared" si="250"/>
        <v>0</v>
      </c>
    </row>
    <row r="312" spans="2:36" ht="16.5" customHeight="1">
      <c r="B312" s="15"/>
      <c r="C312" s="15"/>
      <c r="D312" s="8"/>
      <c r="E312" s="9" t="s">
        <v>194</v>
      </c>
      <c r="F312" s="5">
        <v>2</v>
      </c>
      <c r="G312" s="6">
        <v>1</v>
      </c>
      <c r="H312" s="7" t="s">
        <v>224</v>
      </c>
      <c r="I312" s="10"/>
      <c r="J312" s="8"/>
      <c r="K312" s="9" t="s">
        <v>221</v>
      </c>
      <c r="L312" s="5">
        <v>1</v>
      </c>
      <c r="M312" s="6">
        <v>0</v>
      </c>
      <c r="N312" s="7" t="str">
        <f t="shared" si="234"/>
        <v/>
      </c>
      <c r="O312" s="10"/>
      <c r="P312" s="39"/>
      <c r="Q312" s="38"/>
      <c r="T312" s="121" t="str">
        <f t="shared" si="235"/>
        <v/>
      </c>
      <c r="U312" s="118">
        <f t="shared" si="236"/>
        <v>0</v>
      </c>
      <c r="V312" s="117">
        <f t="shared" si="237"/>
        <v>0</v>
      </c>
      <c r="W312" s="117">
        <f t="shared" si="238"/>
        <v>1</v>
      </c>
      <c r="X312" s="117">
        <f t="shared" si="239"/>
        <v>1</v>
      </c>
      <c r="Y312" s="117">
        <f t="shared" si="240"/>
        <v>0</v>
      </c>
      <c r="Z312" s="117">
        <f t="shared" si="241"/>
        <v>0</v>
      </c>
      <c r="AA312" s="117">
        <f t="shared" si="242"/>
        <v>0</v>
      </c>
      <c r="AC312" s="121" t="str">
        <f t="shared" si="243"/>
        <v/>
      </c>
      <c r="AD312" s="118">
        <f t="shared" si="244"/>
        <v>0</v>
      </c>
      <c r="AE312" s="117">
        <f t="shared" si="245"/>
        <v>0</v>
      </c>
      <c r="AF312" s="117">
        <f t="shared" si="246"/>
        <v>1</v>
      </c>
      <c r="AG312" s="117">
        <f t="shared" si="247"/>
        <v>1</v>
      </c>
      <c r="AH312" s="117">
        <f t="shared" si="248"/>
        <v>0</v>
      </c>
      <c r="AI312" s="117">
        <f t="shared" si="249"/>
        <v>0</v>
      </c>
      <c r="AJ312" s="117">
        <f t="shared" si="250"/>
        <v>0</v>
      </c>
    </row>
    <row r="313" spans="2:36" ht="16.5" customHeight="1">
      <c r="K313" s="3"/>
    </row>
    <row r="314" spans="2:36" ht="23.25">
      <c r="B314" s="33" t="s">
        <v>126</v>
      </c>
      <c r="C314" s="144"/>
      <c r="D314" s="52"/>
      <c r="E314" s="55" t="s">
        <v>140</v>
      </c>
      <c r="F314" s="56"/>
      <c r="G314" s="57"/>
      <c r="H314" s="57"/>
      <c r="I314" s="56"/>
      <c r="J314" s="82"/>
      <c r="K314" s="82" t="s">
        <v>72</v>
      </c>
      <c r="M314" s="91"/>
      <c r="N314" s="92"/>
      <c r="O314" s="92"/>
      <c r="P314" s="93"/>
      <c r="Q314" s="92"/>
      <c r="R314" s="92"/>
    </row>
    <row r="315" spans="2:36" ht="15">
      <c r="C315" s="1"/>
      <c r="D315" s="1"/>
      <c r="E315" s="1"/>
      <c r="H315" s="1"/>
      <c r="I315" s="1"/>
      <c r="J315" s="1"/>
      <c r="P315" s="1"/>
    </row>
    <row r="316" spans="2:36" ht="16.5" customHeight="1">
      <c r="B316" s="12"/>
      <c r="C316" s="12" t="s">
        <v>7</v>
      </c>
      <c r="D316" s="4"/>
      <c r="E316" s="4" t="s">
        <v>32</v>
      </c>
      <c r="F316" s="5">
        <v>2</v>
      </c>
      <c r="G316" s="6">
        <v>1</v>
      </c>
      <c r="H316" s="7" t="s">
        <v>224</v>
      </c>
      <c r="I316" s="7"/>
      <c r="J316" s="4"/>
      <c r="K316" s="4" t="s">
        <v>195</v>
      </c>
      <c r="L316" s="5">
        <v>1</v>
      </c>
      <c r="M316" s="6">
        <v>1</v>
      </c>
      <c r="N316" s="7" t="str">
        <f>AC316</f>
        <v/>
      </c>
      <c r="O316" s="7"/>
      <c r="P316" s="24" t="s">
        <v>13</v>
      </c>
      <c r="Q316" s="13"/>
      <c r="T316" s="121" t="str">
        <f>IF($G$314="","",SUM(Y316:AA316))</f>
        <v/>
      </c>
      <c r="U316" s="118">
        <f t="shared" ref="U316" si="251">IF(V316&gt;0,1,IF(V316=0,0,2))</f>
        <v>0</v>
      </c>
      <c r="V316" s="117">
        <f>$G$314-$H$314</f>
        <v>0</v>
      </c>
      <c r="W316" s="117">
        <f t="shared" ref="W316" si="252">IF(X316&gt;0,1,IF(X316=0,0,2))</f>
        <v>1</v>
      </c>
      <c r="X316" s="117">
        <f>F316-G316</f>
        <v>1</v>
      </c>
      <c r="Y316" s="117">
        <f t="shared" ref="Y316" si="253">IF(U316=W316,3,0)</f>
        <v>0</v>
      </c>
      <c r="Z316" s="117">
        <f t="shared" ref="Z316" si="254">IF(V316=X316,1,0)</f>
        <v>0</v>
      </c>
      <c r="AA316" s="117">
        <f>IF(Z316=1,IF($G$314=F316,1,0),0)</f>
        <v>0</v>
      </c>
      <c r="AC316" s="121" t="str">
        <f>IF($G$314="","",SUM(AH316:AJ316))</f>
        <v/>
      </c>
      <c r="AD316" s="118">
        <f t="shared" ref="AD316" si="255">IF(AE316&gt;0,1,IF(AE316=0,0,2))</f>
        <v>0</v>
      </c>
      <c r="AE316" s="117">
        <f>$G$314-$H$314</f>
        <v>0</v>
      </c>
      <c r="AF316" s="117">
        <f t="shared" ref="AF316" si="256">IF(AG316&gt;0,1,IF(AG316=0,0,2))</f>
        <v>0</v>
      </c>
      <c r="AG316" s="117">
        <f>L316-M316</f>
        <v>0</v>
      </c>
      <c r="AH316" s="117">
        <f t="shared" ref="AH316" si="257">IF(AD316=AF316,3,0)</f>
        <v>3</v>
      </c>
      <c r="AI316" s="117">
        <f t="shared" ref="AI316" si="258">IF(AE316=AG316,1,0)</f>
        <v>1</v>
      </c>
      <c r="AJ316" s="117">
        <f>IF(AI316=1,IF($G$314=L316,1,0),0)</f>
        <v>0</v>
      </c>
    </row>
    <row r="317" spans="2:36" ht="16.5" customHeight="1">
      <c r="B317" s="12"/>
      <c r="C317" s="12"/>
      <c r="D317" s="8"/>
      <c r="E317" s="9" t="s">
        <v>170</v>
      </c>
      <c r="F317" s="5">
        <v>2</v>
      </c>
      <c r="G317" s="6">
        <v>2</v>
      </c>
      <c r="H317" s="7" t="s">
        <v>224</v>
      </c>
      <c r="I317" s="10"/>
      <c r="J317" s="8"/>
      <c r="K317" s="9" t="s">
        <v>196</v>
      </c>
      <c r="L317" s="5">
        <v>1</v>
      </c>
      <c r="M317" s="6">
        <v>0</v>
      </c>
      <c r="N317" s="7" t="str">
        <f t="shared" ref="N317:N343" si="259">AC317</f>
        <v/>
      </c>
      <c r="O317" s="10"/>
      <c r="P317" s="24"/>
      <c r="Q317" s="13"/>
      <c r="T317" s="121" t="str">
        <f t="shared" ref="T317:T343" si="260">IF($G$314="","",SUM(Y317:AA317))</f>
        <v/>
      </c>
      <c r="U317" s="118">
        <f t="shared" ref="U317:U343" si="261">IF(V317&gt;0,1,IF(V317=0,0,2))</f>
        <v>0</v>
      </c>
      <c r="V317" s="117">
        <f t="shared" ref="V317:V343" si="262">$G$314-$H$314</f>
        <v>0</v>
      </c>
      <c r="W317" s="117">
        <f t="shared" ref="W317:W343" si="263">IF(X317&gt;0,1,IF(X317=0,0,2))</f>
        <v>0</v>
      </c>
      <c r="X317" s="117">
        <f t="shared" ref="X317:X343" si="264">F317-G317</f>
        <v>0</v>
      </c>
      <c r="Y317" s="117">
        <f t="shared" ref="Y317:Y343" si="265">IF(U317=W317,3,0)</f>
        <v>3</v>
      </c>
      <c r="Z317" s="117">
        <f t="shared" ref="Z317:Z343" si="266">IF(V317=X317,1,0)</f>
        <v>1</v>
      </c>
      <c r="AA317" s="117">
        <f t="shared" ref="AA317:AA343" si="267">IF(Z317=1,IF($G$314=F317,1,0),0)</f>
        <v>0</v>
      </c>
      <c r="AC317" s="121" t="str">
        <f t="shared" ref="AC317:AC343" si="268">IF($G$314="","",SUM(AH317:AJ317))</f>
        <v/>
      </c>
      <c r="AD317" s="118">
        <f t="shared" ref="AD317:AD343" si="269">IF(AE317&gt;0,1,IF(AE317=0,0,2))</f>
        <v>0</v>
      </c>
      <c r="AE317" s="117">
        <f t="shared" ref="AE317:AE343" si="270">$G$314-$H$314</f>
        <v>0</v>
      </c>
      <c r="AF317" s="117">
        <f t="shared" ref="AF317:AF343" si="271">IF(AG317&gt;0,1,IF(AG317=0,0,2))</f>
        <v>1</v>
      </c>
      <c r="AG317" s="117">
        <f t="shared" ref="AG317:AG343" si="272">L317-M317</f>
        <v>1</v>
      </c>
      <c r="AH317" s="117">
        <f t="shared" ref="AH317:AH343" si="273">IF(AD317=AF317,3,0)</f>
        <v>0</v>
      </c>
      <c r="AI317" s="117">
        <f t="shared" ref="AI317:AI343" si="274">IF(AE317=AG317,1,0)</f>
        <v>0</v>
      </c>
      <c r="AJ317" s="117">
        <f t="shared" ref="AJ317:AJ343" si="275">IF(AI317=1,IF($G$314=L317,1,0),0)</f>
        <v>0</v>
      </c>
    </row>
    <row r="318" spans="2:36" ht="16.5" customHeight="1">
      <c r="B318" s="12"/>
      <c r="C318" s="12"/>
      <c r="D318" s="4"/>
      <c r="E318" s="4" t="s">
        <v>171</v>
      </c>
      <c r="F318" s="5">
        <v>1</v>
      </c>
      <c r="G318" s="6">
        <v>1</v>
      </c>
      <c r="H318" s="7" t="s">
        <v>224</v>
      </c>
      <c r="I318" s="7"/>
      <c r="J318" s="4"/>
      <c r="K318" s="4" t="s">
        <v>197</v>
      </c>
      <c r="L318" s="5">
        <v>2</v>
      </c>
      <c r="M318" s="6">
        <v>2</v>
      </c>
      <c r="N318" s="7" t="str">
        <f t="shared" si="259"/>
        <v/>
      </c>
      <c r="O318" s="7"/>
      <c r="P318" s="24"/>
      <c r="Q318" s="13"/>
      <c r="T318" s="121" t="str">
        <f t="shared" si="260"/>
        <v/>
      </c>
      <c r="U318" s="118">
        <f t="shared" si="261"/>
        <v>0</v>
      </c>
      <c r="V318" s="117">
        <f t="shared" si="262"/>
        <v>0</v>
      </c>
      <c r="W318" s="117">
        <f t="shared" si="263"/>
        <v>0</v>
      </c>
      <c r="X318" s="117">
        <f t="shared" si="264"/>
        <v>0</v>
      </c>
      <c r="Y318" s="117">
        <f t="shared" si="265"/>
        <v>3</v>
      </c>
      <c r="Z318" s="117">
        <f t="shared" si="266"/>
        <v>1</v>
      </c>
      <c r="AA318" s="117">
        <f t="shared" si="267"/>
        <v>0</v>
      </c>
      <c r="AC318" s="121" t="str">
        <f t="shared" si="268"/>
        <v/>
      </c>
      <c r="AD318" s="118">
        <f t="shared" si="269"/>
        <v>0</v>
      </c>
      <c r="AE318" s="117">
        <f t="shared" si="270"/>
        <v>0</v>
      </c>
      <c r="AF318" s="117">
        <f t="shared" si="271"/>
        <v>0</v>
      </c>
      <c r="AG318" s="117">
        <f t="shared" si="272"/>
        <v>0</v>
      </c>
      <c r="AH318" s="117">
        <f t="shared" si="273"/>
        <v>3</v>
      </c>
      <c r="AI318" s="117">
        <f t="shared" si="274"/>
        <v>1</v>
      </c>
      <c r="AJ318" s="117">
        <f t="shared" si="275"/>
        <v>0</v>
      </c>
    </row>
    <row r="319" spans="2:36" ht="16.5" customHeight="1">
      <c r="B319" s="12"/>
      <c r="C319" s="12"/>
      <c r="D319" s="8"/>
      <c r="E319" s="9" t="s">
        <v>172</v>
      </c>
      <c r="F319" s="5">
        <v>0</v>
      </c>
      <c r="G319" s="6">
        <v>1</v>
      </c>
      <c r="H319" s="7" t="s">
        <v>224</v>
      </c>
      <c r="I319" s="10"/>
      <c r="J319" s="8"/>
      <c r="K319" s="9" t="s">
        <v>198</v>
      </c>
      <c r="L319" s="5">
        <v>0</v>
      </c>
      <c r="M319" s="6">
        <v>2</v>
      </c>
      <c r="N319" s="7" t="str">
        <f t="shared" si="259"/>
        <v/>
      </c>
      <c r="O319" s="10"/>
      <c r="P319" s="24"/>
      <c r="Q319" s="13"/>
      <c r="T319" s="121" t="str">
        <f t="shared" si="260"/>
        <v/>
      </c>
      <c r="U319" s="118">
        <f t="shared" si="261"/>
        <v>0</v>
      </c>
      <c r="V319" s="117">
        <f t="shared" si="262"/>
        <v>0</v>
      </c>
      <c r="W319" s="117">
        <f t="shared" si="263"/>
        <v>2</v>
      </c>
      <c r="X319" s="117">
        <f t="shared" si="264"/>
        <v>-1</v>
      </c>
      <c r="Y319" s="117">
        <f t="shared" si="265"/>
        <v>0</v>
      </c>
      <c r="Z319" s="117">
        <f t="shared" si="266"/>
        <v>0</v>
      </c>
      <c r="AA319" s="117">
        <f t="shared" si="267"/>
        <v>0</v>
      </c>
      <c r="AC319" s="121" t="str">
        <f t="shared" si="268"/>
        <v/>
      </c>
      <c r="AD319" s="118">
        <f t="shared" si="269"/>
        <v>0</v>
      </c>
      <c r="AE319" s="117">
        <f t="shared" si="270"/>
        <v>0</v>
      </c>
      <c r="AF319" s="117">
        <f t="shared" si="271"/>
        <v>2</v>
      </c>
      <c r="AG319" s="117">
        <f t="shared" si="272"/>
        <v>-2</v>
      </c>
      <c r="AH319" s="117">
        <f t="shared" si="273"/>
        <v>0</v>
      </c>
      <c r="AI319" s="117">
        <f t="shared" si="274"/>
        <v>0</v>
      </c>
      <c r="AJ319" s="117">
        <f t="shared" si="275"/>
        <v>0</v>
      </c>
    </row>
    <row r="320" spans="2:36" ht="16.5" customHeight="1">
      <c r="B320" s="12"/>
      <c r="C320" s="12"/>
      <c r="D320" s="4"/>
      <c r="E320" s="4" t="s">
        <v>173</v>
      </c>
      <c r="F320" s="5">
        <v>2</v>
      </c>
      <c r="G320" s="6">
        <v>2</v>
      </c>
      <c r="H320" s="7" t="s">
        <v>224</v>
      </c>
      <c r="I320" s="7"/>
      <c r="J320" s="4"/>
      <c r="K320" s="4" t="s">
        <v>199</v>
      </c>
      <c r="L320" s="5">
        <v>1</v>
      </c>
      <c r="M320" s="6">
        <v>1</v>
      </c>
      <c r="N320" s="7" t="str">
        <f t="shared" si="259"/>
        <v/>
      </c>
      <c r="O320" s="7"/>
      <c r="P320" s="24"/>
      <c r="Q320" s="13"/>
      <c r="T320" s="121" t="str">
        <f t="shared" si="260"/>
        <v/>
      </c>
      <c r="U320" s="118">
        <f t="shared" si="261"/>
        <v>0</v>
      </c>
      <c r="V320" s="117">
        <f t="shared" si="262"/>
        <v>0</v>
      </c>
      <c r="W320" s="117">
        <f t="shared" si="263"/>
        <v>0</v>
      </c>
      <c r="X320" s="117">
        <f t="shared" si="264"/>
        <v>0</v>
      </c>
      <c r="Y320" s="117">
        <f t="shared" si="265"/>
        <v>3</v>
      </c>
      <c r="Z320" s="117">
        <f t="shared" si="266"/>
        <v>1</v>
      </c>
      <c r="AA320" s="117">
        <f t="shared" si="267"/>
        <v>0</v>
      </c>
      <c r="AC320" s="121" t="str">
        <f t="shared" si="268"/>
        <v/>
      </c>
      <c r="AD320" s="118">
        <f t="shared" si="269"/>
        <v>0</v>
      </c>
      <c r="AE320" s="117">
        <f t="shared" si="270"/>
        <v>0</v>
      </c>
      <c r="AF320" s="117">
        <f t="shared" si="271"/>
        <v>0</v>
      </c>
      <c r="AG320" s="117">
        <f t="shared" si="272"/>
        <v>0</v>
      </c>
      <c r="AH320" s="117">
        <f t="shared" si="273"/>
        <v>3</v>
      </c>
      <c r="AI320" s="117">
        <f t="shared" si="274"/>
        <v>1</v>
      </c>
      <c r="AJ320" s="117">
        <f t="shared" si="275"/>
        <v>0</v>
      </c>
    </row>
    <row r="321" spans="2:36" ht="16.5" customHeight="1">
      <c r="B321" s="12"/>
      <c r="C321" s="12"/>
      <c r="D321" s="8"/>
      <c r="E321" s="9" t="s">
        <v>174</v>
      </c>
      <c r="F321" s="5">
        <v>2</v>
      </c>
      <c r="G321" s="6">
        <v>1</v>
      </c>
      <c r="H321" s="7" t="s">
        <v>224</v>
      </c>
      <c r="I321" s="10"/>
      <c r="J321" s="8"/>
      <c r="K321" s="9" t="s">
        <v>200</v>
      </c>
      <c r="L321" s="5">
        <v>1</v>
      </c>
      <c r="M321" s="6">
        <v>1</v>
      </c>
      <c r="N321" s="7" t="str">
        <f t="shared" si="259"/>
        <v/>
      </c>
      <c r="O321" s="10"/>
      <c r="P321" s="24"/>
      <c r="Q321" s="13"/>
      <c r="T321" s="121" t="str">
        <f t="shared" si="260"/>
        <v/>
      </c>
      <c r="U321" s="118">
        <f t="shared" si="261"/>
        <v>0</v>
      </c>
      <c r="V321" s="117">
        <f t="shared" si="262"/>
        <v>0</v>
      </c>
      <c r="W321" s="117">
        <f t="shared" si="263"/>
        <v>1</v>
      </c>
      <c r="X321" s="117">
        <f t="shared" si="264"/>
        <v>1</v>
      </c>
      <c r="Y321" s="117">
        <f t="shared" si="265"/>
        <v>0</v>
      </c>
      <c r="Z321" s="117">
        <f t="shared" si="266"/>
        <v>0</v>
      </c>
      <c r="AA321" s="117">
        <f t="shared" si="267"/>
        <v>0</v>
      </c>
      <c r="AC321" s="121" t="str">
        <f t="shared" si="268"/>
        <v/>
      </c>
      <c r="AD321" s="118">
        <f t="shared" si="269"/>
        <v>0</v>
      </c>
      <c r="AE321" s="117">
        <f t="shared" si="270"/>
        <v>0</v>
      </c>
      <c r="AF321" s="117">
        <f t="shared" si="271"/>
        <v>0</v>
      </c>
      <c r="AG321" s="117">
        <f t="shared" si="272"/>
        <v>0</v>
      </c>
      <c r="AH321" s="117">
        <f t="shared" si="273"/>
        <v>3</v>
      </c>
      <c r="AI321" s="117">
        <f t="shared" si="274"/>
        <v>1</v>
      </c>
      <c r="AJ321" s="117">
        <f t="shared" si="275"/>
        <v>0</v>
      </c>
    </row>
    <row r="322" spans="2:36" ht="16.5" customHeight="1">
      <c r="B322" s="12"/>
      <c r="C322" s="12"/>
      <c r="D322" s="4"/>
      <c r="E322" s="4" t="s">
        <v>175</v>
      </c>
      <c r="F322" s="5">
        <v>2</v>
      </c>
      <c r="G322" s="6">
        <v>2</v>
      </c>
      <c r="H322" s="7" t="s">
        <v>224</v>
      </c>
      <c r="I322" s="7"/>
      <c r="J322" s="4"/>
      <c r="K322" s="4" t="s">
        <v>201</v>
      </c>
      <c r="L322" s="5">
        <v>1</v>
      </c>
      <c r="M322" s="6">
        <v>1</v>
      </c>
      <c r="N322" s="7" t="str">
        <f t="shared" si="259"/>
        <v/>
      </c>
      <c r="O322" s="7"/>
      <c r="P322" s="24"/>
      <c r="Q322" s="13"/>
      <c r="T322" s="121" t="str">
        <f t="shared" si="260"/>
        <v/>
      </c>
      <c r="U322" s="118">
        <f t="shared" si="261"/>
        <v>0</v>
      </c>
      <c r="V322" s="117">
        <f t="shared" si="262"/>
        <v>0</v>
      </c>
      <c r="W322" s="117">
        <f t="shared" si="263"/>
        <v>0</v>
      </c>
      <c r="X322" s="117">
        <f t="shared" si="264"/>
        <v>0</v>
      </c>
      <c r="Y322" s="117">
        <f t="shared" si="265"/>
        <v>3</v>
      </c>
      <c r="Z322" s="117">
        <f t="shared" si="266"/>
        <v>1</v>
      </c>
      <c r="AA322" s="117">
        <f t="shared" si="267"/>
        <v>0</v>
      </c>
      <c r="AC322" s="121" t="str">
        <f t="shared" si="268"/>
        <v/>
      </c>
      <c r="AD322" s="118">
        <f t="shared" si="269"/>
        <v>0</v>
      </c>
      <c r="AE322" s="117">
        <f t="shared" si="270"/>
        <v>0</v>
      </c>
      <c r="AF322" s="117">
        <f t="shared" si="271"/>
        <v>0</v>
      </c>
      <c r="AG322" s="117">
        <f t="shared" si="272"/>
        <v>0</v>
      </c>
      <c r="AH322" s="117">
        <f t="shared" si="273"/>
        <v>3</v>
      </c>
      <c r="AI322" s="117">
        <f t="shared" si="274"/>
        <v>1</v>
      </c>
      <c r="AJ322" s="117">
        <f t="shared" si="275"/>
        <v>0</v>
      </c>
    </row>
    <row r="323" spans="2:36" ht="16.5" customHeight="1">
      <c r="B323" s="14"/>
      <c r="C323" s="14" t="s">
        <v>8</v>
      </c>
      <c r="D323" s="8"/>
      <c r="E323" s="9" t="s">
        <v>33</v>
      </c>
      <c r="F323" s="5">
        <v>2</v>
      </c>
      <c r="G323" s="6">
        <v>1</v>
      </c>
      <c r="H323" s="7" t="s">
        <v>224</v>
      </c>
      <c r="I323" s="10"/>
      <c r="J323" s="8"/>
      <c r="K323" s="9" t="s">
        <v>225</v>
      </c>
      <c r="L323" s="5">
        <v>1</v>
      </c>
      <c r="M323" s="6">
        <v>1</v>
      </c>
      <c r="N323" s="7" t="str">
        <f t="shared" si="259"/>
        <v/>
      </c>
      <c r="O323" s="10"/>
      <c r="P323" s="31" t="s">
        <v>16</v>
      </c>
      <c r="Q323" s="30"/>
      <c r="T323" s="121" t="str">
        <f t="shared" si="260"/>
        <v/>
      </c>
      <c r="U323" s="118">
        <f t="shared" si="261"/>
        <v>0</v>
      </c>
      <c r="V323" s="117">
        <f t="shared" si="262"/>
        <v>0</v>
      </c>
      <c r="W323" s="117">
        <f t="shared" si="263"/>
        <v>1</v>
      </c>
      <c r="X323" s="117">
        <f t="shared" si="264"/>
        <v>1</v>
      </c>
      <c r="Y323" s="117">
        <f t="shared" si="265"/>
        <v>0</v>
      </c>
      <c r="Z323" s="117">
        <f t="shared" si="266"/>
        <v>0</v>
      </c>
      <c r="AA323" s="117">
        <f t="shared" si="267"/>
        <v>0</v>
      </c>
      <c r="AC323" s="121" t="str">
        <f t="shared" si="268"/>
        <v/>
      </c>
      <c r="AD323" s="118">
        <f t="shared" si="269"/>
        <v>0</v>
      </c>
      <c r="AE323" s="117">
        <f t="shared" si="270"/>
        <v>0</v>
      </c>
      <c r="AF323" s="117">
        <f t="shared" si="271"/>
        <v>0</v>
      </c>
      <c r="AG323" s="117">
        <f t="shared" si="272"/>
        <v>0</v>
      </c>
      <c r="AH323" s="117">
        <f t="shared" si="273"/>
        <v>3</v>
      </c>
      <c r="AI323" s="117">
        <f t="shared" si="274"/>
        <v>1</v>
      </c>
      <c r="AJ323" s="117">
        <f t="shared" si="275"/>
        <v>0</v>
      </c>
    </row>
    <row r="324" spans="2:36" ht="16.5" customHeight="1">
      <c r="B324" s="14"/>
      <c r="C324" s="14"/>
      <c r="D324" s="4"/>
      <c r="E324" s="4" t="s">
        <v>176</v>
      </c>
      <c r="F324" s="5">
        <v>1</v>
      </c>
      <c r="G324" s="6">
        <v>1</v>
      </c>
      <c r="H324" s="7" t="s">
        <v>224</v>
      </c>
      <c r="I324" s="7"/>
      <c r="J324" s="4"/>
      <c r="K324" s="4" t="s">
        <v>203</v>
      </c>
      <c r="L324" s="5">
        <v>2</v>
      </c>
      <c r="M324" s="6">
        <v>2</v>
      </c>
      <c r="N324" s="7" t="str">
        <f t="shared" si="259"/>
        <v/>
      </c>
      <c r="O324" s="7"/>
      <c r="P324" s="31"/>
      <c r="Q324" s="30"/>
      <c r="T324" s="121" t="str">
        <f t="shared" si="260"/>
        <v/>
      </c>
      <c r="U324" s="118">
        <f t="shared" si="261"/>
        <v>0</v>
      </c>
      <c r="V324" s="117">
        <f t="shared" si="262"/>
        <v>0</v>
      </c>
      <c r="W324" s="117">
        <f t="shared" si="263"/>
        <v>0</v>
      </c>
      <c r="X324" s="117">
        <f t="shared" si="264"/>
        <v>0</v>
      </c>
      <c r="Y324" s="117">
        <f t="shared" si="265"/>
        <v>3</v>
      </c>
      <c r="Z324" s="117">
        <f t="shared" si="266"/>
        <v>1</v>
      </c>
      <c r="AA324" s="117">
        <f t="shared" si="267"/>
        <v>0</v>
      </c>
      <c r="AC324" s="121" t="str">
        <f t="shared" si="268"/>
        <v/>
      </c>
      <c r="AD324" s="118">
        <f t="shared" si="269"/>
        <v>0</v>
      </c>
      <c r="AE324" s="117">
        <f t="shared" si="270"/>
        <v>0</v>
      </c>
      <c r="AF324" s="117">
        <f t="shared" si="271"/>
        <v>0</v>
      </c>
      <c r="AG324" s="117">
        <f t="shared" si="272"/>
        <v>0</v>
      </c>
      <c r="AH324" s="117">
        <f t="shared" si="273"/>
        <v>3</v>
      </c>
      <c r="AI324" s="117">
        <f t="shared" si="274"/>
        <v>1</v>
      </c>
      <c r="AJ324" s="117">
        <f t="shared" si="275"/>
        <v>0</v>
      </c>
    </row>
    <row r="325" spans="2:36" ht="16.5" customHeight="1">
      <c r="B325" s="14"/>
      <c r="C325" s="14"/>
      <c r="D325" s="8"/>
      <c r="E325" s="9" t="s">
        <v>177</v>
      </c>
      <c r="F325" s="5">
        <v>1</v>
      </c>
      <c r="G325" s="6">
        <v>2</v>
      </c>
      <c r="H325" s="7" t="s">
        <v>224</v>
      </c>
      <c r="I325" s="10"/>
      <c r="J325" s="8"/>
      <c r="K325" s="9" t="s">
        <v>204</v>
      </c>
      <c r="L325" s="5">
        <v>0</v>
      </c>
      <c r="M325" s="6">
        <v>0</v>
      </c>
      <c r="N325" s="7" t="str">
        <f t="shared" si="259"/>
        <v/>
      </c>
      <c r="O325" s="10"/>
      <c r="P325" s="31"/>
      <c r="Q325" s="30"/>
      <c r="T325" s="121" t="str">
        <f t="shared" si="260"/>
        <v/>
      </c>
      <c r="U325" s="118">
        <f t="shared" si="261"/>
        <v>0</v>
      </c>
      <c r="V325" s="117">
        <f t="shared" si="262"/>
        <v>0</v>
      </c>
      <c r="W325" s="117">
        <f t="shared" si="263"/>
        <v>2</v>
      </c>
      <c r="X325" s="117">
        <f t="shared" si="264"/>
        <v>-1</v>
      </c>
      <c r="Y325" s="117">
        <f t="shared" si="265"/>
        <v>0</v>
      </c>
      <c r="Z325" s="117">
        <f t="shared" si="266"/>
        <v>0</v>
      </c>
      <c r="AA325" s="117">
        <f t="shared" si="267"/>
        <v>0</v>
      </c>
      <c r="AC325" s="121" t="str">
        <f t="shared" si="268"/>
        <v/>
      </c>
      <c r="AD325" s="118">
        <f t="shared" si="269"/>
        <v>0</v>
      </c>
      <c r="AE325" s="117">
        <f t="shared" si="270"/>
        <v>0</v>
      </c>
      <c r="AF325" s="117">
        <f t="shared" si="271"/>
        <v>0</v>
      </c>
      <c r="AG325" s="117">
        <f t="shared" si="272"/>
        <v>0</v>
      </c>
      <c r="AH325" s="117">
        <f t="shared" si="273"/>
        <v>3</v>
      </c>
      <c r="AI325" s="117">
        <f t="shared" si="274"/>
        <v>1</v>
      </c>
      <c r="AJ325" s="117">
        <f t="shared" si="275"/>
        <v>1</v>
      </c>
    </row>
    <row r="326" spans="2:36" ht="16.5" customHeight="1">
      <c r="B326" s="14"/>
      <c r="C326" s="14"/>
      <c r="D326" s="4"/>
      <c r="E326" s="4" t="s">
        <v>178</v>
      </c>
      <c r="F326" s="5">
        <v>2</v>
      </c>
      <c r="G326" s="6">
        <v>2</v>
      </c>
      <c r="H326" s="7" t="s">
        <v>224</v>
      </c>
      <c r="I326" s="7"/>
      <c r="J326" s="4"/>
      <c r="K326" s="4" t="s">
        <v>223</v>
      </c>
      <c r="L326" s="5">
        <v>0</v>
      </c>
      <c r="M326" s="6">
        <v>4</v>
      </c>
      <c r="N326" s="7" t="str">
        <f t="shared" si="259"/>
        <v/>
      </c>
      <c r="O326" s="7"/>
      <c r="P326" s="31"/>
      <c r="Q326" s="30"/>
      <c r="T326" s="121" t="str">
        <f t="shared" si="260"/>
        <v/>
      </c>
      <c r="U326" s="118">
        <f t="shared" si="261"/>
        <v>0</v>
      </c>
      <c r="V326" s="117">
        <f t="shared" si="262"/>
        <v>0</v>
      </c>
      <c r="W326" s="117">
        <f t="shared" si="263"/>
        <v>0</v>
      </c>
      <c r="X326" s="117">
        <f t="shared" si="264"/>
        <v>0</v>
      </c>
      <c r="Y326" s="117">
        <f t="shared" si="265"/>
        <v>3</v>
      </c>
      <c r="Z326" s="117">
        <f t="shared" si="266"/>
        <v>1</v>
      </c>
      <c r="AA326" s="117">
        <f t="shared" si="267"/>
        <v>0</v>
      </c>
      <c r="AC326" s="121" t="str">
        <f t="shared" si="268"/>
        <v/>
      </c>
      <c r="AD326" s="118">
        <f t="shared" si="269"/>
        <v>0</v>
      </c>
      <c r="AE326" s="117">
        <f t="shared" si="270"/>
        <v>0</v>
      </c>
      <c r="AF326" s="117">
        <f t="shared" si="271"/>
        <v>2</v>
      </c>
      <c r="AG326" s="117">
        <f t="shared" si="272"/>
        <v>-4</v>
      </c>
      <c r="AH326" s="117">
        <f t="shared" si="273"/>
        <v>0</v>
      </c>
      <c r="AI326" s="117">
        <f t="shared" si="274"/>
        <v>0</v>
      </c>
      <c r="AJ326" s="117">
        <f t="shared" si="275"/>
        <v>0</v>
      </c>
    </row>
    <row r="327" spans="2:36" ht="16.5" customHeight="1">
      <c r="B327" s="14"/>
      <c r="C327" s="14"/>
      <c r="D327" s="8"/>
      <c r="E327" s="9" t="s">
        <v>179</v>
      </c>
      <c r="F327" s="5">
        <v>1</v>
      </c>
      <c r="G327" s="6">
        <v>1</v>
      </c>
      <c r="H327" s="7" t="s">
        <v>224</v>
      </c>
      <c r="I327" s="10"/>
      <c r="J327" s="8"/>
      <c r="K327" s="9" t="s">
        <v>205</v>
      </c>
      <c r="L327" s="5">
        <v>1</v>
      </c>
      <c r="M327" s="6">
        <v>1</v>
      </c>
      <c r="N327" s="7" t="str">
        <f t="shared" si="259"/>
        <v/>
      </c>
      <c r="O327" s="10"/>
      <c r="P327" s="31"/>
      <c r="Q327" s="30"/>
      <c r="T327" s="121" t="str">
        <f t="shared" si="260"/>
        <v/>
      </c>
      <c r="U327" s="118">
        <f t="shared" si="261"/>
        <v>0</v>
      </c>
      <c r="V327" s="117">
        <f t="shared" si="262"/>
        <v>0</v>
      </c>
      <c r="W327" s="117">
        <f t="shared" si="263"/>
        <v>0</v>
      </c>
      <c r="X327" s="117">
        <f t="shared" si="264"/>
        <v>0</v>
      </c>
      <c r="Y327" s="117">
        <f t="shared" si="265"/>
        <v>3</v>
      </c>
      <c r="Z327" s="117">
        <f t="shared" si="266"/>
        <v>1</v>
      </c>
      <c r="AA327" s="117">
        <f t="shared" si="267"/>
        <v>0</v>
      </c>
      <c r="AC327" s="121" t="str">
        <f t="shared" si="268"/>
        <v/>
      </c>
      <c r="AD327" s="118">
        <f t="shared" si="269"/>
        <v>0</v>
      </c>
      <c r="AE327" s="117">
        <f t="shared" si="270"/>
        <v>0</v>
      </c>
      <c r="AF327" s="117">
        <f t="shared" si="271"/>
        <v>0</v>
      </c>
      <c r="AG327" s="117">
        <f t="shared" si="272"/>
        <v>0</v>
      </c>
      <c r="AH327" s="117">
        <f t="shared" si="273"/>
        <v>3</v>
      </c>
      <c r="AI327" s="117">
        <f t="shared" si="274"/>
        <v>1</v>
      </c>
      <c r="AJ327" s="117">
        <f t="shared" si="275"/>
        <v>0</v>
      </c>
    </row>
    <row r="328" spans="2:36" ht="16.5" customHeight="1">
      <c r="B328" s="14"/>
      <c r="C328" s="14"/>
      <c r="D328" s="4"/>
      <c r="E328" s="4" t="s">
        <v>180</v>
      </c>
      <c r="F328" s="5">
        <v>1</v>
      </c>
      <c r="G328" s="6">
        <v>3</v>
      </c>
      <c r="H328" s="7" t="s">
        <v>224</v>
      </c>
      <c r="I328" s="7"/>
      <c r="J328" s="4"/>
      <c r="K328" s="4" t="s">
        <v>206</v>
      </c>
      <c r="L328" s="5">
        <v>0</v>
      </c>
      <c r="M328" s="6">
        <v>2</v>
      </c>
      <c r="N328" s="7" t="str">
        <f t="shared" si="259"/>
        <v/>
      </c>
      <c r="O328" s="7"/>
      <c r="P328" s="31"/>
      <c r="Q328" s="30"/>
      <c r="T328" s="121" t="str">
        <f t="shared" si="260"/>
        <v/>
      </c>
      <c r="U328" s="118">
        <f t="shared" si="261"/>
        <v>0</v>
      </c>
      <c r="V328" s="117">
        <f t="shared" si="262"/>
        <v>0</v>
      </c>
      <c r="W328" s="117">
        <f t="shared" si="263"/>
        <v>2</v>
      </c>
      <c r="X328" s="117">
        <f t="shared" si="264"/>
        <v>-2</v>
      </c>
      <c r="Y328" s="117">
        <f t="shared" si="265"/>
        <v>0</v>
      </c>
      <c r="Z328" s="117">
        <f t="shared" si="266"/>
        <v>0</v>
      </c>
      <c r="AA328" s="117">
        <f t="shared" si="267"/>
        <v>0</v>
      </c>
      <c r="AC328" s="121" t="str">
        <f t="shared" si="268"/>
        <v/>
      </c>
      <c r="AD328" s="118">
        <f t="shared" si="269"/>
        <v>0</v>
      </c>
      <c r="AE328" s="117">
        <f t="shared" si="270"/>
        <v>0</v>
      </c>
      <c r="AF328" s="117">
        <f t="shared" si="271"/>
        <v>2</v>
      </c>
      <c r="AG328" s="117">
        <f t="shared" si="272"/>
        <v>-2</v>
      </c>
      <c r="AH328" s="117">
        <f t="shared" si="273"/>
        <v>0</v>
      </c>
      <c r="AI328" s="117">
        <f t="shared" si="274"/>
        <v>0</v>
      </c>
      <c r="AJ328" s="117">
        <f t="shared" si="275"/>
        <v>0</v>
      </c>
    </row>
    <row r="329" spans="2:36" ht="16.5" customHeight="1">
      <c r="B329" s="14"/>
      <c r="C329" s="14"/>
      <c r="D329" s="8"/>
      <c r="E329" s="9" t="s">
        <v>181</v>
      </c>
      <c r="F329" s="5">
        <v>1</v>
      </c>
      <c r="G329" s="6">
        <v>1</v>
      </c>
      <c r="H329" s="7" t="s">
        <v>224</v>
      </c>
      <c r="I329" s="10"/>
      <c r="J329" s="8"/>
      <c r="K329" s="9" t="s">
        <v>207</v>
      </c>
      <c r="L329" s="5">
        <v>1</v>
      </c>
      <c r="M329" s="6">
        <v>2</v>
      </c>
      <c r="N329" s="7" t="str">
        <f t="shared" si="259"/>
        <v/>
      </c>
      <c r="O329" s="10"/>
      <c r="P329" s="31"/>
      <c r="Q329" s="30"/>
      <c r="T329" s="121" t="str">
        <f t="shared" si="260"/>
        <v/>
      </c>
      <c r="U329" s="118">
        <f t="shared" si="261"/>
        <v>0</v>
      </c>
      <c r="V329" s="117">
        <f t="shared" si="262"/>
        <v>0</v>
      </c>
      <c r="W329" s="117">
        <f t="shared" si="263"/>
        <v>0</v>
      </c>
      <c r="X329" s="117">
        <f t="shared" si="264"/>
        <v>0</v>
      </c>
      <c r="Y329" s="117">
        <f t="shared" si="265"/>
        <v>3</v>
      </c>
      <c r="Z329" s="117">
        <f t="shared" si="266"/>
        <v>1</v>
      </c>
      <c r="AA329" s="117">
        <f t="shared" si="267"/>
        <v>0</v>
      </c>
      <c r="AC329" s="121" t="str">
        <f t="shared" si="268"/>
        <v/>
      </c>
      <c r="AD329" s="118">
        <f t="shared" si="269"/>
        <v>0</v>
      </c>
      <c r="AE329" s="117">
        <f t="shared" si="270"/>
        <v>0</v>
      </c>
      <c r="AF329" s="117">
        <f t="shared" si="271"/>
        <v>2</v>
      </c>
      <c r="AG329" s="117">
        <f t="shared" si="272"/>
        <v>-1</v>
      </c>
      <c r="AH329" s="117">
        <f t="shared" si="273"/>
        <v>0</v>
      </c>
      <c r="AI329" s="117">
        <f t="shared" si="274"/>
        <v>0</v>
      </c>
      <c r="AJ329" s="117">
        <f t="shared" si="275"/>
        <v>0</v>
      </c>
    </row>
    <row r="330" spans="2:36" ht="16.5" customHeight="1">
      <c r="B330" s="11"/>
      <c r="C330" s="11" t="s">
        <v>9</v>
      </c>
      <c r="D330" s="4"/>
      <c r="E330" s="4" t="s">
        <v>182</v>
      </c>
      <c r="F330" s="5">
        <v>1</v>
      </c>
      <c r="G330" s="6">
        <v>1</v>
      </c>
      <c r="H330" s="7" t="s">
        <v>224</v>
      </c>
      <c r="I330" s="7"/>
      <c r="J330" s="4"/>
      <c r="K330" s="4" t="s">
        <v>208</v>
      </c>
      <c r="L330" s="5">
        <v>1</v>
      </c>
      <c r="M330" s="6">
        <v>2</v>
      </c>
      <c r="N330" s="7" t="str">
        <f t="shared" si="259"/>
        <v/>
      </c>
      <c r="O330" s="7"/>
      <c r="P330" s="36" t="s">
        <v>25</v>
      </c>
      <c r="Q330" s="35"/>
      <c r="T330" s="121" t="str">
        <f t="shared" si="260"/>
        <v/>
      </c>
      <c r="U330" s="118">
        <f t="shared" si="261"/>
        <v>0</v>
      </c>
      <c r="V330" s="117">
        <f t="shared" si="262"/>
        <v>0</v>
      </c>
      <c r="W330" s="117">
        <f t="shared" si="263"/>
        <v>0</v>
      </c>
      <c r="X330" s="117">
        <f t="shared" si="264"/>
        <v>0</v>
      </c>
      <c r="Y330" s="117">
        <f t="shared" si="265"/>
        <v>3</v>
      </c>
      <c r="Z330" s="117">
        <f t="shared" si="266"/>
        <v>1</v>
      </c>
      <c r="AA330" s="117">
        <f t="shared" si="267"/>
        <v>0</v>
      </c>
      <c r="AC330" s="121" t="str">
        <f t="shared" si="268"/>
        <v/>
      </c>
      <c r="AD330" s="118">
        <f t="shared" si="269"/>
        <v>0</v>
      </c>
      <c r="AE330" s="117">
        <f t="shared" si="270"/>
        <v>0</v>
      </c>
      <c r="AF330" s="117">
        <f t="shared" si="271"/>
        <v>2</v>
      </c>
      <c r="AG330" s="117">
        <f t="shared" si="272"/>
        <v>-1</v>
      </c>
      <c r="AH330" s="117">
        <f t="shared" si="273"/>
        <v>0</v>
      </c>
      <c r="AI330" s="117">
        <f t="shared" si="274"/>
        <v>0</v>
      </c>
      <c r="AJ330" s="117">
        <f t="shared" si="275"/>
        <v>0</v>
      </c>
    </row>
    <row r="331" spans="2:36" ht="16.5" customHeight="1">
      <c r="B331" s="11"/>
      <c r="C331" s="11"/>
      <c r="D331" s="8"/>
      <c r="E331" s="9" t="s">
        <v>183</v>
      </c>
      <c r="F331" s="5">
        <v>2</v>
      </c>
      <c r="G331" s="6">
        <v>0</v>
      </c>
      <c r="H331" s="7" t="s">
        <v>224</v>
      </c>
      <c r="I331" s="10"/>
      <c r="J331" s="8"/>
      <c r="K331" s="9" t="s">
        <v>209</v>
      </c>
      <c r="L331" s="5">
        <v>1</v>
      </c>
      <c r="M331" s="6">
        <v>2</v>
      </c>
      <c r="N331" s="7" t="str">
        <f t="shared" si="259"/>
        <v/>
      </c>
      <c r="O331" s="10"/>
      <c r="P331" s="36"/>
      <c r="Q331" s="35"/>
      <c r="T331" s="121" t="str">
        <f t="shared" si="260"/>
        <v/>
      </c>
      <c r="U331" s="118">
        <f t="shared" si="261"/>
        <v>0</v>
      </c>
      <c r="V331" s="117">
        <f t="shared" si="262"/>
        <v>0</v>
      </c>
      <c r="W331" s="117">
        <f t="shared" si="263"/>
        <v>1</v>
      </c>
      <c r="X331" s="117">
        <f t="shared" si="264"/>
        <v>2</v>
      </c>
      <c r="Y331" s="117">
        <f t="shared" si="265"/>
        <v>0</v>
      </c>
      <c r="Z331" s="117">
        <f t="shared" si="266"/>
        <v>0</v>
      </c>
      <c r="AA331" s="117">
        <f t="shared" si="267"/>
        <v>0</v>
      </c>
      <c r="AC331" s="121" t="str">
        <f t="shared" si="268"/>
        <v/>
      </c>
      <c r="AD331" s="118">
        <f t="shared" si="269"/>
        <v>0</v>
      </c>
      <c r="AE331" s="117">
        <f t="shared" si="270"/>
        <v>0</v>
      </c>
      <c r="AF331" s="117">
        <f t="shared" si="271"/>
        <v>2</v>
      </c>
      <c r="AG331" s="117">
        <f t="shared" si="272"/>
        <v>-1</v>
      </c>
      <c r="AH331" s="117">
        <f t="shared" si="273"/>
        <v>0</v>
      </c>
      <c r="AI331" s="117">
        <f t="shared" si="274"/>
        <v>0</v>
      </c>
      <c r="AJ331" s="117">
        <f t="shared" si="275"/>
        <v>0</v>
      </c>
    </row>
    <row r="332" spans="2:36" ht="16.5" customHeight="1">
      <c r="B332" s="11"/>
      <c r="C332" s="11"/>
      <c r="D332" s="4"/>
      <c r="E332" s="4" t="s">
        <v>184</v>
      </c>
      <c r="F332" s="5">
        <v>1</v>
      </c>
      <c r="G332" s="6">
        <v>1</v>
      </c>
      <c r="H332" s="7" t="s">
        <v>224</v>
      </c>
      <c r="I332" s="7"/>
      <c r="J332" s="4"/>
      <c r="K332" s="4" t="s">
        <v>210</v>
      </c>
      <c r="L332" s="5">
        <v>0</v>
      </c>
      <c r="M332" s="6">
        <v>1</v>
      </c>
      <c r="N332" s="7" t="str">
        <f t="shared" si="259"/>
        <v/>
      </c>
      <c r="O332" s="7"/>
      <c r="P332" s="36"/>
      <c r="Q332" s="35"/>
      <c r="T332" s="121" t="str">
        <f t="shared" si="260"/>
        <v/>
      </c>
      <c r="U332" s="118">
        <f t="shared" si="261"/>
        <v>0</v>
      </c>
      <c r="V332" s="117">
        <f t="shared" si="262"/>
        <v>0</v>
      </c>
      <c r="W332" s="117">
        <f t="shared" si="263"/>
        <v>0</v>
      </c>
      <c r="X332" s="117">
        <f t="shared" si="264"/>
        <v>0</v>
      </c>
      <c r="Y332" s="117">
        <f t="shared" si="265"/>
        <v>3</v>
      </c>
      <c r="Z332" s="117">
        <f t="shared" si="266"/>
        <v>1</v>
      </c>
      <c r="AA332" s="117">
        <f t="shared" si="267"/>
        <v>0</v>
      </c>
      <c r="AC332" s="121" t="str">
        <f t="shared" si="268"/>
        <v/>
      </c>
      <c r="AD332" s="118">
        <f t="shared" si="269"/>
        <v>0</v>
      </c>
      <c r="AE332" s="117">
        <f t="shared" si="270"/>
        <v>0</v>
      </c>
      <c r="AF332" s="117">
        <f t="shared" si="271"/>
        <v>2</v>
      </c>
      <c r="AG332" s="117">
        <f t="shared" si="272"/>
        <v>-1</v>
      </c>
      <c r="AH332" s="117">
        <f t="shared" si="273"/>
        <v>0</v>
      </c>
      <c r="AI332" s="117">
        <f t="shared" si="274"/>
        <v>0</v>
      </c>
      <c r="AJ332" s="117">
        <f t="shared" si="275"/>
        <v>0</v>
      </c>
    </row>
    <row r="333" spans="2:36" ht="16.5" customHeight="1">
      <c r="B333" s="11"/>
      <c r="C333" s="11"/>
      <c r="D333" s="8"/>
      <c r="E333" s="9" t="s">
        <v>222</v>
      </c>
      <c r="F333" s="5">
        <v>1</v>
      </c>
      <c r="G333" s="6">
        <v>1</v>
      </c>
      <c r="H333" s="7" t="s">
        <v>224</v>
      </c>
      <c r="I333" s="10"/>
      <c r="J333" s="8"/>
      <c r="K333" s="9" t="s">
        <v>211</v>
      </c>
      <c r="L333" s="5">
        <v>2</v>
      </c>
      <c r="M333" s="6">
        <v>2</v>
      </c>
      <c r="N333" s="7" t="str">
        <f t="shared" si="259"/>
        <v/>
      </c>
      <c r="O333" s="10"/>
      <c r="P333" s="36"/>
      <c r="Q333" s="35"/>
      <c r="T333" s="121" t="str">
        <f t="shared" si="260"/>
        <v/>
      </c>
      <c r="U333" s="118">
        <f t="shared" si="261"/>
        <v>0</v>
      </c>
      <c r="V333" s="117">
        <f t="shared" si="262"/>
        <v>0</v>
      </c>
      <c r="W333" s="117">
        <f t="shared" si="263"/>
        <v>0</v>
      </c>
      <c r="X333" s="117">
        <f t="shared" si="264"/>
        <v>0</v>
      </c>
      <c r="Y333" s="117">
        <f t="shared" si="265"/>
        <v>3</v>
      </c>
      <c r="Z333" s="117">
        <f t="shared" si="266"/>
        <v>1</v>
      </c>
      <c r="AA333" s="117">
        <f t="shared" si="267"/>
        <v>0</v>
      </c>
      <c r="AC333" s="121" t="str">
        <f t="shared" si="268"/>
        <v/>
      </c>
      <c r="AD333" s="118">
        <f t="shared" si="269"/>
        <v>0</v>
      </c>
      <c r="AE333" s="117">
        <f t="shared" si="270"/>
        <v>0</v>
      </c>
      <c r="AF333" s="117">
        <f t="shared" si="271"/>
        <v>0</v>
      </c>
      <c r="AG333" s="117">
        <f t="shared" si="272"/>
        <v>0</v>
      </c>
      <c r="AH333" s="117">
        <f t="shared" si="273"/>
        <v>3</v>
      </c>
      <c r="AI333" s="117">
        <f t="shared" si="274"/>
        <v>1</v>
      </c>
      <c r="AJ333" s="117">
        <f t="shared" si="275"/>
        <v>0</v>
      </c>
    </row>
    <row r="334" spans="2:36" ht="16.5" customHeight="1">
      <c r="B334" s="11"/>
      <c r="C334" s="11"/>
      <c r="D334" s="4"/>
      <c r="E334" s="4" t="s">
        <v>185</v>
      </c>
      <c r="F334" s="5">
        <v>1</v>
      </c>
      <c r="G334" s="6">
        <v>1</v>
      </c>
      <c r="H334" s="7" t="s">
        <v>224</v>
      </c>
      <c r="I334" s="7"/>
      <c r="J334" s="4"/>
      <c r="K334" s="4" t="s">
        <v>212</v>
      </c>
      <c r="L334" s="5">
        <v>1</v>
      </c>
      <c r="M334" s="6">
        <v>3</v>
      </c>
      <c r="N334" s="7" t="str">
        <f t="shared" si="259"/>
        <v/>
      </c>
      <c r="O334" s="7"/>
      <c r="P334" s="36"/>
      <c r="Q334" s="35"/>
      <c r="T334" s="121" t="str">
        <f t="shared" si="260"/>
        <v/>
      </c>
      <c r="U334" s="118">
        <f t="shared" si="261"/>
        <v>0</v>
      </c>
      <c r="V334" s="117">
        <f t="shared" si="262"/>
        <v>0</v>
      </c>
      <c r="W334" s="117">
        <f t="shared" si="263"/>
        <v>0</v>
      </c>
      <c r="X334" s="117">
        <f t="shared" si="264"/>
        <v>0</v>
      </c>
      <c r="Y334" s="117">
        <f t="shared" si="265"/>
        <v>3</v>
      </c>
      <c r="Z334" s="117">
        <f t="shared" si="266"/>
        <v>1</v>
      </c>
      <c r="AA334" s="117">
        <f t="shared" si="267"/>
        <v>0</v>
      </c>
      <c r="AC334" s="121" t="str">
        <f t="shared" si="268"/>
        <v/>
      </c>
      <c r="AD334" s="118">
        <f t="shared" si="269"/>
        <v>0</v>
      </c>
      <c r="AE334" s="117">
        <f t="shared" si="270"/>
        <v>0</v>
      </c>
      <c r="AF334" s="117">
        <f t="shared" si="271"/>
        <v>2</v>
      </c>
      <c r="AG334" s="117">
        <f t="shared" si="272"/>
        <v>-2</v>
      </c>
      <c r="AH334" s="117">
        <f t="shared" si="273"/>
        <v>0</v>
      </c>
      <c r="AI334" s="117">
        <f t="shared" si="274"/>
        <v>0</v>
      </c>
      <c r="AJ334" s="117">
        <f t="shared" si="275"/>
        <v>0</v>
      </c>
    </row>
    <row r="335" spans="2:36" ht="16.5" customHeight="1">
      <c r="B335" s="11"/>
      <c r="C335" s="11"/>
      <c r="D335" s="8"/>
      <c r="E335" s="9" t="s">
        <v>186</v>
      </c>
      <c r="F335" s="5">
        <v>3</v>
      </c>
      <c r="G335" s="6">
        <v>2</v>
      </c>
      <c r="H335" s="7" t="s">
        <v>224</v>
      </c>
      <c r="I335" s="10"/>
      <c r="J335" s="8"/>
      <c r="K335" s="9" t="s">
        <v>213</v>
      </c>
      <c r="L335" s="5">
        <v>2</v>
      </c>
      <c r="M335" s="6">
        <v>0</v>
      </c>
      <c r="N335" s="7" t="str">
        <f t="shared" si="259"/>
        <v/>
      </c>
      <c r="O335" s="10"/>
      <c r="P335" s="36"/>
      <c r="Q335" s="35"/>
      <c r="T335" s="121" t="str">
        <f t="shared" si="260"/>
        <v/>
      </c>
      <c r="U335" s="118">
        <f t="shared" si="261"/>
        <v>0</v>
      </c>
      <c r="V335" s="117">
        <f t="shared" si="262"/>
        <v>0</v>
      </c>
      <c r="W335" s="117">
        <f t="shared" si="263"/>
        <v>1</v>
      </c>
      <c r="X335" s="117">
        <f t="shared" si="264"/>
        <v>1</v>
      </c>
      <c r="Y335" s="117">
        <f t="shared" si="265"/>
        <v>0</v>
      </c>
      <c r="Z335" s="117">
        <f t="shared" si="266"/>
        <v>0</v>
      </c>
      <c r="AA335" s="117">
        <f t="shared" si="267"/>
        <v>0</v>
      </c>
      <c r="AC335" s="121" t="str">
        <f t="shared" si="268"/>
        <v/>
      </c>
      <c r="AD335" s="118">
        <f t="shared" si="269"/>
        <v>0</v>
      </c>
      <c r="AE335" s="117">
        <f t="shared" si="270"/>
        <v>0</v>
      </c>
      <c r="AF335" s="117">
        <f t="shared" si="271"/>
        <v>1</v>
      </c>
      <c r="AG335" s="117">
        <f t="shared" si="272"/>
        <v>2</v>
      </c>
      <c r="AH335" s="117">
        <f t="shared" si="273"/>
        <v>0</v>
      </c>
      <c r="AI335" s="117">
        <f t="shared" si="274"/>
        <v>0</v>
      </c>
      <c r="AJ335" s="117">
        <f t="shared" si="275"/>
        <v>0</v>
      </c>
    </row>
    <row r="336" spans="2:36" ht="16.5" customHeight="1">
      <c r="B336" s="11"/>
      <c r="C336" s="11"/>
      <c r="D336" s="4"/>
      <c r="E336" s="4" t="s">
        <v>187</v>
      </c>
      <c r="F336" s="5">
        <v>1</v>
      </c>
      <c r="G336" s="6">
        <v>1</v>
      </c>
      <c r="H336" s="7" t="s">
        <v>224</v>
      </c>
      <c r="I336" s="7"/>
      <c r="J336" s="4"/>
      <c r="K336" s="4" t="s">
        <v>214</v>
      </c>
      <c r="L336" s="5">
        <v>0</v>
      </c>
      <c r="M336" s="6">
        <v>1</v>
      </c>
      <c r="N336" s="7" t="str">
        <f t="shared" si="259"/>
        <v/>
      </c>
      <c r="O336" s="7"/>
      <c r="P336" s="36"/>
      <c r="Q336" s="35"/>
      <c r="T336" s="121" t="str">
        <f t="shared" si="260"/>
        <v/>
      </c>
      <c r="U336" s="118">
        <f t="shared" si="261"/>
        <v>0</v>
      </c>
      <c r="V336" s="117">
        <f t="shared" si="262"/>
        <v>0</v>
      </c>
      <c r="W336" s="117">
        <f t="shared" si="263"/>
        <v>0</v>
      </c>
      <c r="X336" s="117">
        <f t="shared" si="264"/>
        <v>0</v>
      </c>
      <c r="Y336" s="117">
        <f t="shared" si="265"/>
        <v>3</v>
      </c>
      <c r="Z336" s="117">
        <f t="shared" si="266"/>
        <v>1</v>
      </c>
      <c r="AA336" s="117">
        <f t="shared" si="267"/>
        <v>0</v>
      </c>
      <c r="AC336" s="121" t="str">
        <f t="shared" si="268"/>
        <v/>
      </c>
      <c r="AD336" s="118">
        <f t="shared" si="269"/>
        <v>0</v>
      </c>
      <c r="AE336" s="117">
        <f t="shared" si="270"/>
        <v>0</v>
      </c>
      <c r="AF336" s="117">
        <f t="shared" si="271"/>
        <v>2</v>
      </c>
      <c r="AG336" s="117">
        <f t="shared" si="272"/>
        <v>-1</v>
      </c>
      <c r="AH336" s="117">
        <f t="shared" si="273"/>
        <v>0</v>
      </c>
      <c r="AI336" s="117">
        <f t="shared" si="274"/>
        <v>0</v>
      </c>
      <c r="AJ336" s="117">
        <f t="shared" si="275"/>
        <v>0</v>
      </c>
    </row>
    <row r="337" spans="2:36" ht="16.5" customHeight="1">
      <c r="B337" s="15"/>
      <c r="C337" s="15" t="s">
        <v>10</v>
      </c>
      <c r="D337" s="8"/>
      <c r="E337" s="9" t="s">
        <v>188</v>
      </c>
      <c r="F337" s="5">
        <v>1</v>
      </c>
      <c r="G337" s="6">
        <v>2</v>
      </c>
      <c r="H337" s="7" t="s">
        <v>224</v>
      </c>
      <c r="I337" s="10"/>
      <c r="J337" s="8"/>
      <c r="K337" s="9" t="s">
        <v>215</v>
      </c>
      <c r="L337" s="5">
        <v>1</v>
      </c>
      <c r="M337" s="6">
        <v>1</v>
      </c>
      <c r="N337" s="7" t="str">
        <f t="shared" si="259"/>
        <v/>
      </c>
      <c r="O337" s="10"/>
      <c r="P337" s="39" t="s">
        <v>26</v>
      </c>
      <c r="Q337" s="38"/>
      <c r="T337" s="121" t="str">
        <f t="shared" si="260"/>
        <v/>
      </c>
      <c r="U337" s="118">
        <f t="shared" si="261"/>
        <v>0</v>
      </c>
      <c r="V337" s="117">
        <f t="shared" si="262"/>
        <v>0</v>
      </c>
      <c r="W337" s="117">
        <f t="shared" si="263"/>
        <v>2</v>
      </c>
      <c r="X337" s="117">
        <f t="shared" si="264"/>
        <v>-1</v>
      </c>
      <c r="Y337" s="117">
        <f t="shared" si="265"/>
        <v>0</v>
      </c>
      <c r="Z337" s="117">
        <f t="shared" si="266"/>
        <v>0</v>
      </c>
      <c r="AA337" s="117">
        <f t="shared" si="267"/>
        <v>0</v>
      </c>
      <c r="AC337" s="121" t="str">
        <f t="shared" si="268"/>
        <v/>
      </c>
      <c r="AD337" s="118">
        <f t="shared" si="269"/>
        <v>0</v>
      </c>
      <c r="AE337" s="117">
        <f t="shared" si="270"/>
        <v>0</v>
      </c>
      <c r="AF337" s="117">
        <f t="shared" si="271"/>
        <v>0</v>
      </c>
      <c r="AG337" s="117">
        <f t="shared" si="272"/>
        <v>0</v>
      </c>
      <c r="AH337" s="117">
        <f t="shared" si="273"/>
        <v>3</v>
      </c>
      <c r="AI337" s="117">
        <f t="shared" si="274"/>
        <v>1</v>
      </c>
      <c r="AJ337" s="117">
        <f t="shared" si="275"/>
        <v>0</v>
      </c>
    </row>
    <row r="338" spans="2:36" ht="16.5" customHeight="1">
      <c r="B338" s="15"/>
      <c r="C338" s="15"/>
      <c r="D338" s="4"/>
      <c r="E338" s="4" t="s">
        <v>189</v>
      </c>
      <c r="F338" s="5">
        <v>2</v>
      </c>
      <c r="G338" s="6">
        <v>1</v>
      </c>
      <c r="H338" s="7" t="s">
        <v>224</v>
      </c>
      <c r="I338" s="7"/>
      <c r="J338" s="4"/>
      <c r="K338" s="4" t="s">
        <v>216</v>
      </c>
      <c r="L338" s="5">
        <v>1</v>
      </c>
      <c r="M338" s="6">
        <v>1</v>
      </c>
      <c r="N338" s="7" t="str">
        <f t="shared" si="259"/>
        <v/>
      </c>
      <c r="O338" s="7"/>
      <c r="P338" s="39"/>
      <c r="Q338" s="38"/>
      <c r="T338" s="121" t="str">
        <f t="shared" si="260"/>
        <v/>
      </c>
      <c r="U338" s="118">
        <f t="shared" si="261"/>
        <v>0</v>
      </c>
      <c r="V338" s="117">
        <f t="shared" si="262"/>
        <v>0</v>
      </c>
      <c r="W338" s="117">
        <f t="shared" si="263"/>
        <v>1</v>
      </c>
      <c r="X338" s="117">
        <f t="shared" si="264"/>
        <v>1</v>
      </c>
      <c r="Y338" s="117">
        <f t="shared" si="265"/>
        <v>0</v>
      </c>
      <c r="Z338" s="117">
        <f t="shared" si="266"/>
        <v>0</v>
      </c>
      <c r="AA338" s="117">
        <f t="shared" si="267"/>
        <v>0</v>
      </c>
      <c r="AC338" s="121" t="str">
        <f t="shared" si="268"/>
        <v/>
      </c>
      <c r="AD338" s="118">
        <f t="shared" si="269"/>
        <v>0</v>
      </c>
      <c r="AE338" s="117">
        <f t="shared" si="270"/>
        <v>0</v>
      </c>
      <c r="AF338" s="117">
        <f t="shared" si="271"/>
        <v>0</v>
      </c>
      <c r="AG338" s="117">
        <f t="shared" si="272"/>
        <v>0</v>
      </c>
      <c r="AH338" s="117">
        <f t="shared" si="273"/>
        <v>3</v>
      </c>
      <c r="AI338" s="117">
        <f t="shared" si="274"/>
        <v>1</v>
      </c>
      <c r="AJ338" s="117">
        <f t="shared" si="275"/>
        <v>0</v>
      </c>
    </row>
    <row r="339" spans="2:36" ht="16.5" customHeight="1">
      <c r="B339" s="15"/>
      <c r="C339" s="15"/>
      <c r="D339" s="8"/>
      <c r="E339" s="9" t="s">
        <v>190</v>
      </c>
      <c r="F339" s="5">
        <v>2</v>
      </c>
      <c r="G339" s="6">
        <v>2</v>
      </c>
      <c r="H339" s="7" t="s">
        <v>224</v>
      </c>
      <c r="I339" s="10"/>
      <c r="J339" s="8"/>
      <c r="K339" s="9" t="s">
        <v>217</v>
      </c>
      <c r="L339" s="5">
        <v>1</v>
      </c>
      <c r="M339" s="6">
        <v>1</v>
      </c>
      <c r="N339" s="7" t="str">
        <f t="shared" si="259"/>
        <v/>
      </c>
      <c r="O339" s="10"/>
      <c r="P339" s="39"/>
      <c r="Q339" s="38"/>
      <c r="T339" s="121" t="str">
        <f t="shared" si="260"/>
        <v/>
      </c>
      <c r="U339" s="118">
        <f t="shared" si="261"/>
        <v>0</v>
      </c>
      <c r="V339" s="117">
        <f t="shared" si="262"/>
        <v>0</v>
      </c>
      <c r="W339" s="117">
        <f t="shared" si="263"/>
        <v>0</v>
      </c>
      <c r="X339" s="117">
        <f t="shared" si="264"/>
        <v>0</v>
      </c>
      <c r="Y339" s="117">
        <f t="shared" si="265"/>
        <v>3</v>
      </c>
      <c r="Z339" s="117">
        <f t="shared" si="266"/>
        <v>1</v>
      </c>
      <c r="AA339" s="117">
        <f t="shared" si="267"/>
        <v>0</v>
      </c>
      <c r="AC339" s="121" t="str">
        <f t="shared" si="268"/>
        <v/>
      </c>
      <c r="AD339" s="118">
        <f t="shared" si="269"/>
        <v>0</v>
      </c>
      <c r="AE339" s="117">
        <f t="shared" si="270"/>
        <v>0</v>
      </c>
      <c r="AF339" s="117">
        <f t="shared" si="271"/>
        <v>0</v>
      </c>
      <c r="AG339" s="117">
        <f t="shared" si="272"/>
        <v>0</v>
      </c>
      <c r="AH339" s="117">
        <f t="shared" si="273"/>
        <v>3</v>
      </c>
      <c r="AI339" s="117">
        <f t="shared" si="274"/>
        <v>1</v>
      </c>
      <c r="AJ339" s="117">
        <f t="shared" si="275"/>
        <v>0</v>
      </c>
    </row>
    <row r="340" spans="2:36" ht="16.5" customHeight="1">
      <c r="B340" s="15"/>
      <c r="C340" s="15"/>
      <c r="D340" s="4"/>
      <c r="E340" s="4" t="s">
        <v>191</v>
      </c>
      <c r="F340" s="5">
        <v>1</v>
      </c>
      <c r="G340" s="6">
        <v>1</v>
      </c>
      <c r="H340" s="7" t="s">
        <v>224</v>
      </c>
      <c r="I340" s="7"/>
      <c r="J340" s="4"/>
      <c r="K340" s="4" t="s">
        <v>218</v>
      </c>
      <c r="L340" s="5">
        <v>1</v>
      </c>
      <c r="M340" s="6">
        <v>0</v>
      </c>
      <c r="N340" s="7" t="str">
        <f t="shared" si="259"/>
        <v/>
      </c>
      <c r="O340" s="7"/>
      <c r="P340" s="39"/>
      <c r="Q340" s="38"/>
      <c r="T340" s="121" t="str">
        <f t="shared" si="260"/>
        <v/>
      </c>
      <c r="U340" s="118">
        <f t="shared" si="261"/>
        <v>0</v>
      </c>
      <c r="V340" s="117">
        <f t="shared" si="262"/>
        <v>0</v>
      </c>
      <c r="W340" s="117">
        <f t="shared" si="263"/>
        <v>0</v>
      </c>
      <c r="X340" s="117">
        <f t="shared" si="264"/>
        <v>0</v>
      </c>
      <c r="Y340" s="117">
        <f t="shared" si="265"/>
        <v>3</v>
      </c>
      <c r="Z340" s="117">
        <f t="shared" si="266"/>
        <v>1</v>
      </c>
      <c r="AA340" s="117">
        <f t="shared" si="267"/>
        <v>0</v>
      </c>
      <c r="AC340" s="121" t="str">
        <f t="shared" si="268"/>
        <v/>
      </c>
      <c r="AD340" s="118">
        <f t="shared" si="269"/>
        <v>0</v>
      </c>
      <c r="AE340" s="117">
        <f t="shared" si="270"/>
        <v>0</v>
      </c>
      <c r="AF340" s="117">
        <f t="shared" si="271"/>
        <v>1</v>
      </c>
      <c r="AG340" s="117">
        <f t="shared" si="272"/>
        <v>1</v>
      </c>
      <c r="AH340" s="117">
        <f t="shared" si="273"/>
        <v>0</v>
      </c>
      <c r="AI340" s="117">
        <f t="shared" si="274"/>
        <v>0</v>
      </c>
      <c r="AJ340" s="117">
        <f t="shared" si="275"/>
        <v>0</v>
      </c>
    </row>
    <row r="341" spans="2:36" ht="16.5" customHeight="1">
      <c r="B341" s="15"/>
      <c r="C341" s="15"/>
      <c r="D341" s="8"/>
      <c r="E341" s="9" t="s">
        <v>192</v>
      </c>
      <c r="F341" s="5">
        <v>1</v>
      </c>
      <c r="G341" s="6">
        <v>2</v>
      </c>
      <c r="H341" s="7" t="s">
        <v>224</v>
      </c>
      <c r="I341" s="10"/>
      <c r="J341" s="8"/>
      <c r="K341" s="9" t="s">
        <v>219</v>
      </c>
      <c r="L341" s="5">
        <v>1</v>
      </c>
      <c r="M341" s="6">
        <v>1</v>
      </c>
      <c r="N341" s="7" t="str">
        <f t="shared" si="259"/>
        <v/>
      </c>
      <c r="O341" s="10"/>
      <c r="P341" s="39"/>
      <c r="Q341" s="38"/>
      <c r="T341" s="121" t="str">
        <f t="shared" si="260"/>
        <v/>
      </c>
      <c r="U341" s="118">
        <f t="shared" si="261"/>
        <v>0</v>
      </c>
      <c r="V341" s="117">
        <f t="shared" si="262"/>
        <v>0</v>
      </c>
      <c r="W341" s="117">
        <f t="shared" si="263"/>
        <v>2</v>
      </c>
      <c r="X341" s="117">
        <f t="shared" si="264"/>
        <v>-1</v>
      </c>
      <c r="Y341" s="117">
        <f t="shared" si="265"/>
        <v>0</v>
      </c>
      <c r="Z341" s="117">
        <f t="shared" si="266"/>
        <v>0</v>
      </c>
      <c r="AA341" s="117">
        <f t="shared" si="267"/>
        <v>0</v>
      </c>
      <c r="AC341" s="121" t="str">
        <f t="shared" si="268"/>
        <v/>
      </c>
      <c r="AD341" s="118">
        <f t="shared" si="269"/>
        <v>0</v>
      </c>
      <c r="AE341" s="117">
        <f t="shared" si="270"/>
        <v>0</v>
      </c>
      <c r="AF341" s="117">
        <f t="shared" si="271"/>
        <v>0</v>
      </c>
      <c r="AG341" s="117">
        <f t="shared" si="272"/>
        <v>0</v>
      </c>
      <c r="AH341" s="117">
        <f t="shared" si="273"/>
        <v>3</v>
      </c>
      <c r="AI341" s="117">
        <f t="shared" si="274"/>
        <v>1</v>
      </c>
      <c r="AJ341" s="117">
        <f t="shared" si="275"/>
        <v>0</v>
      </c>
    </row>
    <row r="342" spans="2:36" ht="16.5" customHeight="1">
      <c r="B342" s="15"/>
      <c r="C342" s="15"/>
      <c r="D342" s="4"/>
      <c r="E342" s="4" t="s">
        <v>193</v>
      </c>
      <c r="F342" s="5">
        <v>2</v>
      </c>
      <c r="G342" s="6">
        <v>1</v>
      </c>
      <c r="H342" s="7" t="s">
        <v>224</v>
      </c>
      <c r="I342" s="7"/>
      <c r="J342" s="4"/>
      <c r="K342" s="4" t="s">
        <v>220</v>
      </c>
      <c r="L342" s="5">
        <v>1</v>
      </c>
      <c r="M342" s="6">
        <v>1</v>
      </c>
      <c r="N342" s="7" t="str">
        <f t="shared" si="259"/>
        <v/>
      </c>
      <c r="O342" s="7"/>
      <c r="P342" s="39"/>
      <c r="Q342" s="38"/>
      <c r="T342" s="121" t="str">
        <f t="shared" si="260"/>
        <v/>
      </c>
      <c r="U342" s="118">
        <f t="shared" si="261"/>
        <v>0</v>
      </c>
      <c r="V342" s="117">
        <f t="shared" si="262"/>
        <v>0</v>
      </c>
      <c r="W342" s="117">
        <f t="shared" si="263"/>
        <v>1</v>
      </c>
      <c r="X342" s="117">
        <f t="shared" si="264"/>
        <v>1</v>
      </c>
      <c r="Y342" s="117">
        <f t="shared" si="265"/>
        <v>0</v>
      </c>
      <c r="Z342" s="117">
        <f t="shared" si="266"/>
        <v>0</v>
      </c>
      <c r="AA342" s="117">
        <f t="shared" si="267"/>
        <v>0</v>
      </c>
      <c r="AC342" s="121" t="str">
        <f t="shared" si="268"/>
        <v/>
      </c>
      <c r="AD342" s="118">
        <f t="shared" si="269"/>
        <v>0</v>
      </c>
      <c r="AE342" s="117">
        <f t="shared" si="270"/>
        <v>0</v>
      </c>
      <c r="AF342" s="117">
        <f t="shared" si="271"/>
        <v>0</v>
      </c>
      <c r="AG342" s="117">
        <f t="shared" si="272"/>
        <v>0</v>
      </c>
      <c r="AH342" s="117">
        <f t="shared" si="273"/>
        <v>3</v>
      </c>
      <c r="AI342" s="117">
        <f t="shared" si="274"/>
        <v>1</v>
      </c>
      <c r="AJ342" s="117">
        <f t="shared" si="275"/>
        <v>0</v>
      </c>
    </row>
    <row r="343" spans="2:36" ht="16.5" customHeight="1">
      <c r="B343" s="15"/>
      <c r="C343" s="15"/>
      <c r="D343" s="8"/>
      <c r="E343" s="9" t="s">
        <v>194</v>
      </c>
      <c r="F343" s="5">
        <v>1</v>
      </c>
      <c r="G343" s="6">
        <v>1</v>
      </c>
      <c r="H343" s="7" t="s">
        <v>224</v>
      </c>
      <c r="I343" s="10"/>
      <c r="J343" s="8"/>
      <c r="K343" s="9" t="s">
        <v>221</v>
      </c>
      <c r="L343" s="5">
        <v>2</v>
      </c>
      <c r="M343" s="6">
        <v>2</v>
      </c>
      <c r="N343" s="7" t="str">
        <f t="shared" si="259"/>
        <v/>
      </c>
      <c r="O343" s="10"/>
      <c r="P343" s="39"/>
      <c r="Q343" s="38"/>
      <c r="T343" s="121" t="str">
        <f t="shared" si="260"/>
        <v/>
      </c>
      <c r="U343" s="118">
        <f t="shared" si="261"/>
        <v>0</v>
      </c>
      <c r="V343" s="117">
        <f t="shared" si="262"/>
        <v>0</v>
      </c>
      <c r="W343" s="117">
        <f t="shared" si="263"/>
        <v>0</v>
      </c>
      <c r="X343" s="117">
        <f t="shared" si="264"/>
        <v>0</v>
      </c>
      <c r="Y343" s="117">
        <f t="shared" si="265"/>
        <v>3</v>
      </c>
      <c r="Z343" s="117">
        <f t="shared" si="266"/>
        <v>1</v>
      </c>
      <c r="AA343" s="117">
        <f t="shared" si="267"/>
        <v>0</v>
      </c>
      <c r="AC343" s="121" t="str">
        <f t="shared" si="268"/>
        <v/>
      </c>
      <c r="AD343" s="118">
        <f t="shared" si="269"/>
        <v>0</v>
      </c>
      <c r="AE343" s="117">
        <f t="shared" si="270"/>
        <v>0</v>
      </c>
      <c r="AF343" s="117">
        <f t="shared" si="271"/>
        <v>0</v>
      </c>
      <c r="AG343" s="117">
        <f t="shared" si="272"/>
        <v>0</v>
      </c>
      <c r="AH343" s="117">
        <f t="shared" si="273"/>
        <v>3</v>
      </c>
      <c r="AI343" s="117">
        <f t="shared" si="274"/>
        <v>1</v>
      </c>
      <c r="AJ343" s="117">
        <f t="shared" si="275"/>
        <v>0</v>
      </c>
    </row>
    <row r="344" spans="2:36" ht="16.5" customHeight="1">
      <c r="K344" s="3"/>
    </row>
    <row r="345" spans="2:36" ht="23.25">
      <c r="B345" s="33" t="s">
        <v>127</v>
      </c>
      <c r="D345" s="52"/>
      <c r="E345" s="55" t="s">
        <v>73</v>
      </c>
      <c r="F345" s="56"/>
      <c r="G345" s="57"/>
      <c r="H345" s="57"/>
      <c r="I345" s="56"/>
      <c r="J345" s="82"/>
      <c r="K345" s="82" t="s">
        <v>74</v>
      </c>
      <c r="M345" s="87"/>
      <c r="N345" s="88"/>
      <c r="O345" s="88"/>
      <c r="P345" s="89"/>
      <c r="Q345" s="88"/>
      <c r="R345" s="88"/>
    </row>
    <row r="346" spans="2:36" ht="16.5" customHeight="1">
      <c r="C346" s="1"/>
      <c r="D346" s="1"/>
      <c r="E346" s="1"/>
      <c r="H346" s="1"/>
      <c r="I346" s="1"/>
      <c r="J346" s="1"/>
      <c r="P346" s="1"/>
    </row>
    <row r="347" spans="2:36" ht="16.5" customHeight="1">
      <c r="B347" s="12"/>
      <c r="C347" s="12" t="s">
        <v>7</v>
      </c>
      <c r="D347" s="4"/>
      <c r="E347" s="4" t="s">
        <v>32</v>
      </c>
      <c r="F347" s="5">
        <v>1</v>
      </c>
      <c r="G347" s="6">
        <v>1</v>
      </c>
      <c r="H347" s="7" t="s">
        <v>224</v>
      </c>
      <c r="I347" s="7"/>
      <c r="J347" s="4"/>
      <c r="K347" s="4" t="s">
        <v>195</v>
      </c>
      <c r="L347" s="5">
        <v>2</v>
      </c>
      <c r="M347" s="6">
        <v>0</v>
      </c>
      <c r="N347" s="7" t="str">
        <f>AC347</f>
        <v/>
      </c>
      <c r="O347" s="7"/>
      <c r="P347" s="24" t="s">
        <v>13</v>
      </c>
      <c r="Q347" s="13"/>
      <c r="T347" s="121" t="str">
        <f>IF($G$345="","",SUM(Y347:AA347))</f>
        <v/>
      </c>
      <c r="U347" s="118">
        <f t="shared" ref="U347" si="276">IF(V347&gt;0,1,IF(V347=0,0,2))</f>
        <v>0</v>
      </c>
      <c r="V347" s="117">
        <f>$G$345-$H$345</f>
        <v>0</v>
      </c>
      <c r="W347" s="117">
        <f t="shared" ref="W347" si="277">IF(X347&gt;0,1,IF(X347=0,0,2))</f>
        <v>0</v>
      </c>
      <c r="X347" s="117">
        <f>F347-G347</f>
        <v>0</v>
      </c>
      <c r="Y347" s="117">
        <f t="shared" ref="Y347" si="278">IF(U347=W347,3,0)</f>
        <v>3</v>
      </c>
      <c r="Z347" s="117">
        <f t="shared" ref="Z347" si="279">IF(V347=X347,1,0)</f>
        <v>1</v>
      </c>
      <c r="AA347" s="117">
        <f>IF(Z347=1,IF($G$345=F347,1,0),0)</f>
        <v>0</v>
      </c>
      <c r="AC347" s="121" t="str">
        <f>IF($G$345="","",SUM(AH347:AJ347))</f>
        <v/>
      </c>
      <c r="AD347" s="118">
        <f t="shared" ref="AD347" si="280">IF(AE347&gt;0,1,IF(AE347=0,0,2))</f>
        <v>0</v>
      </c>
      <c r="AE347" s="117">
        <f>$G$345-$H$345</f>
        <v>0</v>
      </c>
      <c r="AF347" s="117">
        <f t="shared" ref="AF347" si="281">IF(AG347&gt;0,1,IF(AG347=0,0,2))</f>
        <v>1</v>
      </c>
      <c r="AG347" s="117">
        <f>L347-M347</f>
        <v>2</v>
      </c>
      <c r="AH347" s="117">
        <f t="shared" ref="AH347" si="282">IF(AD347=AF347,3,0)</f>
        <v>0</v>
      </c>
      <c r="AI347" s="117">
        <f t="shared" ref="AI347" si="283">IF(AE347=AG347,1,0)</f>
        <v>0</v>
      </c>
      <c r="AJ347" s="117">
        <f>IF(AI347=1,IF($G$345=L347,1,0),0)</f>
        <v>0</v>
      </c>
    </row>
    <row r="348" spans="2:36" ht="16.5" customHeight="1">
      <c r="B348" s="12"/>
      <c r="C348" s="12"/>
      <c r="D348" s="8"/>
      <c r="E348" s="9" t="s">
        <v>170</v>
      </c>
      <c r="F348" s="5">
        <v>1</v>
      </c>
      <c r="G348" s="6">
        <v>1</v>
      </c>
      <c r="H348" s="7" t="s">
        <v>224</v>
      </c>
      <c r="I348" s="10"/>
      <c r="J348" s="8"/>
      <c r="K348" s="9" t="s">
        <v>196</v>
      </c>
      <c r="L348" s="5">
        <v>1</v>
      </c>
      <c r="M348" s="6">
        <v>1</v>
      </c>
      <c r="N348" s="7" t="str">
        <f t="shared" ref="N348:N374" si="284">AC348</f>
        <v/>
      </c>
      <c r="O348" s="10"/>
      <c r="P348" s="24"/>
      <c r="Q348" s="13"/>
      <c r="T348" s="121" t="str">
        <f t="shared" ref="T348:T374" si="285">IF($G$345="","",SUM(Y348:AA348))</f>
        <v/>
      </c>
      <c r="U348" s="118">
        <f t="shared" ref="U348:U374" si="286">IF(V348&gt;0,1,IF(V348=0,0,2))</f>
        <v>0</v>
      </c>
      <c r="V348" s="117">
        <f t="shared" ref="V348:V374" si="287">$G$345-$H$345</f>
        <v>0</v>
      </c>
      <c r="W348" s="117">
        <f t="shared" ref="W348:W374" si="288">IF(X348&gt;0,1,IF(X348=0,0,2))</f>
        <v>0</v>
      </c>
      <c r="X348" s="117">
        <f t="shared" ref="X348:X374" si="289">F348-G348</f>
        <v>0</v>
      </c>
      <c r="Y348" s="117">
        <f t="shared" ref="Y348:Y374" si="290">IF(U348=W348,3,0)</f>
        <v>3</v>
      </c>
      <c r="Z348" s="117">
        <f t="shared" ref="Z348:Z374" si="291">IF(V348=X348,1,0)</f>
        <v>1</v>
      </c>
      <c r="AA348" s="117">
        <f t="shared" ref="AA348:AA374" si="292">IF(Z348=1,IF($G$345=F348,1,0),0)</f>
        <v>0</v>
      </c>
      <c r="AC348" s="121" t="str">
        <f t="shared" ref="AC348:AC374" si="293">IF($G$345="","",SUM(AH348:AJ348))</f>
        <v/>
      </c>
      <c r="AD348" s="118">
        <f t="shared" ref="AD348:AD374" si="294">IF(AE348&gt;0,1,IF(AE348=0,0,2))</f>
        <v>0</v>
      </c>
      <c r="AE348" s="117">
        <f t="shared" ref="AE348:AE374" si="295">$G$345-$H$345</f>
        <v>0</v>
      </c>
      <c r="AF348" s="117">
        <f t="shared" ref="AF348:AF374" si="296">IF(AG348&gt;0,1,IF(AG348=0,0,2))</f>
        <v>0</v>
      </c>
      <c r="AG348" s="117">
        <f t="shared" ref="AG348:AG374" si="297">L348-M348</f>
        <v>0</v>
      </c>
      <c r="AH348" s="117">
        <f t="shared" ref="AH348:AH374" si="298">IF(AD348=AF348,3,0)</f>
        <v>3</v>
      </c>
      <c r="AI348" s="117">
        <f t="shared" ref="AI348:AI374" si="299">IF(AE348=AG348,1,0)</f>
        <v>1</v>
      </c>
      <c r="AJ348" s="117">
        <f t="shared" ref="AJ348:AJ374" si="300">IF(AI348=1,IF($G$345=L348,1,0),0)</f>
        <v>0</v>
      </c>
    </row>
    <row r="349" spans="2:36" ht="16.5" customHeight="1">
      <c r="B349" s="12"/>
      <c r="C349" s="12"/>
      <c r="D349" s="4"/>
      <c r="E349" s="4" t="s">
        <v>171</v>
      </c>
      <c r="F349" s="5">
        <v>2</v>
      </c>
      <c r="G349" s="6">
        <v>0</v>
      </c>
      <c r="H349" s="7" t="s">
        <v>224</v>
      </c>
      <c r="I349" s="7"/>
      <c r="J349" s="4"/>
      <c r="K349" s="4" t="s">
        <v>197</v>
      </c>
      <c r="L349" s="5">
        <v>3</v>
      </c>
      <c r="M349" s="6">
        <v>2</v>
      </c>
      <c r="N349" s="7" t="str">
        <f t="shared" si="284"/>
        <v/>
      </c>
      <c r="O349" s="7"/>
      <c r="P349" s="24"/>
      <c r="Q349" s="13"/>
      <c r="T349" s="121" t="str">
        <f t="shared" si="285"/>
        <v/>
      </c>
      <c r="U349" s="118">
        <f t="shared" si="286"/>
        <v>0</v>
      </c>
      <c r="V349" s="117">
        <f t="shared" si="287"/>
        <v>0</v>
      </c>
      <c r="W349" s="117">
        <f t="shared" si="288"/>
        <v>1</v>
      </c>
      <c r="X349" s="117">
        <f t="shared" si="289"/>
        <v>2</v>
      </c>
      <c r="Y349" s="117">
        <f t="shared" si="290"/>
        <v>0</v>
      </c>
      <c r="Z349" s="117">
        <f t="shared" si="291"/>
        <v>0</v>
      </c>
      <c r="AA349" s="117">
        <f t="shared" si="292"/>
        <v>0</v>
      </c>
      <c r="AC349" s="121" t="str">
        <f t="shared" si="293"/>
        <v/>
      </c>
      <c r="AD349" s="118">
        <f t="shared" si="294"/>
        <v>0</v>
      </c>
      <c r="AE349" s="117">
        <f t="shared" si="295"/>
        <v>0</v>
      </c>
      <c r="AF349" s="117">
        <f t="shared" si="296"/>
        <v>1</v>
      </c>
      <c r="AG349" s="117">
        <f t="shared" si="297"/>
        <v>1</v>
      </c>
      <c r="AH349" s="117">
        <f t="shared" si="298"/>
        <v>0</v>
      </c>
      <c r="AI349" s="117">
        <f t="shared" si="299"/>
        <v>0</v>
      </c>
      <c r="AJ349" s="117">
        <f t="shared" si="300"/>
        <v>0</v>
      </c>
    </row>
    <row r="350" spans="2:36" ht="16.5" customHeight="1">
      <c r="B350" s="12"/>
      <c r="C350" s="12"/>
      <c r="D350" s="8"/>
      <c r="E350" s="9" t="s">
        <v>172</v>
      </c>
      <c r="F350" s="5">
        <v>2</v>
      </c>
      <c r="G350" s="6">
        <v>0</v>
      </c>
      <c r="H350" s="7" t="s">
        <v>224</v>
      </c>
      <c r="I350" s="10"/>
      <c r="J350" s="8"/>
      <c r="K350" s="9" t="s">
        <v>198</v>
      </c>
      <c r="L350" s="5">
        <v>1</v>
      </c>
      <c r="M350" s="6">
        <v>0</v>
      </c>
      <c r="N350" s="7" t="str">
        <f t="shared" si="284"/>
        <v/>
      </c>
      <c r="O350" s="10"/>
      <c r="P350" s="24"/>
      <c r="Q350" s="13"/>
      <c r="T350" s="121" t="str">
        <f t="shared" si="285"/>
        <v/>
      </c>
      <c r="U350" s="118">
        <f t="shared" si="286"/>
        <v>0</v>
      </c>
      <c r="V350" s="117">
        <f t="shared" si="287"/>
        <v>0</v>
      </c>
      <c r="W350" s="117">
        <f t="shared" si="288"/>
        <v>1</v>
      </c>
      <c r="X350" s="117">
        <f t="shared" si="289"/>
        <v>2</v>
      </c>
      <c r="Y350" s="117">
        <f t="shared" si="290"/>
        <v>0</v>
      </c>
      <c r="Z350" s="117">
        <f t="shared" si="291"/>
        <v>0</v>
      </c>
      <c r="AA350" s="117">
        <f t="shared" si="292"/>
        <v>0</v>
      </c>
      <c r="AC350" s="121" t="str">
        <f t="shared" si="293"/>
        <v/>
      </c>
      <c r="AD350" s="118">
        <f t="shared" si="294"/>
        <v>0</v>
      </c>
      <c r="AE350" s="117">
        <f t="shared" si="295"/>
        <v>0</v>
      </c>
      <c r="AF350" s="117">
        <f t="shared" si="296"/>
        <v>1</v>
      </c>
      <c r="AG350" s="117">
        <f t="shared" si="297"/>
        <v>1</v>
      </c>
      <c r="AH350" s="117">
        <f t="shared" si="298"/>
        <v>0</v>
      </c>
      <c r="AI350" s="117">
        <f t="shared" si="299"/>
        <v>0</v>
      </c>
      <c r="AJ350" s="117">
        <f t="shared" si="300"/>
        <v>0</v>
      </c>
    </row>
    <row r="351" spans="2:36" ht="16.5" customHeight="1">
      <c r="B351" s="12"/>
      <c r="C351" s="12"/>
      <c r="D351" s="4"/>
      <c r="E351" s="4" t="s">
        <v>173</v>
      </c>
      <c r="F351" s="5">
        <v>2</v>
      </c>
      <c r="G351" s="6">
        <v>1</v>
      </c>
      <c r="H351" s="7" t="s">
        <v>224</v>
      </c>
      <c r="I351" s="7"/>
      <c r="J351" s="4"/>
      <c r="K351" s="4" t="s">
        <v>199</v>
      </c>
      <c r="L351" s="5">
        <v>2</v>
      </c>
      <c r="M351" s="6">
        <v>0</v>
      </c>
      <c r="N351" s="7" t="str">
        <f t="shared" si="284"/>
        <v/>
      </c>
      <c r="O351" s="7"/>
      <c r="P351" s="24"/>
      <c r="Q351" s="13"/>
      <c r="T351" s="121" t="str">
        <f t="shared" si="285"/>
        <v/>
      </c>
      <c r="U351" s="118">
        <f t="shared" si="286"/>
        <v>0</v>
      </c>
      <c r="V351" s="117">
        <f t="shared" si="287"/>
        <v>0</v>
      </c>
      <c r="W351" s="117">
        <f t="shared" si="288"/>
        <v>1</v>
      </c>
      <c r="X351" s="117">
        <f t="shared" si="289"/>
        <v>1</v>
      </c>
      <c r="Y351" s="117">
        <f t="shared" si="290"/>
        <v>0</v>
      </c>
      <c r="Z351" s="117">
        <f t="shared" si="291"/>
        <v>0</v>
      </c>
      <c r="AA351" s="117">
        <f t="shared" si="292"/>
        <v>0</v>
      </c>
      <c r="AC351" s="121" t="str">
        <f t="shared" si="293"/>
        <v/>
      </c>
      <c r="AD351" s="118">
        <f t="shared" si="294"/>
        <v>0</v>
      </c>
      <c r="AE351" s="117">
        <f t="shared" si="295"/>
        <v>0</v>
      </c>
      <c r="AF351" s="117">
        <f t="shared" si="296"/>
        <v>1</v>
      </c>
      <c r="AG351" s="117">
        <f t="shared" si="297"/>
        <v>2</v>
      </c>
      <c r="AH351" s="117">
        <f t="shared" si="298"/>
        <v>0</v>
      </c>
      <c r="AI351" s="117">
        <f t="shared" si="299"/>
        <v>0</v>
      </c>
      <c r="AJ351" s="117">
        <f t="shared" si="300"/>
        <v>0</v>
      </c>
    </row>
    <row r="352" spans="2:36" ht="16.5" customHeight="1">
      <c r="B352" s="12"/>
      <c r="C352" s="12"/>
      <c r="D352" s="8"/>
      <c r="E352" s="9" t="s">
        <v>174</v>
      </c>
      <c r="F352" s="5">
        <v>2</v>
      </c>
      <c r="G352" s="6">
        <v>0</v>
      </c>
      <c r="H352" s="7" t="s">
        <v>224</v>
      </c>
      <c r="I352" s="10"/>
      <c r="J352" s="8"/>
      <c r="K352" s="9" t="s">
        <v>200</v>
      </c>
      <c r="L352" s="5">
        <v>1</v>
      </c>
      <c r="M352" s="6">
        <v>0</v>
      </c>
      <c r="N352" s="7" t="str">
        <f t="shared" si="284"/>
        <v/>
      </c>
      <c r="O352" s="10"/>
      <c r="P352" s="24"/>
      <c r="Q352" s="13"/>
      <c r="T352" s="121" t="str">
        <f t="shared" si="285"/>
        <v/>
      </c>
      <c r="U352" s="118">
        <f t="shared" si="286"/>
        <v>0</v>
      </c>
      <c r="V352" s="117">
        <f t="shared" si="287"/>
        <v>0</v>
      </c>
      <c r="W352" s="117">
        <f t="shared" si="288"/>
        <v>1</v>
      </c>
      <c r="X352" s="117">
        <f t="shared" si="289"/>
        <v>2</v>
      </c>
      <c r="Y352" s="117">
        <f t="shared" si="290"/>
        <v>0</v>
      </c>
      <c r="Z352" s="117">
        <f t="shared" si="291"/>
        <v>0</v>
      </c>
      <c r="AA352" s="117">
        <f t="shared" si="292"/>
        <v>0</v>
      </c>
      <c r="AC352" s="121" t="str">
        <f t="shared" si="293"/>
        <v/>
      </c>
      <c r="AD352" s="118">
        <f t="shared" si="294"/>
        <v>0</v>
      </c>
      <c r="AE352" s="117">
        <f t="shared" si="295"/>
        <v>0</v>
      </c>
      <c r="AF352" s="117">
        <f t="shared" si="296"/>
        <v>1</v>
      </c>
      <c r="AG352" s="117">
        <f t="shared" si="297"/>
        <v>1</v>
      </c>
      <c r="AH352" s="117">
        <f t="shared" si="298"/>
        <v>0</v>
      </c>
      <c r="AI352" s="117">
        <f t="shared" si="299"/>
        <v>0</v>
      </c>
      <c r="AJ352" s="117">
        <f t="shared" si="300"/>
        <v>0</v>
      </c>
    </row>
    <row r="353" spans="2:36" ht="16.5" customHeight="1">
      <c r="B353" s="12"/>
      <c r="C353" s="12"/>
      <c r="D353" s="4"/>
      <c r="E353" s="4" t="s">
        <v>175</v>
      </c>
      <c r="F353" s="5">
        <v>1</v>
      </c>
      <c r="G353" s="6">
        <v>1</v>
      </c>
      <c r="H353" s="7" t="s">
        <v>224</v>
      </c>
      <c r="I353" s="7"/>
      <c r="J353" s="4"/>
      <c r="K353" s="4" t="s">
        <v>201</v>
      </c>
      <c r="L353" s="5">
        <v>2</v>
      </c>
      <c r="M353" s="6">
        <v>1</v>
      </c>
      <c r="N353" s="7" t="str">
        <f t="shared" si="284"/>
        <v/>
      </c>
      <c r="O353" s="7"/>
      <c r="P353" s="24"/>
      <c r="Q353" s="13"/>
      <c r="T353" s="121" t="str">
        <f t="shared" si="285"/>
        <v/>
      </c>
      <c r="U353" s="118">
        <f t="shared" si="286"/>
        <v>0</v>
      </c>
      <c r="V353" s="117">
        <f t="shared" si="287"/>
        <v>0</v>
      </c>
      <c r="W353" s="117">
        <f t="shared" si="288"/>
        <v>0</v>
      </c>
      <c r="X353" s="117">
        <f t="shared" si="289"/>
        <v>0</v>
      </c>
      <c r="Y353" s="117">
        <f t="shared" si="290"/>
        <v>3</v>
      </c>
      <c r="Z353" s="117">
        <f t="shared" si="291"/>
        <v>1</v>
      </c>
      <c r="AA353" s="117">
        <f t="shared" si="292"/>
        <v>0</v>
      </c>
      <c r="AC353" s="121" t="str">
        <f t="shared" si="293"/>
        <v/>
      </c>
      <c r="AD353" s="118">
        <f t="shared" si="294"/>
        <v>0</v>
      </c>
      <c r="AE353" s="117">
        <f t="shared" si="295"/>
        <v>0</v>
      </c>
      <c r="AF353" s="117">
        <f t="shared" si="296"/>
        <v>1</v>
      </c>
      <c r="AG353" s="117">
        <f t="shared" si="297"/>
        <v>1</v>
      </c>
      <c r="AH353" s="117">
        <f t="shared" si="298"/>
        <v>0</v>
      </c>
      <c r="AI353" s="117">
        <f t="shared" si="299"/>
        <v>0</v>
      </c>
      <c r="AJ353" s="117">
        <f t="shared" si="300"/>
        <v>0</v>
      </c>
    </row>
    <row r="354" spans="2:36" ht="16.5" customHeight="1">
      <c r="B354" s="14"/>
      <c r="C354" s="14" t="s">
        <v>8</v>
      </c>
      <c r="D354" s="8"/>
      <c r="E354" s="9" t="s">
        <v>33</v>
      </c>
      <c r="F354" s="5">
        <v>1</v>
      </c>
      <c r="G354" s="6">
        <v>1</v>
      </c>
      <c r="H354" s="7" t="s">
        <v>224</v>
      </c>
      <c r="I354" s="10"/>
      <c r="J354" s="8"/>
      <c r="K354" s="9" t="s">
        <v>225</v>
      </c>
      <c r="L354" s="5">
        <v>1</v>
      </c>
      <c r="M354" s="6">
        <v>0</v>
      </c>
      <c r="N354" s="7" t="str">
        <f t="shared" si="284"/>
        <v/>
      </c>
      <c r="O354" s="10"/>
      <c r="P354" s="31" t="s">
        <v>16</v>
      </c>
      <c r="Q354" s="30"/>
      <c r="T354" s="121" t="str">
        <f t="shared" si="285"/>
        <v/>
      </c>
      <c r="U354" s="118">
        <f t="shared" si="286"/>
        <v>0</v>
      </c>
      <c r="V354" s="117">
        <f t="shared" si="287"/>
        <v>0</v>
      </c>
      <c r="W354" s="117">
        <f t="shared" si="288"/>
        <v>0</v>
      </c>
      <c r="X354" s="117">
        <f t="shared" si="289"/>
        <v>0</v>
      </c>
      <c r="Y354" s="117">
        <f t="shared" si="290"/>
        <v>3</v>
      </c>
      <c r="Z354" s="117">
        <f t="shared" si="291"/>
        <v>1</v>
      </c>
      <c r="AA354" s="117">
        <f t="shared" si="292"/>
        <v>0</v>
      </c>
      <c r="AC354" s="121" t="str">
        <f t="shared" si="293"/>
        <v/>
      </c>
      <c r="AD354" s="118">
        <f t="shared" si="294"/>
        <v>0</v>
      </c>
      <c r="AE354" s="117">
        <f t="shared" si="295"/>
        <v>0</v>
      </c>
      <c r="AF354" s="117">
        <f t="shared" si="296"/>
        <v>1</v>
      </c>
      <c r="AG354" s="117">
        <f t="shared" si="297"/>
        <v>1</v>
      </c>
      <c r="AH354" s="117">
        <f t="shared" si="298"/>
        <v>0</v>
      </c>
      <c r="AI354" s="117">
        <f t="shared" si="299"/>
        <v>0</v>
      </c>
      <c r="AJ354" s="117">
        <f t="shared" si="300"/>
        <v>0</v>
      </c>
    </row>
    <row r="355" spans="2:36" ht="16.5" customHeight="1">
      <c r="B355" s="14"/>
      <c r="C355" s="14"/>
      <c r="D355" s="4"/>
      <c r="E355" s="4" t="s">
        <v>176</v>
      </c>
      <c r="F355" s="5">
        <v>1</v>
      </c>
      <c r="G355" s="6">
        <v>0</v>
      </c>
      <c r="H355" s="7" t="s">
        <v>224</v>
      </c>
      <c r="I355" s="7"/>
      <c r="J355" s="4"/>
      <c r="K355" s="4" t="s">
        <v>203</v>
      </c>
      <c r="L355" s="5">
        <v>1</v>
      </c>
      <c r="M355" s="6">
        <v>0</v>
      </c>
      <c r="N355" s="7" t="str">
        <f t="shared" si="284"/>
        <v/>
      </c>
      <c r="O355" s="7"/>
      <c r="P355" s="31"/>
      <c r="Q355" s="30"/>
      <c r="T355" s="121" t="str">
        <f t="shared" si="285"/>
        <v/>
      </c>
      <c r="U355" s="118">
        <f t="shared" si="286"/>
        <v>0</v>
      </c>
      <c r="V355" s="117">
        <f t="shared" si="287"/>
        <v>0</v>
      </c>
      <c r="W355" s="117">
        <f t="shared" si="288"/>
        <v>1</v>
      </c>
      <c r="X355" s="117">
        <f t="shared" si="289"/>
        <v>1</v>
      </c>
      <c r="Y355" s="117">
        <f t="shared" si="290"/>
        <v>0</v>
      </c>
      <c r="Z355" s="117">
        <f t="shared" si="291"/>
        <v>0</v>
      </c>
      <c r="AA355" s="117">
        <f t="shared" si="292"/>
        <v>0</v>
      </c>
      <c r="AC355" s="121" t="str">
        <f t="shared" si="293"/>
        <v/>
      </c>
      <c r="AD355" s="118">
        <f t="shared" si="294"/>
        <v>0</v>
      </c>
      <c r="AE355" s="117">
        <f t="shared" si="295"/>
        <v>0</v>
      </c>
      <c r="AF355" s="117">
        <f t="shared" si="296"/>
        <v>1</v>
      </c>
      <c r="AG355" s="117">
        <f t="shared" si="297"/>
        <v>1</v>
      </c>
      <c r="AH355" s="117">
        <f t="shared" si="298"/>
        <v>0</v>
      </c>
      <c r="AI355" s="117">
        <f t="shared" si="299"/>
        <v>0</v>
      </c>
      <c r="AJ355" s="117">
        <f t="shared" si="300"/>
        <v>0</v>
      </c>
    </row>
    <row r="356" spans="2:36" ht="16.5" customHeight="1">
      <c r="B356" s="14"/>
      <c r="C356" s="14"/>
      <c r="D356" s="8"/>
      <c r="E356" s="9" t="s">
        <v>177</v>
      </c>
      <c r="F356" s="5">
        <v>2</v>
      </c>
      <c r="G356" s="6">
        <v>1</v>
      </c>
      <c r="H356" s="7" t="s">
        <v>224</v>
      </c>
      <c r="I356" s="10"/>
      <c r="J356" s="8"/>
      <c r="K356" s="9" t="s">
        <v>204</v>
      </c>
      <c r="L356" s="5">
        <v>1</v>
      </c>
      <c r="M356" s="6">
        <v>0</v>
      </c>
      <c r="N356" s="7" t="str">
        <f t="shared" si="284"/>
        <v/>
      </c>
      <c r="O356" s="10"/>
      <c r="P356" s="31"/>
      <c r="Q356" s="30"/>
      <c r="T356" s="121" t="str">
        <f t="shared" si="285"/>
        <v/>
      </c>
      <c r="U356" s="118">
        <f t="shared" si="286"/>
        <v>0</v>
      </c>
      <c r="V356" s="117">
        <f t="shared" si="287"/>
        <v>0</v>
      </c>
      <c r="W356" s="117">
        <f t="shared" si="288"/>
        <v>1</v>
      </c>
      <c r="X356" s="117">
        <f t="shared" si="289"/>
        <v>1</v>
      </c>
      <c r="Y356" s="117">
        <f t="shared" si="290"/>
        <v>0</v>
      </c>
      <c r="Z356" s="117">
        <f t="shared" si="291"/>
        <v>0</v>
      </c>
      <c r="AA356" s="117">
        <f t="shared" si="292"/>
        <v>0</v>
      </c>
      <c r="AC356" s="121" t="str">
        <f t="shared" si="293"/>
        <v/>
      </c>
      <c r="AD356" s="118">
        <f t="shared" si="294"/>
        <v>0</v>
      </c>
      <c r="AE356" s="117">
        <f t="shared" si="295"/>
        <v>0</v>
      </c>
      <c r="AF356" s="117">
        <f t="shared" si="296"/>
        <v>1</v>
      </c>
      <c r="AG356" s="117">
        <f t="shared" si="297"/>
        <v>1</v>
      </c>
      <c r="AH356" s="117">
        <f t="shared" si="298"/>
        <v>0</v>
      </c>
      <c r="AI356" s="117">
        <f t="shared" si="299"/>
        <v>0</v>
      </c>
      <c r="AJ356" s="117">
        <f t="shared" si="300"/>
        <v>0</v>
      </c>
    </row>
    <row r="357" spans="2:36" ht="16.5" customHeight="1">
      <c r="B357" s="14"/>
      <c r="C357" s="14"/>
      <c r="D357" s="4"/>
      <c r="E357" s="4" t="s">
        <v>178</v>
      </c>
      <c r="F357" s="5">
        <v>1</v>
      </c>
      <c r="G357" s="6">
        <v>0</v>
      </c>
      <c r="H357" s="7" t="s">
        <v>224</v>
      </c>
      <c r="I357" s="7"/>
      <c r="J357" s="4"/>
      <c r="K357" s="4" t="s">
        <v>223</v>
      </c>
      <c r="L357" s="5">
        <v>3</v>
      </c>
      <c r="M357" s="6">
        <v>0</v>
      </c>
      <c r="N357" s="7" t="str">
        <f t="shared" si="284"/>
        <v/>
      </c>
      <c r="O357" s="7"/>
      <c r="P357" s="31"/>
      <c r="Q357" s="30"/>
      <c r="T357" s="121" t="str">
        <f t="shared" si="285"/>
        <v/>
      </c>
      <c r="U357" s="118">
        <f t="shared" si="286"/>
        <v>0</v>
      </c>
      <c r="V357" s="117">
        <f t="shared" si="287"/>
        <v>0</v>
      </c>
      <c r="W357" s="117">
        <f t="shared" si="288"/>
        <v>1</v>
      </c>
      <c r="X357" s="117">
        <f t="shared" si="289"/>
        <v>1</v>
      </c>
      <c r="Y357" s="117">
        <f t="shared" si="290"/>
        <v>0</v>
      </c>
      <c r="Z357" s="117">
        <f t="shared" si="291"/>
        <v>0</v>
      </c>
      <c r="AA357" s="117">
        <f t="shared" si="292"/>
        <v>0</v>
      </c>
      <c r="AC357" s="121" t="str">
        <f t="shared" si="293"/>
        <v/>
      </c>
      <c r="AD357" s="118">
        <f t="shared" si="294"/>
        <v>0</v>
      </c>
      <c r="AE357" s="117">
        <f t="shared" si="295"/>
        <v>0</v>
      </c>
      <c r="AF357" s="117">
        <f t="shared" si="296"/>
        <v>1</v>
      </c>
      <c r="AG357" s="117">
        <f t="shared" si="297"/>
        <v>3</v>
      </c>
      <c r="AH357" s="117">
        <f t="shared" si="298"/>
        <v>0</v>
      </c>
      <c r="AI357" s="117">
        <f t="shared" si="299"/>
        <v>0</v>
      </c>
      <c r="AJ357" s="117">
        <f t="shared" si="300"/>
        <v>0</v>
      </c>
    </row>
    <row r="358" spans="2:36" ht="16.5" customHeight="1">
      <c r="B358" s="14"/>
      <c r="C358" s="14"/>
      <c r="D358" s="8"/>
      <c r="E358" s="9" t="s">
        <v>179</v>
      </c>
      <c r="F358" s="5">
        <v>1</v>
      </c>
      <c r="G358" s="6">
        <v>2</v>
      </c>
      <c r="H358" s="7" t="s">
        <v>224</v>
      </c>
      <c r="I358" s="10"/>
      <c r="J358" s="8"/>
      <c r="K358" s="9" t="s">
        <v>205</v>
      </c>
      <c r="L358" s="5">
        <v>3</v>
      </c>
      <c r="M358" s="6">
        <v>0</v>
      </c>
      <c r="N358" s="7" t="str">
        <f t="shared" si="284"/>
        <v/>
      </c>
      <c r="O358" s="10"/>
      <c r="P358" s="31"/>
      <c r="Q358" s="30"/>
      <c r="T358" s="121" t="str">
        <f t="shared" si="285"/>
        <v/>
      </c>
      <c r="U358" s="118">
        <f t="shared" si="286"/>
        <v>0</v>
      </c>
      <c r="V358" s="117">
        <f t="shared" si="287"/>
        <v>0</v>
      </c>
      <c r="W358" s="117">
        <f t="shared" si="288"/>
        <v>2</v>
      </c>
      <c r="X358" s="117">
        <f t="shared" si="289"/>
        <v>-1</v>
      </c>
      <c r="Y358" s="117">
        <f t="shared" si="290"/>
        <v>0</v>
      </c>
      <c r="Z358" s="117">
        <f t="shared" si="291"/>
        <v>0</v>
      </c>
      <c r="AA358" s="117">
        <f t="shared" si="292"/>
        <v>0</v>
      </c>
      <c r="AC358" s="121" t="str">
        <f t="shared" si="293"/>
        <v/>
      </c>
      <c r="AD358" s="118">
        <f t="shared" si="294"/>
        <v>0</v>
      </c>
      <c r="AE358" s="117">
        <f t="shared" si="295"/>
        <v>0</v>
      </c>
      <c r="AF358" s="117">
        <f t="shared" si="296"/>
        <v>1</v>
      </c>
      <c r="AG358" s="117">
        <f t="shared" si="297"/>
        <v>3</v>
      </c>
      <c r="AH358" s="117">
        <f t="shared" si="298"/>
        <v>0</v>
      </c>
      <c r="AI358" s="117">
        <f t="shared" si="299"/>
        <v>0</v>
      </c>
      <c r="AJ358" s="117">
        <f t="shared" si="300"/>
        <v>0</v>
      </c>
    </row>
    <row r="359" spans="2:36" ht="16.5" customHeight="1">
      <c r="B359" s="14"/>
      <c r="C359" s="14"/>
      <c r="D359" s="4"/>
      <c r="E359" s="4" t="s">
        <v>180</v>
      </c>
      <c r="F359" s="5">
        <v>2</v>
      </c>
      <c r="G359" s="6">
        <v>2</v>
      </c>
      <c r="H359" s="7" t="s">
        <v>224</v>
      </c>
      <c r="I359" s="7"/>
      <c r="J359" s="4"/>
      <c r="K359" s="4" t="s">
        <v>206</v>
      </c>
      <c r="L359" s="5">
        <v>2</v>
      </c>
      <c r="M359" s="6">
        <v>0</v>
      </c>
      <c r="N359" s="7" t="str">
        <f t="shared" si="284"/>
        <v/>
      </c>
      <c r="O359" s="7"/>
      <c r="P359" s="31"/>
      <c r="Q359" s="30"/>
      <c r="T359" s="121" t="str">
        <f t="shared" si="285"/>
        <v/>
      </c>
      <c r="U359" s="118">
        <f t="shared" si="286"/>
        <v>0</v>
      </c>
      <c r="V359" s="117">
        <f t="shared" si="287"/>
        <v>0</v>
      </c>
      <c r="W359" s="117">
        <f t="shared" si="288"/>
        <v>0</v>
      </c>
      <c r="X359" s="117">
        <f t="shared" si="289"/>
        <v>0</v>
      </c>
      <c r="Y359" s="117">
        <f t="shared" si="290"/>
        <v>3</v>
      </c>
      <c r="Z359" s="117">
        <f t="shared" si="291"/>
        <v>1</v>
      </c>
      <c r="AA359" s="117">
        <f t="shared" si="292"/>
        <v>0</v>
      </c>
      <c r="AC359" s="121" t="str">
        <f t="shared" si="293"/>
        <v/>
      </c>
      <c r="AD359" s="118">
        <f t="shared" si="294"/>
        <v>0</v>
      </c>
      <c r="AE359" s="117">
        <f t="shared" si="295"/>
        <v>0</v>
      </c>
      <c r="AF359" s="117">
        <f t="shared" si="296"/>
        <v>1</v>
      </c>
      <c r="AG359" s="117">
        <f t="shared" si="297"/>
        <v>2</v>
      </c>
      <c r="AH359" s="117">
        <f t="shared" si="298"/>
        <v>0</v>
      </c>
      <c r="AI359" s="117">
        <f t="shared" si="299"/>
        <v>0</v>
      </c>
      <c r="AJ359" s="117">
        <f t="shared" si="300"/>
        <v>0</v>
      </c>
    </row>
    <row r="360" spans="2:36" ht="16.5" customHeight="1">
      <c r="B360" s="14"/>
      <c r="C360" s="14"/>
      <c r="D360" s="8"/>
      <c r="E360" s="9" t="s">
        <v>181</v>
      </c>
      <c r="F360" s="5">
        <v>2</v>
      </c>
      <c r="G360" s="6">
        <v>0</v>
      </c>
      <c r="H360" s="7" t="s">
        <v>224</v>
      </c>
      <c r="I360" s="10"/>
      <c r="J360" s="8"/>
      <c r="K360" s="9" t="s">
        <v>207</v>
      </c>
      <c r="L360" s="5">
        <v>1</v>
      </c>
      <c r="M360" s="6">
        <v>0</v>
      </c>
      <c r="N360" s="7" t="str">
        <f t="shared" si="284"/>
        <v/>
      </c>
      <c r="O360" s="10"/>
      <c r="P360" s="31"/>
      <c r="Q360" s="30"/>
      <c r="T360" s="121" t="str">
        <f t="shared" si="285"/>
        <v/>
      </c>
      <c r="U360" s="118">
        <f t="shared" si="286"/>
        <v>0</v>
      </c>
      <c r="V360" s="117">
        <f t="shared" si="287"/>
        <v>0</v>
      </c>
      <c r="W360" s="117">
        <f t="shared" si="288"/>
        <v>1</v>
      </c>
      <c r="X360" s="117">
        <f t="shared" si="289"/>
        <v>2</v>
      </c>
      <c r="Y360" s="117">
        <f t="shared" si="290"/>
        <v>0</v>
      </c>
      <c r="Z360" s="117">
        <f t="shared" si="291"/>
        <v>0</v>
      </c>
      <c r="AA360" s="117">
        <f t="shared" si="292"/>
        <v>0</v>
      </c>
      <c r="AC360" s="121" t="str">
        <f t="shared" si="293"/>
        <v/>
      </c>
      <c r="AD360" s="118">
        <f t="shared" si="294"/>
        <v>0</v>
      </c>
      <c r="AE360" s="117">
        <f t="shared" si="295"/>
        <v>0</v>
      </c>
      <c r="AF360" s="117">
        <f t="shared" si="296"/>
        <v>1</v>
      </c>
      <c r="AG360" s="117">
        <f t="shared" si="297"/>
        <v>1</v>
      </c>
      <c r="AH360" s="117">
        <f t="shared" si="298"/>
        <v>0</v>
      </c>
      <c r="AI360" s="117">
        <f t="shared" si="299"/>
        <v>0</v>
      </c>
      <c r="AJ360" s="117">
        <f t="shared" si="300"/>
        <v>0</v>
      </c>
    </row>
    <row r="361" spans="2:36" ht="16.5" customHeight="1">
      <c r="B361" s="11"/>
      <c r="C361" s="11" t="s">
        <v>9</v>
      </c>
      <c r="D361" s="4"/>
      <c r="E361" s="4" t="s">
        <v>182</v>
      </c>
      <c r="F361" s="5">
        <v>2</v>
      </c>
      <c r="G361" s="6">
        <v>1</v>
      </c>
      <c r="H361" s="7" t="s">
        <v>224</v>
      </c>
      <c r="I361" s="7"/>
      <c r="J361" s="4"/>
      <c r="K361" s="4" t="s">
        <v>208</v>
      </c>
      <c r="L361" s="5">
        <v>1</v>
      </c>
      <c r="M361" s="6">
        <v>0</v>
      </c>
      <c r="N361" s="7" t="str">
        <f t="shared" si="284"/>
        <v/>
      </c>
      <c r="O361" s="7"/>
      <c r="P361" s="36" t="s">
        <v>25</v>
      </c>
      <c r="Q361" s="35"/>
      <c r="T361" s="121" t="str">
        <f t="shared" si="285"/>
        <v/>
      </c>
      <c r="U361" s="118">
        <f t="shared" si="286"/>
        <v>0</v>
      </c>
      <c r="V361" s="117">
        <f t="shared" si="287"/>
        <v>0</v>
      </c>
      <c r="W361" s="117">
        <f t="shared" si="288"/>
        <v>1</v>
      </c>
      <c r="X361" s="117">
        <f t="shared" si="289"/>
        <v>1</v>
      </c>
      <c r="Y361" s="117">
        <f t="shared" si="290"/>
        <v>0</v>
      </c>
      <c r="Z361" s="117">
        <f t="shared" si="291"/>
        <v>0</v>
      </c>
      <c r="AA361" s="117">
        <f t="shared" si="292"/>
        <v>0</v>
      </c>
      <c r="AC361" s="121" t="str">
        <f t="shared" si="293"/>
        <v/>
      </c>
      <c r="AD361" s="118">
        <f t="shared" si="294"/>
        <v>0</v>
      </c>
      <c r="AE361" s="117">
        <f t="shared" si="295"/>
        <v>0</v>
      </c>
      <c r="AF361" s="117">
        <f t="shared" si="296"/>
        <v>1</v>
      </c>
      <c r="AG361" s="117">
        <f t="shared" si="297"/>
        <v>1</v>
      </c>
      <c r="AH361" s="117">
        <f t="shared" si="298"/>
        <v>0</v>
      </c>
      <c r="AI361" s="117">
        <f t="shared" si="299"/>
        <v>0</v>
      </c>
      <c r="AJ361" s="117">
        <f t="shared" si="300"/>
        <v>0</v>
      </c>
    </row>
    <row r="362" spans="2:36" ht="16.5" customHeight="1">
      <c r="B362" s="11"/>
      <c r="C362" s="11"/>
      <c r="D362" s="8"/>
      <c r="E362" s="9" t="s">
        <v>183</v>
      </c>
      <c r="F362" s="5">
        <v>2</v>
      </c>
      <c r="G362" s="6">
        <v>1</v>
      </c>
      <c r="H362" s="7" t="s">
        <v>224</v>
      </c>
      <c r="I362" s="10"/>
      <c r="J362" s="8"/>
      <c r="K362" s="9" t="s">
        <v>209</v>
      </c>
      <c r="L362" s="5">
        <v>1</v>
      </c>
      <c r="M362" s="6">
        <v>2</v>
      </c>
      <c r="N362" s="7" t="str">
        <f t="shared" si="284"/>
        <v/>
      </c>
      <c r="O362" s="10"/>
      <c r="P362" s="36"/>
      <c r="Q362" s="35"/>
      <c r="T362" s="121" t="str">
        <f t="shared" si="285"/>
        <v/>
      </c>
      <c r="U362" s="118">
        <f t="shared" si="286"/>
        <v>0</v>
      </c>
      <c r="V362" s="117">
        <f t="shared" si="287"/>
        <v>0</v>
      </c>
      <c r="W362" s="117">
        <f t="shared" si="288"/>
        <v>1</v>
      </c>
      <c r="X362" s="117">
        <f t="shared" si="289"/>
        <v>1</v>
      </c>
      <c r="Y362" s="117">
        <f t="shared" si="290"/>
        <v>0</v>
      </c>
      <c r="Z362" s="117">
        <f t="shared" si="291"/>
        <v>0</v>
      </c>
      <c r="AA362" s="117">
        <f t="shared" si="292"/>
        <v>0</v>
      </c>
      <c r="AC362" s="121" t="str">
        <f t="shared" si="293"/>
        <v/>
      </c>
      <c r="AD362" s="118">
        <f t="shared" si="294"/>
        <v>0</v>
      </c>
      <c r="AE362" s="117">
        <f t="shared" si="295"/>
        <v>0</v>
      </c>
      <c r="AF362" s="117">
        <f t="shared" si="296"/>
        <v>2</v>
      </c>
      <c r="AG362" s="117">
        <f t="shared" si="297"/>
        <v>-1</v>
      </c>
      <c r="AH362" s="117">
        <f t="shared" si="298"/>
        <v>0</v>
      </c>
      <c r="AI362" s="117">
        <f t="shared" si="299"/>
        <v>0</v>
      </c>
      <c r="AJ362" s="117">
        <f t="shared" si="300"/>
        <v>0</v>
      </c>
    </row>
    <row r="363" spans="2:36" ht="16.5" customHeight="1">
      <c r="B363" s="11"/>
      <c r="C363" s="11"/>
      <c r="D363" s="4"/>
      <c r="E363" s="4" t="s">
        <v>184</v>
      </c>
      <c r="F363" s="5">
        <v>1</v>
      </c>
      <c r="G363" s="6">
        <v>0</v>
      </c>
      <c r="H363" s="7" t="s">
        <v>224</v>
      </c>
      <c r="I363" s="7"/>
      <c r="J363" s="4"/>
      <c r="K363" s="4" t="s">
        <v>210</v>
      </c>
      <c r="L363" s="5">
        <v>1</v>
      </c>
      <c r="M363" s="6">
        <v>1</v>
      </c>
      <c r="N363" s="7" t="str">
        <f t="shared" si="284"/>
        <v/>
      </c>
      <c r="O363" s="7"/>
      <c r="P363" s="36"/>
      <c r="Q363" s="35"/>
      <c r="T363" s="121" t="str">
        <f t="shared" si="285"/>
        <v/>
      </c>
      <c r="U363" s="118">
        <f t="shared" si="286"/>
        <v>0</v>
      </c>
      <c r="V363" s="117">
        <f t="shared" si="287"/>
        <v>0</v>
      </c>
      <c r="W363" s="117">
        <f t="shared" si="288"/>
        <v>1</v>
      </c>
      <c r="X363" s="117">
        <f t="shared" si="289"/>
        <v>1</v>
      </c>
      <c r="Y363" s="117">
        <f t="shared" si="290"/>
        <v>0</v>
      </c>
      <c r="Z363" s="117">
        <f t="shared" si="291"/>
        <v>0</v>
      </c>
      <c r="AA363" s="117">
        <f t="shared" si="292"/>
        <v>0</v>
      </c>
      <c r="AC363" s="121" t="str">
        <f t="shared" si="293"/>
        <v/>
      </c>
      <c r="AD363" s="118">
        <f t="shared" si="294"/>
        <v>0</v>
      </c>
      <c r="AE363" s="117">
        <f t="shared" si="295"/>
        <v>0</v>
      </c>
      <c r="AF363" s="117">
        <f t="shared" si="296"/>
        <v>0</v>
      </c>
      <c r="AG363" s="117">
        <f t="shared" si="297"/>
        <v>0</v>
      </c>
      <c r="AH363" s="117">
        <f t="shared" si="298"/>
        <v>3</v>
      </c>
      <c r="AI363" s="117">
        <f t="shared" si="299"/>
        <v>1</v>
      </c>
      <c r="AJ363" s="117">
        <f t="shared" si="300"/>
        <v>0</v>
      </c>
    </row>
    <row r="364" spans="2:36" ht="16.5" customHeight="1">
      <c r="B364" s="11"/>
      <c r="C364" s="11"/>
      <c r="D364" s="8"/>
      <c r="E364" s="9" t="s">
        <v>222</v>
      </c>
      <c r="F364" s="5">
        <v>2</v>
      </c>
      <c r="G364" s="6">
        <v>0</v>
      </c>
      <c r="H364" s="7" t="s">
        <v>224</v>
      </c>
      <c r="I364" s="10"/>
      <c r="J364" s="8"/>
      <c r="K364" s="9" t="s">
        <v>211</v>
      </c>
      <c r="L364" s="5">
        <v>0</v>
      </c>
      <c r="M364" s="6">
        <v>0</v>
      </c>
      <c r="N364" s="7" t="str">
        <f t="shared" si="284"/>
        <v/>
      </c>
      <c r="O364" s="10"/>
      <c r="P364" s="36"/>
      <c r="Q364" s="35"/>
      <c r="T364" s="121" t="str">
        <f t="shared" si="285"/>
        <v/>
      </c>
      <c r="U364" s="118">
        <f t="shared" si="286"/>
        <v>0</v>
      </c>
      <c r="V364" s="117">
        <f t="shared" si="287"/>
        <v>0</v>
      </c>
      <c r="W364" s="117">
        <f t="shared" si="288"/>
        <v>1</v>
      </c>
      <c r="X364" s="117">
        <f t="shared" si="289"/>
        <v>2</v>
      </c>
      <c r="Y364" s="117">
        <f t="shared" si="290"/>
        <v>0</v>
      </c>
      <c r="Z364" s="117">
        <f t="shared" si="291"/>
        <v>0</v>
      </c>
      <c r="AA364" s="117">
        <f t="shared" si="292"/>
        <v>0</v>
      </c>
      <c r="AC364" s="121" t="str">
        <f t="shared" si="293"/>
        <v/>
      </c>
      <c r="AD364" s="118">
        <f t="shared" si="294"/>
        <v>0</v>
      </c>
      <c r="AE364" s="117">
        <f t="shared" si="295"/>
        <v>0</v>
      </c>
      <c r="AF364" s="117">
        <f t="shared" si="296"/>
        <v>0</v>
      </c>
      <c r="AG364" s="117">
        <f t="shared" si="297"/>
        <v>0</v>
      </c>
      <c r="AH364" s="117">
        <f t="shared" si="298"/>
        <v>3</v>
      </c>
      <c r="AI364" s="117">
        <f t="shared" si="299"/>
        <v>1</v>
      </c>
      <c r="AJ364" s="117">
        <f t="shared" si="300"/>
        <v>1</v>
      </c>
    </row>
    <row r="365" spans="2:36" ht="16.5" customHeight="1">
      <c r="B365" s="11"/>
      <c r="C365" s="11"/>
      <c r="D365" s="4"/>
      <c r="E365" s="4" t="s">
        <v>185</v>
      </c>
      <c r="F365" s="5">
        <v>1</v>
      </c>
      <c r="G365" s="6">
        <v>0</v>
      </c>
      <c r="H365" s="7" t="s">
        <v>224</v>
      </c>
      <c r="I365" s="7"/>
      <c r="J365" s="4"/>
      <c r="K365" s="4" t="s">
        <v>212</v>
      </c>
      <c r="L365" s="5">
        <v>2</v>
      </c>
      <c r="M365" s="6">
        <v>0</v>
      </c>
      <c r="N365" s="7" t="str">
        <f t="shared" si="284"/>
        <v/>
      </c>
      <c r="O365" s="7"/>
      <c r="P365" s="36"/>
      <c r="Q365" s="35"/>
      <c r="T365" s="121" t="str">
        <f t="shared" si="285"/>
        <v/>
      </c>
      <c r="U365" s="118">
        <f t="shared" si="286"/>
        <v>0</v>
      </c>
      <c r="V365" s="117">
        <f t="shared" si="287"/>
        <v>0</v>
      </c>
      <c r="W365" s="117">
        <f t="shared" si="288"/>
        <v>1</v>
      </c>
      <c r="X365" s="117">
        <f t="shared" si="289"/>
        <v>1</v>
      </c>
      <c r="Y365" s="117">
        <f t="shared" si="290"/>
        <v>0</v>
      </c>
      <c r="Z365" s="117">
        <f t="shared" si="291"/>
        <v>0</v>
      </c>
      <c r="AA365" s="117">
        <f t="shared" si="292"/>
        <v>0</v>
      </c>
      <c r="AC365" s="121" t="str">
        <f t="shared" si="293"/>
        <v/>
      </c>
      <c r="AD365" s="118">
        <f t="shared" si="294"/>
        <v>0</v>
      </c>
      <c r="AE365" s="117">
        <f t="shared" si="295"/>
        <v>0</v>
      </c>
      <c r="AF365" s="117">
        <f t="shared" si="296"/>
        <v>1</v>
      </c>
      <c r="AG365" s="117">
        <f t="shared" si="297"/>
        <v>2</v>
      </c>
      <c r="AH365" s="117">
        <f t="shared" si="298"/>
        <v>0</v>
      </c>
      <c r="AI365" s="117">
        <f t="shared" si="299"/>
        <v>0</v>
      </c>
      <c r="AJ365" s="117">
        <f t="shared" si="300"/>
        <v>0</v>
      </c>
    </row>
    <row r="366" spans="2:36" ht="16.5" customHeight="1">
      <c r="B366" s="11"/>
      <c r="C366" s="11"/>
      <c r="D366" s="8"/>
      <c r="E366" s="9" t="s">
        <v>186</v>
      </c>
      <c r="F366" s="5">
        <v>1</v>
      </c>
      <c r="G366" s="6">
        <v>1</v>
      </c>
      <c r="H366" s="7" t="s">
        <v>224</v>
      </c>
      <c r="I366" s="10"/>
      <c r="J366" s="8"/>
      <c r="K366" s="9" t="s">
        <v>213</v>
      </c>
      <c r="L366" s="5">
        <v>0</v>
      </c>
      <c r="M366" s="6">
        <v>0</v>
      </c>
      <c r="N366" s="7" t="str">
        <f t="shared" si="284"/>
        <v/>
      </c>
      <c r="O366" s="10"/>
      <c r="P366" s="36"/>
      <c r="Q366" s="35"/>
      <c r="T366" s="121" t="str">
        <f t="shared" si="285"/>
        <v/>
      </c>
      <c r="U366" s="118">
        <f t="shared" si="286"/>
        <v>0</v>
      </c>
      <c r="V366" s="117">
        <f t="shared" si="287"/>
        <v>0</v>
      </c>
      <c r="W366" s="117">
        <f t="shared" si="288"/>
        <v>0</v>
      </c>
      <c r="X366" s="117">
        <f t="shared" si="289"/>
        <v>0</v>
      </c>
      <c r="Y366" s="117">
        <f t="shared" si="290"/>
        <v>3</v>
      </c>
      <c r="Z366" s="117">
        <f t="shared" si="291"/>
        <v>1</v>
      </c>
      <c r="AA366" s="117">
        <f t="shared" si="292"/>
        <v>0</v>
      </c>
      <c r="AC366" s="121" t="str">
        <f t="shared" si="293"/>
        <v/>
      </c>
      <c r="AD366" s="118">
        <f t="shared" si="294"/>
        <v>0</v>
      </c>
      <c r="AE366" s="117">
        <f t="shared" si="295"/>
        <v>0</v>
      </c>
      <c r="AF366" s="117">
        <f t="shared" si="296"/>
        <v>0</v>
      </c>
      <c r="AG366" s="117">
        <f t="shared" si="297"/>
        <v>0</v>
      </c>
      <c r="AH366" s="117">
        <f t="shared" si="298"/>
        <v>3</v>
      </c>
      <c r="AI366" s="117">
        <f t="shared" si="299"/>
        <v>1</v>
      </c>
      <c r="AJ366" s="117">
        <f t="shared" si="300"/>
        <v>1</v>
      </c>
    </row>
    <row r="367" spans="2:36" ht="16.5" customHeight="1">
      <c r="B367" s="11"/>
      <c r="C367" s="11"/>
      <c r="D367" s="4"/>
      <c r="E367" s="4" t="s">
        <v>187</v>
      </c>
      <c r="F367" s="5">
        <v>1</v>
      </c>
      <c r="G367" s="6">
        <v>1</v>
      </c>
      <c r="H367" s="7" t="s">
        <v>224</v>
      </c>
      <c r="I367" s="7"/>
      <c r="J367" s="4"/>
      <c r="K367" s="4" t="s">
        <v>214</v>
      </c>
      <c r="L367" s="5">
        <v>1</v>
      </c>
      <c r="M367" s="6">
        <v>0</v>
      </c>
      <c r="N367" s="7" t="str">
        <f t="shared" si="284"/>
        <v/>
      </c>
      <c r="O367" s="7"/>
      <c r="P367" s="36"/>
      <c r="Q367" s="35"/>
      <c r="T367" s="121" t="str">
        <f t="shared" si="285"/>
        <v/>
      </c>
      <c r="U367" s="118">
        <f t="shared" si="286"/>
        <v>0</v>
      </c>
      <c r="V367" s="117">
        <f t="shared" si="287"/>
        <v>0</v>
      </c>
      <c r="W367" s="117">
        <f t="shared" si="288"/>
        <v>0</v>
      </c>
      <c r="X367" s="117">
        <f t="shared" si="289"/>
        <v>0</v>
      </c>
      <c r="Y367" s="117">
        <f t="shared" si="290"/>
        <v>3</v>
      </c>
      <c r="Z367" s="117">
        <f t="shared" si="291"/>
        <v>1</v>
      </c>
      <c r="AA367" s="117">
        <f t="shared" si="292"/>
        <v>0</v>
      </c>
      <c r="AC367" s="121" t="str">
        <f t="shared" si="293"/>
        <v/>
      </c>
      <c r="AD367" s="118">
        <f t="shared" si="294"/>
        <v>0</v>
      </c>
      <c r="AE367" s="117">
        <f t="shared" si="295"/>
        <v>0</v>
      </c>
      <c r="AF367" s="117">
        <f t="shared" si="296"/>
        <v>1</v>
      </c>
      <c r="AG367" s="117">
        <f t="shared" si="297"/>
        <v>1</v>
      </c>
      <c r="AH367" s="117">
        <f t="shared" si="298"/>
        <v>0</v>
      </c>
      <c r="AI367" s="117">
        <f t="shared" si="299"/>
        <v>0</v>
      </c>
      <c r="AJ367" s="117">
        <f t="shared" si="300"/>
        <v>0</v>
      </c>
    </row>
    <row r="368" spans="2:36" ht="16.5" customHeight="1">
      <c r="B368" s="15"/>
      <c r="C368" s="15" t="s">
        <v>10</v>
      </c>
      <c r="D368" s="8"/>
      <c r="E368" s="9" t="s">
        <v>188</v>
      </c>
      <c r="F368" s="5">
        <v>1</v>
      </c>
      <c r="G368" s="6">
        <v>0</v>
      </c>
      <c r="H368" s="7" t="s">
        <v>224</v>
      </c>
      <c r="I368" s="10"/>
      <c r="J368" s="8"/>
      <c r="K368" s="9" t="s">
        <v>215</v>
      </c>
      <c r="L368" s="5">
        <v>1</v>
      </c>
      <c r="M368" s="6">
        <v>0</v>
      </c>
      <c r="N368" s="7" t="str">
        <f t="shared" si="284"/>
        <v/>
      </c>
      <c r="O368" s="10"/>
      <c r="P368" s="39" t="s">
        <v>26</v>
      </c>
      <c r="Q368" s="38"/>
      <c r="T368" s="121" t="str">
        <f t="shared" si="285"/>
        <v/>
      </c>
      <c r="U368" s="118">
        <f t="shared" si="286"/>
        <v>0</v>
      </c>
      <c r="V368" s="117">
        <f t="shared" si="287"/>
        <v>0</v>
      </c>
      <c r="W368" s="117">
        <f t="shared" si="288"/>
        <v>1</v>
      </c>
      <c r="X368" s="117">
        <f t="shared" si="289"/>
        <v>1</v>
      </c>
      <c r="Y368" s="117">
        <f t="shared" si="290"/>
        <v>0</v>
      </c>
      <c r="Z368" s="117">
        <f t="shared" si="291"/>
        <v>0</v>
      </c>
      <c r="AA368" s="117">
        <f t="shared" si="292"/>
        <v>0</v>
      </c>
      <c r="AC368" s="121" t="str">
        <f t="shared" si="293"/>
        <v/>
      </c>
      <c r="AD368" s="118">
        <f t="shared" si="294"/>
        <v>0</v>
      </c>
      <c r="AE368" s="117">
        <f t="shared" si="295"/>
        <v>0</v>
      </c>
      <c r="AF368" s="117">
        <f t="shared" si="296"/>
        <v>1</v>
      </c>
      <c r="AG368" s="117">
        <f t="shared" si="297"/>
        <v>1</v>
      </c>
      <c r="AH368" s="117">
        <f t="shared" si="298"/>
        <v>0</v>
      </c>
      <c r="AI368" s="117">
        <f t="shared" si="299"/>
        <v>0</v>
      </c>
      <c r="AJ368" s="117">
        <f t="shared" si="300"/>
        <v>0</v>
      </c>
    </row>
    <row r="369" spans="2:36" ht="16.5" customHeight="1">
      <c r="B369" s="15"/>
      <c r="C369" s="15"/>
      <c r="D369" s="4"/>
      <c r="E369" s="4" t="s">
        <v>189</v>
      </c>
      <c r="F369" s="5">
        <v>1</v>
      </c>
      <c r="G369" s="6">
        <v>0</v>
      </c>
      <c r="H369" s="7" t="s">
        <v>224</v>
      </c>
      <c r="I369" s="7"/>
      <c r="J369" s="4"/>
      <c r="K369" s="4" t="s">
        <v>216</v>
      </c>
      <c r="L369" s="5">
        <v>2</v>
      </c>
      <c r="M369" s="6">
        <v>0</v>
      </c>
      <c r="N369" s="7" t="str">
        <f t="shared" si="284"/>
        <v/>
      </c>
      <c r="O369" s="7"/>
      <c r="P369" s="39"/>
      <c r="Q369" s="38"/>
      <c r="T369" s="121" t="str">
        <f t="shared" si="285"/>
        <v/>
      </c>
      <c r="U369" s="118">
        <f t="shared" si="286"/>
        <v>0</v>
      </c>
      <c r="V369" s="117">
        <f t="shared" si="287"/>
        <v>0</v>
      </c>
      <c r="W369" s="117">
        <f t="shared" si="288"/>
        <v>1</v>
      </c>
      <c r="X369" s="117">
        <f t="shared" si="289"/>
        <v>1</v>
      </c>
      <c r="Y369" s="117">
        <f t="shared" si="290"/>
        <v>0</v>
      </c>
      <c r="Z369" s="117">
        <f t="shared" si="291"/>
        <v>0</v>
      </c>
      <c r="AA369" s="117">
        <f t="shared" si="292"/>
        <v>0</v>
      </c>
      <c r="AC369" s="121" t="str">
        <f t="shared" si="293"/>
        <v/>
      </c>
      <c r="AD369" s="118">
        <f t="shared" si="294"/>
        <v>0</v>
      </c>
      <c r="AE369" s="117">
        <f t="shared" si="295"/>
        <v>0</v>
      </c>
      <c r="AF369" s="117">
        <f t="shared" si="296"/>
        <v>1</v>
      </c>
      <c r="AG369" s="117">
        <f t="shared" si="297"/>
        <v>2</v>
      </c>
      <c r="AH369" s="117">
        <f t="shared" si="298"/>
        <v>0</v>
      </c>
      <c r="AI369" s="117">
        <f t="shared" si="299"/>
        <v>0</v>
      </c>
      <c r="AJ369" s="117">
        <f t="shared" si="300"/>
        <v>0</v>
      </c>
    </row>
    <row r="370" spans="2:36" ht="16.5" customHeight="1">
      <c r="B370" s="15"/>
      <c r="C370" s="15"/>
      <c r="D370" s="8"/>
      <c r="E370" s="9" t="s">
        <v>190</v>
      </c>
      <c r="F370" s="5">
        <v>3</v>
      </c>
      <c r="G370" s="6">
        <v>1</v>
      </c>
      <c r="H370" s="7" t="s">
        <v>224</v>
      </c>
      <c r="I370" s="10"/>
      <c r="J370" s="8"/>
      <c r="K370" s="9" t="s">
        <v>217</v>
      </c>
      <c r="L370" s="5">
        <v>1</v>
      </c>
      <c r="M370" s="6">
        <v>0</v>
      </c>
      <c r="N370" s="7" t="str">
        <f t="shared" si="284"/>
        <v/>
      </c>
      <c r="O370" s="10"/>
      <c r="P370" s="39"/>
      <c r="Q370" s="38"/>
      <c r="T370" s="121" t="str">
        <f t="shared" si="285"/>
        <v/>
      </c>
      <c r="U370" s="118">
        <f t="shared" si="286"/>
        <v>0</v>
      </c>
      <c r="V370" s="117">
        <f t="shared" si="287"/>
        <v>0</v>
      </c>
      <c r="W370" s="117">
        <f t="shared" si="288"/>
        <v>1</v>
      </c>
      <c r="X370" s="117">
        <f t="shared" si="289"/>
        <v>2</v>
      </c>
      <c r="Y370" s="117">
        <f t="shared" si="290"/>
        <v>0</v>
      </c>
      <c r="Z370" s="117">
        <f t="shared" si="291"/>
        <v>0</v>
      </c>
      <c r="AA370" s="117">
        <f t="shared" si="292"/>
        <v>0</v>
      </c>
      <c r="AC370" s="121" t="str">
        <f t="shared" si="293"/>
        <v/>
      </c>
      <c r="AD370" s="118">
        <f t="shared" si="294"/>
        <v>0</v>
      </c>
      <c r="AE370" s="117">
        <f t="shared" si="295"/>
        <v>0</v>
      </c>
      <c r="AF370" s="117">
        <f t="shared" si="296"/>
        <v>1</v>
      </c>
      <c r="AG370" s="117">
        <f t="shared" si="297"/>
        <v>1</v>
      </c>
      <c r="AH370" s="117">
        <f t="shared" si="298"/>
        <v>0</v>
      </c>
      <c r="AI370" s="117">
        <f t="shared" si="299"/>
        <v>0</v>
      </c>
      <c r="AJ370" s="117">
        <f t="shared" si="300"/>
        <v>0</v>
      </c>
    </row>
    <row r="371" spans="2:36" ht="16.5" customHeight="1">
      <c r="B371" s="15"/>
      <c r="C371" s="15"/>
      <c r="D371" s="4"/>
      <c r="E371" s="4" t="s">
        <v>191</v>
      </c>
      <c r="F371" s="5">
        <v>1</v>
      </c>
      <c r="G371" s="6">
        <v>0</v>
      </c>
      <c r="H371" s="7" t="s">
        <v>224</v>
      </c>
      <c r="I371" s="7"/>
      <c r="J371" s="4"/>
      <c r="K371" s="4" t="s">
        <v>218</v>
      </c>
      <c r="L371" s="5">
        <v>3</v>
      </c>
      <c r="M371" s="6">
        <v>1</v>
      </c>
      <c r="N371" s="7" t="str">
        <f t="shared" si="284"/>
        <v/>
      </c>
      <c r="O371" s="7"/>
      <c r="P371" s="39"/>
      <c r="Q371" s="38"/>
      <c r="T371" s="121" t="str">
        <f t="shared" si="285"/>
        <v/>
      </c>
      <c r="U371" s="118">
        <f t="shared" si="286"/>
        <v>0</v>
      </c>
      <c r="V371" s="117">
        <f t="shared" si="287"/>
        <v>0</v>
      </c>
      <c r="W371" s="117">
        <f t="shared" si="288"/>
        <v>1</v>
      </c>
      <c r="X371" s="117">
        <f t="shared" si="289"/>
        <v>1</v>
      </c>
      <c r="Y371" s="117">
        <f t="shared" si="290"/>
        <v>0</v>
      </c>
      <c r="Z371" s="117">
        <f t="shared" si="291"/>
        <v>0</v>
      </c>
      <c r="AA371" s="117">
        <f t="shared" si="292"/>
        <v>0</v>
      </c>
      <c r="AC371" s="121" t="str">
        <f t="shared" si="293"/>
        <v/>
      </c>
      <c r="AD371" s="118">
        <f t="shared" si="294"/>
        <v>0</v>
      </c>
      <c r="AE371" s="117">
        <f t="shared" si="295"/>
        <v>0</v>
      </c>
      <c r="AF371" s="117">
        <f t="shared" si="296"/>
        <v>1</v>
      </c>
      <c r="AG371" s="117">
        <f t="shared" si="297"/>
        <v>2</v>
      </c>
      <c r="AH371" s="117">
        <f t="shared" si="298"/>
        <v>0</v>
      </c>
      <c r="AI371" s="117">
        <f t="shared" si="299"/>
        <v>0</v>
      </c>
      <c r="AJ371" s="117">
        <f t="shared" si="300"/>
        <v>0</v>
      </c>
    </row>
    <row r="372" spans="2:36" ht="16.5" customHeight="1">
      <c r="B372" s="15"/>
      <c r="C372" s="15"/>
      <c r="D372" s="8"/>
      <c r="E372" s="9" t="s">
        <v>192</v>
      </c>
      <c r="F372" s="5">
        <v>2</v>
      </c>
      <c r="G372" s="6">
        <v>0</v>
      </c>
      <c r="H372" s="7" t="s">
        <v>224</v>
      </c>
      <c r="I372" s="10"/>
      <c r="J372" s="8"/>
      <c r="K372" s="9" t="s">
        <v>219</v>
      </c>
      <c r="L372" s="5">
        <v>0</v>
      </c>
      <c r="M372" s="6">
        <v>0</v>
      </c>
      <c r="N372" s="7" t="str">
        <f t="shared" si="284"/>
        <v/>
      </c>
      <c r="O372" s="10"/>
      <c r="P372" s="39"/>
      <c r="Q372" s="38"/>
      <c r="T372" s="121" t="str">
        <f t="shared" si="285"/>
        <v/>
      </c>
      <c r="U372" s="118">
        <f t="shared" si="286"/>
        <v>0</v>
      </c>
      <c r="V372" s="117">
        <f t="shared" si="287"/>
        <v>0</v>
      </c>
      <c r="W372" s="117">
        <f t="shared" si="288"/>
        <v>1</v>
      </c>
      <c r="X372" s="117">
        <f t="shared" si="289"/>
        <v>2</v>
      </c>
      <c r="Y372" s="117">
        <f t="shared" si="290"/>
        <v>0</v>
      </c>
      <c r="Z372" s="117">
        <f t="shared" si="291"/>
        <v>0</v>
      </c>
      <c r="AA372" s="117">
        <f t="shared" si="292"/>
        <v>0</v>
      </c>
      <c r="AC372" s="121" t="str">
        <f t="shared" si="293"/>
        <v/>
      </c>
      <c r="AD372" s="118">
        <f t="shared" si="294"/>
        <v>0</v>
      </c>
      <c r="AE372" s="117">
        <f t="shared" si="295"/>
        <v>0</v>
      </c>
      <c r="AF372" s="117">
        <f t="shared" si="296"/>
        <v>0</v>
      </c>
      <c r="AG372" s="117">
        <f t="shared" si="297"/>
        <v>0</v>
      </c>
      <c r="AH372" s="117">
        <f t="shared" si="298"/>
        <v>3</v>
      </c>
      <c r="AI372" s="117">
        <f t="shared" si="299"/>
        <v>1</v>
      </c>
      <c r="AJ372" s="117">
        <f t="shared" si="300"/>
        <v>1</v>
      </c>
    </row>
    <row r="373" spans="2:36" ht="16.5" customHeight="1">
      <c r="B373" s="15"/>
      <c r="C373" s="15"/>
      <c r="D373" s="4"/>
      <c r="E373" s="4" t="s">
        <v>193</v>
      </c>
      <c r="F373" s="5">
        <v>2</v>
      </c>
      <c r="G373" s="6">
        <v>0</v>
      </c>
      <c r="H373" s="7" t="s">
        <v>224</v>
      </c>
      <c r="I373" s="7"/>
      <c r="J373" s="4"/>
      <c r="K373" s="4" t="s">
        <v>220</v>
      </c>
      <c r="L373" s="5">
        <v>2</v>
      </c>
      <c r="M373" s="6">
        <v>1</v>
      </c>
      <c r="N373" s="7" t="str">
        <f t="shared" si="284"/>
        <v/>
      </c>
      <c r="O373" s="7"/>
      <c r="P373" s="39"/>
      <c r="Q373" s="38"/>
      <c r="T373" s="121" t="str">
        <f t="shared" si="285"/>
        <v/>
      </c>
      <c r="U373" s="118">
        <f t="shared" si="286"/>
        <v>0</v>
      </c>
      <c r="V373" s="117">
        <f t="shared" si="287"/>
        <v>0</v>
      </c>
      <c r="W373" s="117">
        <f t="shared" si="288"/>
        <v>1</v>
      </c>
      <c r="X373" s="117">
        <f t="shared" si="289"/>
        <v>2</v>
      </c>
      <c r="Y373" s="117">
        <f t="shared" si="290"/>
        <v>0</v>
      </c>
      <c r="Z373" s="117">
        <f t="shared" si="291"/>
        <v>0</v>
      </c>
      <c r="AA373" s="117">
        <f t="shared" si="292"/>
        <v>0</v>
      </c>
      <c r="AC373" s="121" t="str">
        <f t="shared" si="293"/>
        <v/>
      </c>
      <c r="AD373" s="118">
        <f t="shared" si="294"/>
        <v>0</v>
      </c>
      <c r="AE373" s="117">
        <f t="shared" si="295"/>
        <v>0</v>
      </c>
      <c r="AF373" s="117">
        <f t="shared" si="296"/>
        <v>1</v>
      </c>
      <c r="AG373" s="117">
        <f t="shared" si="297"/>
        <v>1</v>
      </c>
      <c r="AH373" s="117">
        <f t="shared" si="298"/>
        <v>0</v>
      </c>
      <c r="AI373" s="117">
        <f t="shared" si="299"/>
        <v>0</v>
      </c>
      <c r="AJ373" s="117">
        <f t="shared" si="300"/>
        <v>0</v>
      </c>
    </row>
    <row r="374" spans="2:36" ht="16.5" customHeight="1">
      <c r="B374" s="15"/>
      <c r="C374" s="15"/>
      <c r="D374" s="8"/>
      <c r="E374" s="9" t="s">
        <v>194</v>
      </c>
      <c r="F374" s="5">
        <v>2</v>
      </c>
      <c r="G374" s="6">
        <v>0</v>
      </c>
      <c r="H374" s="7" t="s">
        <v>224</v>
      </c>
      <c r="I374" s="10"/>
      <c r="J374" s="8"/>
      <c r="K374" s="9" t="s">
        <v>221</v>
      </c>
      <c r="L374" s="5">
        <v>0</v>
      </c>
      <c r="M374" s="6">
        <v>0</v>
      </c>
      <c r="N374" s="7" t="str">
        <f t="shared" si="284"/>
        <v/>
      </c>
      <c r="O374" s="10"/>
      <c r="P374" s="39"/>
      <c r="Q374" s="38"/>
      <c r="T374" s="121" t="str">
        <f t="shared" si="285"/>
        <v/>
      </c>
      <c r="U374" s="118">
        <f t="shared" si="286"/>
        <v>0</v>
      </c>
      <c r="V374" s="117">
        <f t="shared" si="287"/>
        <v>0</v>
      </c>
      <c r="W374" s="117">
        <f t="shared" si="288"/>
        <v>1</v>
      </c>
      <c r="X374" s="117">
        <f t="shared" si="289"/>
        <v>2</v>
      </c>
      <c r="Y374" s="117">
        <f t="shared" si="290"/>
        <v>0</v>
      </c>
      <c r="Z374" s="117">
        <f t="shared" si="291"/>
        <v>0</v>
      </c>
      <c r="AA374" s="117">
        <f t="shared" si="292"/>
        <v>0</v>
      </c>
      <c r="AC374" s="121" t="str">
        <f t="shared" si="293"/>
        <v/>
      </c>
      <c r="AD374" s="118">
        <f t="shared" si="294"/>
        <v>0</v>
      </c>
      <c r="AE374" s="117">
        <f t="shared" si="295"/>
        <v>0</v>
      </c>
      <c r="AF374" s="117">
        <f t="shared" si="296"/>
        <v>0</v>
      </c>
      <c r="AG374" s="117">
        <f t="shared" si="297"/>
        <v>0</v>
      </c>
      <c r="AH374" s="117">
        <f t="shared" si="298"/>
        <v>3</v>
      </c>
      <c r="AI374" s="117">
        <f t="shared" si="299"/>
        <v>1</v>
      </c>
      <c r="AJ374" s="117">
        <f t="shared" si="300"/>
        <v>1</v>
      </c>
    </row>
    <row r="375" spans="2:36" ht="16.5" customHeight="1">
      <c r="B375" s="33"/>
      <c r="D375" s="52"/>
      <c r="E375" s="55"/>
      <c r="F375" s="56"/>
      <c r="G375" s="143"/>
      <c r="H375" s="143"/>
      <c r="I375" s="56"/>
      <c r="J375" s="82"/>
      <c r="K375" s="82"/>
      <c r="M375" s="87"/>
      <c r="N375" s="88"/>
      <c r="O375" s="88"/>
      <c r="P375" s="89"/>
      <c r="Q375" s="88"/>
      <c r="R375" s="88"/>
    </row>
    <row r="376" spans="2:36" ht="16.5" customHeight="1">
      <c r="K376" s="3"/>
    </row>
    <row r="377" spans="2:36" ht="23.25">
      <c r="B377" s="33" t="s">
        <v>128</v>
      </c>
      <c r="D377" s="52"/>
      <c r="E377" s="55" t="s">
        <v>1</v>
      </c>
      <c r="F377" s="56"/>
      <c r="G377" s="57"/>
      <c r="H377" s="57"/>
      <c r="I377" s="56"/>
      <c r="J377" s="82"/>
      <c r="K377" s="82" t="s">
        <v>75</v>
      </c>
      <c r="M377" s="91"/>
      <c r="N377" s="92"/>
      <c r="O377" s="92"/>
      <c r="P377" s="93"/>
      <c r="Q377" s="92"/>
      <c r="R377" s="92"/>
    </row>
    <row r="378" spans="2:36" ht="16.5" customHeight="1">
      <c r="C378" s="1"/>
      <c r="D378" s="1"/>
      <c r="E378" s="1"/>
      <c r="H378" s="1"/>
      <c r="I378" s="1"/>
      <c r="J378" s="1"/>
      <c r="P378" s="1"/>
    </row>
    <row r="379" spans="2:36" ht="16.5" customHeight="1">
      <c r="B379" s="12"/>
      <c r="C379" s="12" t="s">
        <v>7</v>
      </c>
      <c r="D379" s="4"/>
      <c r="E379" s="4" t="s">
        <v>32</v>
      </c>
      <c r="F379" s="5">
        <v>4</v>
      </c>
      <c r="G379" s="6">
        <v>0</v>
      </c>
      <c r="H379" s="7" t="s">
        <v>224</v>
      </c>
      <c r="I379" s="7"/>
      <c r="J379" s="4"/>
      <c r="K379" s="4" t="s">
        <v>195</v>
      </c>
      <c r="L379" s="5">
        <v>4</v>
      </c>
      <c r="M379" s="6">
        <v>0</v>
      </c>
      <c r="N379" s="7" t="str">
        <f>AC379</f>
        <v/>
      </c>
      <c r="O379" s="7"/>
      <c r="P379" s="24" t="s">
        <v>13</v>
      </c>
      <c r="Q379" s="13"/>
      <c r="T379" s="121" t="str">
        <f>IF($G$377="","",SUM(Y379:AA379))</f>
        <v/>
      </c>
      <c r="U379" s="118">
        <f t="shared" ref="U379" si="301">IF(V379&gt;0,1,IF(V379=0,0,2))</f>
        <v>0</v>
      </c>
      <c r="V379" s="117">
        <f>$G$377-$H$377</f>
        <v>0</v>
      </c>
      <c r="W379" s="117">
        <f t="shared" ref="W379" si="302">IF(X379&gt;0,1,IF(X379=0,0,2))</f>
        <v>1</v>
      </c>
      <c r="X379" s="117">
        <f>F379-G379</f>
        <v>4</v>
      </c>
      <c r="Y379" s="117">
        <f t="shared" ref="Y379" si="303">IF(U379=W379,3,0)</f>
        <v>0</v>
      </c>
      <c r="Z379" s="117">
        <f t="shared" ref="Z379" si="304">IF(V379=X379,1,0)</f>
        <v>0</v>
      </c>
      <c r="AA379" s="117">
        <f>IF(Z379=1,IF($G$377=F379,1,0),0)</f>
        <v>0</v>
      </c>
      <c r="AC379" s="121" t="str">
        <f>IF($G$377="","",SUM(AH379:AJ379))</f>
        <v/>
      </c>
      <c r="AD379" s="118">
        <f t="shared" ref="AD379" si="305">IF(AE379&gt;0,1,IF(AE379=0,0,2))</f>
        <v>0</v>
      </c>
      <c r="AE379" s="117">
        <f>$G$377-$H$377</f>
        <v>0</v>
      </c>
      <c r="AF379" s="117">
        <f t="shared" ref="AF379" si="306">IF(AG379&gt;0,1,IF(AG379=0,0,2))</f>
        <v>1</v>
      </c>
      <c r="AG379" s="117">
        <f>L379-M379</f>
        <v>4</v>
      </c>
      <c r="AH379" s="117">
        <f t="shared" ref="AH379" si="307">IF(AD379=AF379,3,0)</f>
        <v>0</v>
      </c>
      <c r="AI379" s="117">
        <f t="shared" ref="AI379" si="308">IF(AE379=AG379,1,0)</f>
        <v>0</v>
      </c>
      <c r="AJ379" s="117">
        <f>IF(AI379=1,IF($G$377=L379,1,0),0)</f>
        <v>0</v>
      </c>
    </row>
    <row r="380" spans="2:36" ht="16.5" customHeight="1">
      <c r="B380" s="12"/>
      <c r="C380" s="12"/>
      <c r="D380" s="8"/>
      <c r="E380" s="9" t="s">
        <v>170</v>
      </c>
      <c r="F380" s="5">
        <v>3</v>
      </c>
      <c r="G380" s="6">
        <v>0</v>
      </c>
      <c r="H380" s="7" t="s">
        <v>224</v>
      </c>
      <c r="I380" s="10"/>
      <c r="J380" s="8"/>
      <c r="K380" s="9" t="s">
        <v>196</v>
      </c>
      <c r="L380" s="5">
        <v>2</v>
      </c>
      <c r="M380" s="6">
        <v>0</v>
      </c>
      <c r="N380" s="7" t="str">
        <f t="shared" ref="N380:N406" si="309">AC380</f>
        <v/>
      </c>
      <c r="O380" s="10"/>
      <c r="P380" s="24"/>
      <c r="Q380" s="13"/>
      <c r="T380" s="121" t="str">
        <f t="shared" ref="T380:T406" si="310">IF($G$377="","",SUM(Y380:AA380))</f>
        <v/>
      </c>
      <c r="U380" s="118">
        <f t="shared" ref="U380:U406" si="311">IF(V380&gt;0,1,IF(V380=0,0,2))</f>
        <v>0</v>
      </c>
      <c r="V380" s="117">
        <f t="shared" ref="V380:V406" si="312">$G$377-$H$377</f>
        <v>0</v>
      </c>
      <c r="W380" s="117">
        <f t="shared" ref="W380:W406" si="313">IF(X380&gt;0,1,IF(X380=0,0,2))</f>
        <v>1</v>
      </c>
      <c r="X380" s="117">
        <f t="shared" ref="X380:X406" si="314">F380-G380</f>
        <v>3</v>
      </c>
      <c r="Y380" s="117">
        <f t="shared" ref="Y380:Y406" si="315">IF(U380=W380,3,0)</f>
        <v>0</v>
      </c>
      <c r="Z380" s="117">
        <f t="shared" ref="Z380:Z406" si="316">IF(V380=X380,1,0)</f>
        <v>0</v>
      </c>
      <c r="AA380" s="117">
        <f t="shared" ref="AA380:AA406" si="317">IF(Z380=1,IF($G$377=F380,1,0),0)</f>
        <v>0</v>
      </c>
      <c r="AC380" s="121" t="str">
        <f t="shared" ref="AC380:AC406" si="318">IF($G$377="","",SUM(AH380:AJ380))</f>
        <v/>
      </c>
      <c r="AD380" s="118">
        <f t="shared" ref="AD380:AD406" si="319">IF(AE380&gt;0,1,IF(AE380=0,0,2))</f>
        <v>0</v>
      </c>
      <c r="AE380" s="117">
        <f t="shared" ref="AE380:AE406" si="320">$G$377-$H$377</f>
        <v>0</v>
      </c>
      <c r="AF380" s="117">
        <f t="shared" ref="AF380:AF406" si="321">IF(AG380&gt;0,1,IF(AG380=0,0,2))</f>
        <v>1</v>
      </c>
      <c r="AG380" s="117">
        <f t="shared" ref="AG380:AG406" si="322">L380-M380</f>
        <v>2</v>
      </c>
      <c r="AH380" s="117">
        <f t="shared" ref="AH380:AH406" si="323">IF(AD380=AF380,3,0)</f>
        <v>0</v>
      </c>
      <c r="AI380" s="117">
        <f t="shared" ref="AI380:AI406" si="324">IF(AE380=AG380,1,0)</f>
        <v>0</v>
      </c>
      <c r="AJ380" s="117">
        <f t="shared" ref="AJ380:AJ406" si="325">IF(AI380=1,IF($G$377=L380,1,0),0)</f>
        <v>0</v>
      </c>
    </row>
    <row r="381" spans="2:36" ht="16.5" customHeight="1">
      <c r="B381" s="12"/>
      <c r="C381" s="12"/>
      <c r="D381" s="4"/>
      <c r="E381" s="4" t="s">
        <v>171</v>
      </c>
      <c r="F381" s="5">
        <v>4</v>
      </c>
      <c r="G381" s="6">
        <v>0</v>
      </c>
      <c r="H381" s="7" t="s">
        <v>224</v>
      </c>
      <c r="I381" s="7"/>
      <c r="J381" s="4"/>
      <c r="K381" s="4" t="s">
        <v>197</v>
      </c>
      <c r="L381" s="5">
        <v>5</v>
      </c>
      <c r="M381" s="6">
        <v>0</v>
      </c>
      <c r="N381" s="7" t="str">
        <f t="shared" si="309"/>
        <v/>
      </c>
      <c r="O381" s="7"/>
      <c r="P381" s="24"/>
      <c r="Q381" s="13"/>
      <c r="T381" s="121" t="str">
        <f t="shared" si="310"/>
        <v/>
      </c>
      <c r="U381" s="118">
        <f t="shared" si="311"/>
        <v>0</v>
      </c>
      <c r="V381" s="117">
        <f t="shared" si="312"/>
        <v>0</v>
      </c>
      <c r="W381" s="117">
        <f t="shared" si="313"/>
        <v>1</v>
      </c>
      <c r="X381" s="117">
        <f t="shared" si="314"/>
        <v>4</v>
      </c>
      <c r="Y381" s="117">
        <f t="shared" si="315"/>
        <v>0</v>
      </c>
      <c r="Z381" s="117">
        <f t="shared" si="316"/>
        <v>0</v>
      </c>
      <c r="AA381" s="117">
        <f t="shared" si="317"/>
        <v>0</v>
      </c>
      <c r="AC381" s="121" t="str">
        <f t="shared" si="318"/>
        <v/>
      </c>
      <c r="AD381" s="118">
        <f t="shared" si="319"/>
        <v>0</v>
      </c>
      <c r="AE381" s="117">
        <f t="shared" si="320"/>
        <v>0</v>
      </c>
      <c r="AF381" s="117">
        <f t="shared" si="321"/>
        <v>1</v>
      </c>
      <c r="AG381" s="117">
        <f t="shared" si="322"/>
        <v>5</v>
      </c>
      <c r="AH381" s="117">
        <f t="shared" si="323"/>
        <v>0</v>
      </c>
      <c r="AI381" s="117">
        <f t="shared" si="324"/>
        <v>0</v>
      </c>
      <c r="AJ381" s="117">
        <f t="shared" si="325"/>
        <v>0</v>
      </c>
    </row>
    <row r="382" spans="2:36" ht="16.5" customHeight="1">
      <c r="B382" s="12"/>
      <c r="C382" s="12"/>
      <c r="D382" s="8"/>
      <c r="E382" s="9" t="s">
        <v>172</v>
      </c>
      <c r="F382" s="5">
        <v>3</v>
      </c>
      <c r="G382" s="6">
        <v>0</v>
      </c>
      <c r="H382" s="7" t="s">
        <v>224</v>
      </c>
      <c r="I382" s="10"/>
      <c r="J382" s="8"/>
      <c r="K382" s="9" t="s">
        <v>198</v>
      </c>
      <c r="L382" s="5">
        <v>3</v>
      </c>
      <c r="M382" s="6">
        <v>0</v>
      </c>
      <c r="N382" s="7" t="str">
        <f t="shared" si="309"/>
        <v/>
      </c>
      <c r="O382" s="10"/>
      <c r="P382" s="24"/>
      <c r="Q382" s="13"/>
      <c r="T382" s="121" t="str">
        <f t="shared" si="310"/>
        <v/>
      </c>
      <c r="U382" s="118">
        <f t="shared" si="311"/>
        <v>0</v>
      </c>
      <c r="V382" s="117">
        <f t="shared" si="312"/>
        <v>0</v>
      </c>
      <c r="W382" s="117">
        <f t="shared" si="313"/>
        <v>1</v>
      </c>
      <c r="X382" s="117">
        <f t="shared" si="314"/>
        <v>3</v>
      </c>
      <c r="Y382" s="117">
        <f t="shared" si="315"/>
        <v>0</v>
      </c>
      <c r="Z382" s="117">
        <f t="shared" si="316"/>
        <v>0</v>
      </c>
      <c r="AA382" s="117">
        <f t="shared" si="317"/>
        <v>0</v>
      </c>
      <c r="AC382" s="121" t="str">
        <f t="shared" si="318"/>
        <v/>
      </c>
      <c r="AD382" s="118">
        <f t="shared" si="319"/>
        <v>0</v>
      </c>
      <c r="AE382" s="117">
        <f t="shared" si="320"/>
        <v>0</v>
      </c>
      <c r="AF382" s="117">
        <f t="shared" si="321"/>
        <v>1</v>
      </c>
      <c r="AG382" s="117">
        <f t="shared" si="322"/>
        <v>3</v>
      </c>
      <c r="AH382" s="117">
        <f t="shared" si="323"/>
        <v>0</v>
      </c>
      <c r="AI382" s="117">
        <f t="shared" si="324"/>
        <v>0</v>
      </c>
      <c r="AJ382" s="117">
        <f t="shared" si="325"/>
        <v>0</v>
      </c>
    </row>
    <row r="383" spans="2:36" ht="16.5" customHeight="1">
      <c r="B383" s="12"/>
      <c r="C383" s="12"/>
      <c r="D383" s="4"/>
      <c r="E383" s="4" t="s">
        <v>173</v>
      </c>
      <c r="F383" s="5">
        <v>6</v>
      </c>
      <c r="G383" s="6">
        <v>0</v>
      </c>
      <c r="H383" s="7" t="s">
        <v>224</v>
      </c>
      <c r="I383" s="7"/>
      <c r="J383" s="4"/>
      <c r="K383" s="4" t="s">
        <v>199</v>
      </c>
      <c r="L383" s="5">
        <v>3</v>
      </c>
      <c r="M383" s="6">
        <v>0</v>
      </c>
      <c r="N383" s="7" t="str">
        <f t="shared" si="309"/>
        <v/>
      </c>
      <c r="O383" s="7"/>
      <c r="P383" s="24"/>
      <c r="Q383" s="13"/>
      <c r="T383" s="121" t="str">
        <f t="shared" si="310"/>
        <v/>
      </c>
      <c r="U383" s="118">
        <f t="shared" si="311"/>
        <v>0</v>
      </c>
      <c r="V383" s="117">
        <f t="shared" si="312"/>
        <v>0</v>
      </c>
      <c r="W383" s="117">
        <f t="shared" si="313"/>
        <v>1</v>
      </c>
      <c r="X383" s="117">
        <f t="shared" si="314"/>
        <v>6</v>
      </c>
      <c r="Y383" s="117">
        <f t="shared" si="315"/>
        <v>0</v>
      </c>
      <c r="Z383" s="117">
        <f t="shared" si="316"/>
        <v>0</v>
      </c>
      <c r="AA383" s="117">
        <f t="shared" si="317"/>
        <v>0</v>
      </c>
      <c r="AC383" s="121" t="str">
        <f t="shared" si="318"/>
        <v/>
      </c>
      <c r="AD383" s="118">
        <f t="shared" si="319"/>
        <v>0</v>
      </c>
      <c r="AE383" s="117">
        <f t="shared" si="320"/>
        <v>0</v>
      </c>
      <c r="AF383" s="117">
        <f t="shared" si="321"/>
        <v>1</v>
      </c>
      <c r="AG383" s="117">
        <f t="shared" si="322"/>
        <v>3</v>
      </c>
      <c r="AH383" s="117">
        <f t="shared" si="323"/>
        <v>0</v>
      </c>
      <c r="AI383" s="117">
        <f t="shared" si="324"/>
        <v>0</v>
      </c>
      <c r="AJ383" s="117">
        <f t="shared" si="325"/>
        <v>0</v>
      </c>
    </row>
    <row r="384" spans="2:36" ht="16.5" customHeight="1">
      <c r="B384" s="12"/>
      <c r="C384" s="12"/>
      <c r="D384" s="8"/>
      <c r="E384" s="9" t="s">
        <v>174</v>
      </c>
      <c r="F384" s="5">
        <v>3</v>
      </c>
      <c r="G384" s="6">
        <v>0</v>
      </c>
      <c r="H384" s="7" t="s">
        <v>224</v>
      </c>
      <c r="I384" s="10"/>
      <c r="J384" s="8"/>
      <c r="K384" s="9" t="s">
        <v>200</v>
      </c>
      <c r="L384" s="5">
        <v>3</v>
      </c>
      <c r="M384" s="6">
        <v>0</v>
      </c>
      <c r="N384" s="7" t="str">
        <f t="shared" si="309"/>
        <v/>
      </c>
      <c r="O384" s="10"/>
      <c r="P384" s="24"/>
      <c r="Q384" s="13"/>
      <c r="T384" s="121" t="str">
        <f t="shared" si="310"/>
        <v/>
      </c>
      <c r="U384" s="118">
        <f t="shared" si="311"/>
        <v>0</v>
      </c>
      <c r="V384" s="117">
        <f t="shared" si="312"/>
        <v>0</v>
      </c>
      <c r="W384" s="117">
        <f t="shared" si="313"/>
        <v>1</v>
      </c>
      <c r="X384" s="117">
        <f t="shared" si="314"/>
        <v>3</v>
      </c>
      <c r="Y384" s="117">
        <f t="shared" si="315"/>
        <v>0</v>
      </c>
      <c r="Z384" s="117">
        <f t="shared" si="316"/>
        <v>0</v>
      </c>
      <c r="AA384" s="117">
        <f t="shared" si="317"/>
        <v>0</v>
      </c>
      <c r="AC384" s="121" t="str">
        <f t="shared" si="318"/>
        <v/>
      </c>
      <c r="AD384" s="118">
        <f t="shared" si="319"/>
        <v>0</v>
      </c>
      <c r="AE384" s="117">
        <f t="shared" si="320"/>
        <v>0</v>
      </c>
      <c r="AF384" s="117">
        <f t="shared" si="321"/>
        <v>1</v>
      </c>
      <c r="AG384" s="117">
        <f t="shared" si="322"/>
        <v>3</v>
      </c>
      <c r="AH384" s="117">
        <f t="shared" si="323"/>
        <v>0</v>
      </c>
      <c r="AI384" s="117">
        <f t="shared" si="324"/>
        <v>0</v>
      </c>
      <c r="AJ384" s="117">
        <f t="shared" si="325"/>
        <v>0</v>
      </c>
    </row>
    <row r="385" spans="2:36" ht="16.5" customHeight="1">
      <c r="B385" s="12"/>
      <c r="C385" s="12"/>
      <c r="D385" s="4"/>
      <c r="E385" s="4" t="s">
        <v>175</v>
      </c>
      <c r="F385" s="5">
        <v>5</v>
      </c>
      <c r="G385" s="6">
        <v>0</v>
      </c>
      <c r="H385" s="7" t="s">
        <v>224</v>
      </c>
      <c r="I385" s="7"/>
      <c r="J385" s="4"/>
      <c r="K385" s="4" t="s">
        <v>201</v>
      </c>
      <c r="L385" s="5">
        <v>5</v>
      </c>
      <c r="M385" s="6">
        <v>0</v>
      </c>
      <c r="N385" s="7" t="str">
        <f t="shared" si="309"/>
        <v/>
      </c>
      <c r="O385" s="7"/>
      <c r="P385" s="24"/>
      <c r="Q385" s="13"/>
      <c r="T385" s="121" t="str">
        <f t="shared" si="310"/>
        <v/>
      </c>
      <c r="U385" s="118">
        <f t="shared" si="311"/>
        <v>0</v>
      </c>
      <c r="V385" s="117">
        <f t="shared" si="312"/>
        <v>0</v>
      </c>
      <c r="W385" s="117">
        <f t="shared" si="313"/>
        <v>1</v>
      </c>
      <c r="X385" s="117">
        <f t="shared" si="314"/>
        <v>5</v>
      </c>
      <c r="Y385" s="117">
        <f t="shared" si="315"/>
        <v>0</v>
      </c>
      <c r="Z385" s="117">
        <f t="shared" si="316"/>
        <v>0</v>
      </c>
      <c r="AA385" s="117">
        <f t="shared" si="317"/>
        <v>0</v>
      </c>
      <c r="AC385" s="121" t="str">
        <f t="shared" si="318"/>
        <v/>
      </c>
      <c r="AD385" s="118">
        <f t="shared" si="319"/>
        <v>0</v>
      </c>
      <c r="AE385" s="117">
        <f t="shared" si="320"/>
        <v>0</v>
      </c>
      <c r="AF385" s="117">
        <f t="shared" si="321"/>
        <v>1</v>
      </c>
      <c r="AG385" s="117">
        <f t="shared" si="322"/>
        <v>5</v>
      </c>
      <c r="AH385" s="117">
        <f t="shared" si="323"/>
        <v>0</v>
      </c>
      <c r="AI385" s="117">
        <f t="shared" si="324"/>
        <v>0</v>
      </c>
      <c r="AJ385" s="117">
        <f t="shared" si="325"/>
        <v>0</v>
      </c>
    </row>
    <row r="386" spans="2:36" ht="16.5" customHeight="1">
      <c r="B386" s="14"/>
      <c r="C386" s="14" t="s">
        <v>8</v>
      </c>
      <c r="D386" s="8"/>
      <c r="E386" s="9" t="s">
        <v>33</v>
      </c>
      <c r="F386" s="5">
        <v>3</v>
      </c>
      <c r="G386" s="6">
        <v>0</v>
      </c>
      <c r="H386" s="7" t="s">
        <v>224</v>
      </c>
      <c r="I386" s="10"/>
      <c r="J386" s="8"/>
      <c r="K386" s="9" t="s">
        <v>225</v>
      </c>
      <c r="L386" s="5">
        <v>4</v>
      </c>
      <c r="M386" s="6">
        <v>0</v>
      </c>
      <c r="N386" s="7" t="str">
        <f t="shared" si="309"/>
        <v/>
      </c>
      <c r="O386" s="10"/>
      <c r="P386" s="31" t="s">
        <v>16</v>
      </c>
      <c r="Q386" s="30"/>
      <c r="T386" s="121" t="str">
        <f t="shared" si="310"/>
        <v/>
      </c>
      <c r="U386" s="118">
        <f t="shared" si="311"/>
        <v>0</v>
      </c>
      <c r="V386" s="117">
        <f t="shared" si="312"/>
        <v>0</v>
      </c>
      <c r="W386" s="117">
        <f t="shared" si="313"/>
        <v>1</v>
      </c>
      <c r="X386" s="117">
        <f t="shared" si="314"/>
        <v>3</v>
      </c>
      <c r="Y386" s="117">
        <f t="shared" si="315"/>
        <v>0</v>
      </c>
      <c r="Z386" s="117">
        <f t="shared" si="316"/>
        <v>0</v>
      </c>
      <c r="AA386" s="117">
        <f t="shared" si="317"/>
        <v>0</v>
      </c>
      <c r="AC386" s="121" t="str">
        <f t="shared" si="318"/>
        <v/>
      </c>
      <c r="AD386" s="118">
        <f t="shared" si="319"/>
        <v>0</v>
      </c>
      <c r="AE386" s="117">
        <f t="shared" si="320"/>
        <v>0</v>
      </c>
      <c r="AF386" s="117">
        <f t="shared" si="321"/>
        <v>1</v>
      </c>
      <c r="AG386" s="117">
        <f t="shared" si="322"/>
        <v>4</v>
      </c>
      <c r="AH386" s="117">
        <f t="shared" si="323"/>
        <v>0</v>
      </c>
      <c r="AI386" s="117">
        <f t="shared" si="324"/>
        <v>0</v>
      </c>
      <c r="AJ386" s="117">
        <f t="shared" si="325"/>
        <v>0</v>
      </c>
    </row>
    <row r="387" spans="2:36" ht="16.5" customHeight="1">
      <c r="B387" s="14"/>
      <c r="C387" s="14"/>
      <c r="D387" s="4"/>
      <c r="E387" s="4" t="s">
        <v>176</v>
      </c>
      <c r="F387" s="5">
        <v>3</v>
      </c>
      <c r="G387" s="6">
        <v>0</v>
      </c>
      <c r="H387" s="7" t="s">
        <v>224</v>
      </c>
      <c r="I387" s="7"/>
      <c r="J387" s="4"/>
      <c r="K387" s="4" t="s">
        <v>203</v>
      </c>
      <c r="L387" s="5">
        <v>5</v>
      </c>
      <c r="M387" s="6">
        <v>0</v>
      </c>
      <c r="N387" s="7" t="str">
        <f t="shared" si="309"/>
        <v/>
      </c>
      <c r="O387" s="7"/>
      <c r="P387" s="31"/>
      <c r="Q387" s="30"/>
      <c r="T387" s="121" t="str">
        <f t="shared" si="310"/>
        <v/>
      </c>
      <c r="U387" s="118">
        <f t="shared" si="311"/>
        <v>0</v>
      </c>
      <c r="V387" s="117">
        <f t="shared" si="312"/>
        <v>0</v>
      </c>
      <c r="W387" s="117">
        <f t="shared" si="313"/>
        <v>1</v>
      </c>
      <c r="X387" s="117">
        <f t="shared" si="314"/>
        <v>3</v>
      </c>
      <c r="Y387" s="117">
        <f t="shared" si="315"/>
        <v>0</v>
      </c>
      <c r="Z387" s="117">
        <f t="shared" si="316"/>
        <v>0</v>
      </c>
      <c r="AA387" s="117">
        <f t="shared" si="317"/>
        <v>0</v>
      </c>
      <c r="AC387" s="121" t="str">
        <f t="shared" si="318"/>
        <v/>
      </c>
      <c r="AD387" s="118">
        <f t="shared" si="319"/>
        <v>0</v>
      </c>
      <c r="AE387" s="117">
        <f t="shared" si="320"/>
        <v>0</v>
      </c>
      <c r="AF387" s="117">
        <f t="shared" si="321"/>
        <v>1</v>
      </c>
      <c r="AG387" s="117">
        <f t="shared" si="322"/>
        <v>5</v>
      </c>
      <c r="AH387" s="117">
        <f t="shared" si="323"/>
        <v>0</v>
      </c>
      <c r="AI387" s="117">
        <f t="shared" si="324"/>
        <v>0</v>
      </c>
      <c r="AJ387" s="117">
        <f t="shared" si="325"/>
        <v>0</v>
      </c>
    </row>
    <row r="388" spans="2:36" ht="16.5" customHeight="1">
      <c r="B388" s="14"/>
      <c r="C388" s="14"/>
      <c r="D388" s="8"/>
      <c r="E388" s="9" t="s">
        <v>177</v>
      </c>
      <c r="F388" s="5">
        <v>5</v>
      </c>
      <c r="G388" s="6">
        <v>0</v>
      </c>
      <c r="H388" s="7" t="s">
        <v>224</v>
      </c>
      <c r="I388" s="10"/>
      <c r="J388" s="8"/>
      <c r="K388" s="9" t="s">
        <v>204</v>
      </c>
      <c r="L388" s="5">
        <v>4</v>
      </c>
      <c r="M388" s="6">
        <v>0</v>
      </c>
      <c r="N388" s="7" t="str">
        <f t="shared" si="309"/>
        <v/>
      </c>
      <c r="O388" s="10"/>
      <c r="P388" s="31"/>
      <c r="Q388" s="30"/>
      <c r="T388" s="121" t="str">
        <f t="shared" si="310"/>
        <v/>
      </c>
      <c r="U388" s="118">
        <f t="shared" si="311"/>
        <v>0</v>
      </c>
      <c r="V388" s="117">
        <f t="shared" si="312"/>
        <v>0</v>
      </c>
      <c r="W388" s="117">
        <f t="shared" si="313"/>
        <v>1</v>
      </c>
      <c r="X388" s="117">
        <f t="shared" si="314"/>
        <v>5</v>
      </c>
      <c r="Y388" s="117">
        <f t="shared" si="315"/>
        <v>0</v>
      </c>
      <c r="Z388" s="117">
        <f t="shared" si="316"/>
        <v>0</v>
      </c>
      <c r="AA388" s="117">
        <f t="shared" si="317"/>
        <v>0</v>
      </c>
      <c r="AC388" s="121" t="str">
        <f t="shared" si="318"/>
        <v/>
      </c>
      <c r="AD388" s="118">
        <f t="shared" si="319"/>
        <v>0</v>
      </c>
      <c r="AE388" s="117">
        <f t="shared" si="320"/>
        <v>0</v>
      </c>
      <c r="AF388" s="117">
        <f t="shared" si="321"/>
        <v>1</v>
      </c>
      <c r="AG388" s="117">
        <f t="shared" si="322"/>
        <v>4</v>
      </c>
      <c r="AH388" s="117">
        <f t="shared" si="323"/>
        <v>0</v>
      </c>
      <c r="AI388" s="117">
        <f t="shared" si="324"/>
        <v>0</v>
      </c>
      <c r="AJ388" s="117">
        <f t="shared" si="325"/>
        <v>0</v>
      </c>
    </row>
    <row r="389" spans="2:36" ht="16.5" customHeight="1">
      <c r="B389" s="14"/>
      <c r="C389" s="14"/>
      <c r="D389" s="4"/>
      <c r="E389" s="4" t="s">
        <v>178</v>
      </c>
      <c r="F389" s="5">
        <v>3</v>
      </c>
      <c r="G389" s="6">
        <v>0</v>
      </c>
      <c r="H389" s="7" t="s">
        <v>224</v>
      </c>
      <c r="I389" s="7"/>
      <c r="J389" s="4"/>
      <c r="K389" s="4" t="s">
        <v>223</v>
      </c>
      <c r="L389" s="5">
        <v>3</v>
      </c>
      <c r="M389" s="6">
        <v>0</v>
      </c>
      <c r="N389" s="7" t="str">
        <f t="shared" si="309"/>
        <v/>
      </c>
      <c r="O389" s="7"/>
      <c r="P389" s="31"/>
      <c r="Q389" s="30"/>
      <c r="T389" s="121" t="str">
        <f t="shared" si="310"/>
        <v/>
      </c>
      <c r="U389" s="118">
        <f t="shared" si="311"/>
        <v>0</v>
      </c>
      <c r="V389" s="117">
        <f t="shared" si="312"/>
        <v>0</v>
      </c>
      <c r="W389" s="117">
        <f t="shared" si="313"/>
        <v>1</v>
      </c>
      <c r="X389" s="117">
        <f t="shared" si="314"/>
        <v>3</v>
      </c>
      <c r="Y389" s="117">
        <f t="shared" si="315"/>
        <v>0</v>
      </c>
      <c r="Z389" s="117">
        <f t="shared" si="316"/>
        <v>0</v>
      </c>
      <c r="AA389" s="117">
        <f t="shared" si="317"/>
        <v>0</v>
      </c>
      <c r="AC389" s="121" t="str">
        <f t="shared" si="318"/>
        <v/>
      </c>
      <c r="AD389" s="118">
        <f t="shared" si="319"/>
        <v>0</v>
      </c>
      <c r="AE389" s="117">
        <f t="shared" si="320"/>
        <v>0</v>
      </c>
      <c r="AF389" s="117">
        <f t="shared" si="321"/>
        <v>1</v>
      </c>
      <c r="AG389" s="117">
        <f t="shared" si="322"/>
        <v>3</v>
      </c>
      <c r="AH389" s="117">
        <f t="shared" si="323"/>
        <v>0</v>
      </c>
      <c r="AI389" s="117">
        <f t="shared" si="324"/>
        <v>0</v>
      </c>
      <c r="AJ389" s="117">
        <f t="shared" si="325"/>
        <v>0</v>
      </c>
    </row>
    <row r="390" spans="2:36" ht="16.5" customHeight="1">
      <c r="B390" s="14"/>
      <c r="C390" s="14"/>
      <c r="D390" s="8"/>
      <c r="E390" s="9" t="s">
        <v>179</v>
      </c>
      <c r="F390" s="5">
        <v>4</v>
      </c>
      <c r="G390" s="6">
        <v>1</v>
      </c>
      <c r="H390" s="7" t="s">
        <v>224</v>
      </c>
      <c r="I390" s="10"/>
      <c r="J390" s="8"/>
      <c r="K390" s="9" t="s">
        <v>205</v>
      </c>
      <c r="L390" s="5">
        <v>3</v>
      </c>
      <c r="M390" s="6">
        <v>0</v>
      </c>
      <c r="N390" s="7" t="str">
        <f t="shared" si="309"/>
        <v/>
      </c>
      <c r="O390" s="10"/>
      <c r="P390" s="31"/>
      <c r="Q390" s="30"/>
      <c r="T390" s="121" t="str">
        <f t="shared" si="310"/>
        <v/>
      </c>
      <c r="U390" s="118">
        <f t="shared" si="311"/>
        <v>0</v>
      </c>
      <c r="V390" s="117">
        <f t="shared" si="312"/>
        <v>0</v>
      </c>
      <c r="W390" s="117">
        <f t="shared" si="313"/>
        <v>1</v>
      </c>
      <c r="X390" s="117">
        <f t="shared" si="314"/>
        <v>3</v>
      </c>
      <c r="Y390" s="117">
        <f t="shared" si="315"/>
        <v>0</v>
      </c>
      <c r="Z390" s="117">
        <f t="shared" si="316"/>
        <v>0</v>
      </c>
      <c r="AA390" s="117">
        <f t="shared" si="317"/>
        <v>0</v>
      </c>
      <c r="AC390" s="121" t="str">
        <f t="shared" si="318"/>
        <v/>
      </c>
      <c r="AD390" s="118">
        <f t="shared" si="319"/>
        <v>0</v>
      </c>
      <c r="AE390" s="117">
        <f t="shared" si="320"/>
        <v>0</v>
      </c>
      <c r="AF390" s="117">
        <f t="shared" si="321"/>
        <v>1</v>
      </c>
      <c r="AG390" s="117">
        <f t="shared" si="322"/>
        <v>3</v>
      </c>
      <c r="AH390" s="117">
        <f t="shared" si="323"/>
        <v>0</v>
      </c>
      <c r="AI390" s="117">
        <f t="shared" si="324"/>
        <v>0</v>
      </c>
      <c r="AJ390" s="117">
        <f t="shared" si="325"/>
        <v>0</v>
      </c>
    </row>
    <row r="391" spans="2:36" ht="16.5" customHeight="1">
      <c r="B391" s="14"/>
      <c r="C391" s="14"/>
      <c r="D391" s="4"/>
      <c r="E391" s="4" t="s">
        <v>180</v>
      </c>
      <c r="F391" s="5">
        <v>3</v>
      </c>
      <c r="G391" s="6">
        <v>0</v>
      </c>
      <c r="H391" s="7" t="s">
        <v>224</v>
      </c>
      <c r="I391" s="7"/>
      <c r="J391" s="4"/>
      <c r="K391" s="4" t="s">
        <v>206</v>
      </c>
      <c r="L391" s="5">
        <v>4</v>
      </c>
      <c r="M391" s="6">
        <v>0</v>
      </c>
      <c r="N391" s="7" t="str">
        <f t="shared" si="309"/>
        <v/>
      </c>
      <c r="O391" s="7"/>
      <c r="P391" s="31"/>
      <c r="Q391" s="30"/>
      <c r="T391" s="121" t="str">
        <f t="shared" si="310"/>
        <v/>
      </c>
      <c r="U391" s="118">
        <f t="shared" si="311"/>
        <v>0</v>
      </c>
      <c r="V391" s="117">
        <f t="shared" si="312"/>
        <v>0</v>
      </c>
      <c r="W391" s="117">
        <f t="shared" si="313"/>
        <v>1</v>
      </c>
      <c r="X391" s="117">
        <f t="shared" si="314"/>
        <v>3</v>
      </c>
      <c r="Y391" s="117">
        <f t="shared" si="315"/>
        <v>0</v>
      </c>
      <c r="Z391" s="117">
        <f t="shared" si="316"/>
        <v>0</v>
      </c>
      <c r="AA391" s="117">
        <f t="shared" si="317"/>
        <v>0</v>
      </c>
      <c r="AC391" s="121" t="str">
        <f t="shared" si="318"/>
        <v/>
      </c>
      <c r="AD391" s="118">
        <f t="shared" si="319"/>
        <v>0</v>
      </c>
      <c r="AE391" s="117">
        <f t="shared" si="320"/>
        <v>0</v>
      </c>
      <c r="AF391" s="117">
        <f t="shared" si="321"/>
        <v>1</v>
      </c>
      <c r="AG391" s="117">
        <f t="shared" si="322"/>
        <v>4</v>
      </c>
      <c r="AH391" s="117">
        <f t="shared" si="323"/>
        <v>0</v>
      </c>
      <c r="AI391" s="117">
        <f t="shared" si="324"/>
        <v>0</v>
      </c>
      <c r="AJ391" s="117">
        <f t="shared" si="325"/>
        <v>0</v>
      </c>
    </row>
    <row r="392" spans="2:36" ht="16.5" customHeight="1">
      <c r="B392" s="14"/>
      <c r="C392" s="14"/>
      <c r="D392" s="8"/>
      <c r="E392" s="9" t="s">
        <v>181</v>
      </c>
      <c r="F392" s="5">
        <v>3</v>
      </c>
      <c r="G392" s="6">
        <v>0</v>
      </c>
      <c r="H392" s="7" t="s">
        <v>224</v>
      </c>
      <c r="I392" s="10"/>
      <c r="J392" s="8"/>
      <c r="K392" s="9" t="s">
        <v>207</v>
      </c>
      <c r="L392" s="5">
        <v>3</v>
      </c>
      <c r="M392" s="6">
        <v>0</v>
      </c>
      <c r="N392" s="7" t="str">
        <f t="shared" si="309"/>
        <v/>
      </c>
      <c r="O392" s="10"/>
      <c r="P392" s="31"/>
      <c r="Q392" s="30"/>
      <c r="T392" s="121" t="str">
        <f t="shared" si="310"/>
        <v/>
      </c>
      <c r="U392" s="118">
        <f t="shared" si="311"/>
        <v>0</v>
      </c>
      <c r="V392" s="117">
        <f t="shared" si="312"/>
        <v>0</v>
      </c>
      <c r="W392" s="117">
        <f t="shared" si="313"/>
        <v>1</v>
      </c>
      <c r="X392" s="117">
        <f t="shared" si="314"/>
        <v>3</v>
      </c>
      <c r="Y392" s="117">
        <f t="shared" si="315"/>
        <v>0</v>
      </c>
      <c r="Z392" s="117">
        <f t="shared" si="316"/>
        <v>0</v>
      </c>
      <c r="AA392" s="117">
        <f t="shared" si="317"/>
        <v>0</v>
      </c>
      <c r="AC392" s="121" t="str">
        <f t="shared" si="318"/>
        <v/>
      </c>
      <c r="AD392" s="118">
        <f t="shared" si="319"/>
        <v>0</v>
      </c>
      <c r="AE392" s="117">
        <f t="shared" si="320"/>
        <v>0</v>
      </c>
      <c r="AF392" s="117">
        <f t="shared" si="321"/>
        <v>1</v>
      </c>
      <c r="AG392" s="117">
        <f t="shared" si="322"/>
        <v>3</v>
      </c>
      <c r="AH392" s="117">
        <f t="shared" si="323"/>
        <v>0</v>
      </c>
      <c r="AI392" s="117">
        <f t="shared" si="324"/>
        <v>0</v>
      </c>
      <c r="AJ392" s="117">
        <f t="shared" si="325"/>
        <v>0</v>
      </c>
    </row>
    <row r="393" spans="2:36" ht="16.5" customHeight="1">
      <c r="B393" s="11"/>
      <c r="C393" s="11" t="s">
        <v>9</v>
      </c>
      <c r="D393" s="4"/>
      <c r="E393" s="4" t="s">
        <v>182</v>
      </c>
      <c r="F393" s="5">
        <v>3</v>
      </c>
      <c r="G393" s="6">
        <v>0</v>
      </c>
      <c r="H393" s="7" t="s">
        <v>224</v>
      </c>
      <c r="I393" s="7"/>
      <c r="J393" s="4"/>
      <c r="K393" s="4" t="s">
        <v>208</v>
      </c>
      <c r="L393" s="5">
        <v>3</v>
      </c>
      <c r="M393" s="6">
        <v>0</v>
      </c>
      <c r="N393" s="7" t="str">
        <f t="shared" si="309"/>
        <v/>
      </c>
      <c r="O393" s="7"/>
      <c r="P393" s="36" t="s">
        <v>25</v>
      </c>
      <c r="Q393" s="35"/>
      <c r="T393" s="121" t="str">
        <f t="shared" si="310"/>
        <v/>
      </c>
      <c r="U393" s="118">
        <f t="shared" si="311"/>
        <v>0</v>
      </c>
      <c r="V393" s="117">
        <f t="shared" si="312"/>
        <v>0</v>
      </c>
      <c r="W393" s="117">
        <f t="shared" si="313"/>
        <v>1</v>
      </c>
      <c r="X393" s="117">
        <f t="shared" si="314"/>
        <v>3</v>
      </c>
      <c r="Y393" s="117">
        <f t="shared" si="315"/>
        <v>0</v>
      </c>
      <c r="Z393" s="117">
        <f t="shared" si="316"/>
        <v>0</v>
      </c>
      <c r="AA393" s="117">
        <f t="shared" si="317"/>
        <v>0</v>
      </c>
      <c r="AC393" s="121" t="str">
        <f t="shared" si="318"/>
        <v/>
      </c>
      <c r="AD393" s="118">
        <f t="shared" si="319"/>
        <v>0</v>
      </c>
      <c r="AE393" s="117">
        <f t="shared" si="320"/>
        <v>0</v>
      </c>
      <c r="AF393" s="117">
        <f t="shared" si="321"/>
        <v>1</v>
      </c>
      <c r="AG393" s="117">
        <f t="shared" si="322"/>
        <v>3</v>
      </c>
      <c r="AH393" s="117">
        <f t="shared" si="323"/>
        <v>0</v>
      </c>
      <c r="AI393" s="117">
        <f t="shared" si="324"/>
        <v>0</v>
      </c>
      <c r="AJ393" s="117">
        <f t="shared" si="325"/>
        <v>0</v>
      </c>
    </row>
    <row r="394" spans="2:36" ht="16.5" customHeight="1">
      <c r="B394" s="11"/>
      <c r="C394" s="11"/>
      <c r="D394" s="8"/>
      <c r="E394" s="9" t="s">
        <v>183</v>
      </c>
      <c r="F394" s="5">
        <v>4</v>
      </c>
      <c r="G394" s="6">
        <v>1</v>
      </c>
      <c r="H394" s="7" t="s">
        <v>224</v>
      </c>
      <c r="I394" s="10"/>
      <c r="J394" s="8"/>
      <c r="K394" s="9" t="s">
        <v>209</v>
      </c>
      <c r="L394" s="5">
        <v>5</v>
      </c>
      <c r="M394" s="6">
        <v>1</v>
      </c>
      <c r="N394" s="7" t="str">
        <f t="shared" si="309"/>
        <v/>
      </c>
      <c r="O394" s="10"/>
      <c r="P394" s="36"/>
      <c r="Q394" s="35"/>
      <c r="T394" s="121" t="str">
        <f t="shared" si="310"/>
        <v/>
      </c>
      <c r="U394" s="118">
        <f t="shared" si="311"/>
        <v>0</v>
      </c>
      <c r="V394" s="117">
        <f t="shared" si="312"/>
        <v>0</v>
      </c>
      <c r="W394" s="117">
        <f t="shared" si="313"/>
        <v>1</v>
      </c>
      <c r="X394" s="117">
        <f t="shared" si="314"/>
        <v>3</v>
      </c>
      <c r="Y394" s="117">
        <f t="shared" si="315"/>
        <v>0</v>
      </c>
      <c r="Z394" s="117">
        <f t="shared" si="316"/>
        <v>0</v>
      </c>
      <c r="AA394" s="117">
        <f t="shared" si="317"/>
        <v>0</v>
      </c>
      <c r="AC394" s="121" t="str">
        <f t="shared" si="318"/>
        <v/>
      </c>
      <c r="AD394" s="118">
        <f t="shared" si="319"/>
        <v>0</v>
      </c>
      <c r="AE394" s="117">
        <f t="shared" si="320"/>
        <v>0</v>
      </c>
      <c r="AF394" s="117">
        <f t="shared" si="321"/>
        <v>1</v>
      </c>
      <c r="AG394" s="117">
        <f t="shared" si="322"/>
        <v>4</v>
      </c>
      <c r="AH394" s="117">
        <f t="shared" si="323"/>
        <v>0</v>
      </c>
      <c r="AI394" s="117">
        <f t="shared" si="324"/>
        <v>0</v>
      </c>
      <c r="AJ394" s="117">
        <f t="shared" si="325"/>
        <v>0</v>
      </c>
    </row>
    <row r="395" spans="2:36" ht="16.5" customHeight="1">
      <c r="B395" s="11"/>
      <c r="C395" s="11"/>
      <c r="D395" s="4"/>
      <c r="E395" s="4" t="s">
        <v>184</v>
      </c>
      <c r="F395" s="5">
        <v>2</v>
      </c>
      <c r="G395" s="6">
        <v>0</v>
      </c>
      <c r="H395" s="7" t="s">
        <v>224</v>
      </c>
      <c r="I395" s="7"/>
      <c r="J395" s="4"/>
      <c r="K395" s="4" t="s">
        <v>210</v>
      </c>
      <c r="L395" s="5">
        <v>3</v>
      </c>
      <c r="M395" s="6">
        <v>1</v>
      </c>
      <c r="N395" s="7" t="str">
        <f t="shared" si="309"/>
        <v/>
      </c>
      <c r="O395" s="7"/>
      <c r="P395" s="36"/>
      <c r="Q395" s="35"/>
      <c r="T395" s="121" t="str">
        <f t="shared" si="310"/>
        <v/>
      </c>
      <c r="U395" s="118">
        <f t="shared" si="311"/>
        <v>0</v>
      </c>
      <c r="V395" s="117">
        <f t="shared" si="312"/>
        <v>0</v>
      </c>
      <c r="W395" s="117">
        <f t="shared" si="313"/>
        <v>1</v>
      </c>
      <c r="X395" s="117">
        <f t="shared" si="314"/>
        <v>2</v>
      </c>
      <c r="Y395" s="117">
        <f t="shared" si="315"/>
        <v>0</v>
      </c>
      <c r="Z395" s="117">
        <f t="shared" si="316"/>
        <v>0</v>
      </c>
      <c r="AA395" s="117">
        <f t="shared" si="317"/>
        <v>0</v>
      </c>
      <c r="AC395" s="121" t="str">
        <f t="shared" si="318"/>
        <v/>
      </c>
      <c r="AD395" s="118">
        <f t="shared" si="319"/>
        <v>0</v>
      </c>
      <c r="AE395" s="117">
        <f t="shared" si="320"/>
        <v>0</v>
      </c>
      <c r="AF395" s="117">
        <f t="shared" si="321"/>
        <v>1</v>
      </c>
      <c r="AG395" s="117">
        <f t="shared" si="322"/>
        <v>2</v>
      </c>
      <c r="AH395" s="117">
        <f t="shared" si="323"/>
        <v>0</v>
      </c>
      <c r="AI395" s="117">
        <f t="shared" si="324"/>
        <v>0</v>
      </c>
      <c r="AJ395" s="117">
        <f t="shared" si="325"/>
        <v>0</v>
      </c>
    </row>
    <row r="396" spans="2:36" ht="16.5" customHeight="1">
      <c r="B396" s="11"/>
      <c r="C396" s="11"/>
      <c r="D396" s="8"/>
      <c r="E396" s="9" t="s">
        <v>222</v>
      </c>
      <c r="F396" s="5">
        <v>3</v>
      </c>
      <c r="G396" s="6">
        <v>1</v>
      </c>
      <c r="H396" s="7" t="s">
        <v>224</v>
      </c>
      <c r="I396" s="10"/>
      <c r="J396" s="8"/>
      <c r="K396" s="9" t="s">
        <v>211</v>
      </c>
      <c r="L396" s="5">
        <v>3</v>
      </c>
      <c r="M396" s="6">
        <v>0</v>
      </c>
      <c r="N396" s="7" t="str">
        <f t="shared" si="309"/>
        <v/>
      </c>
      <c r="O396" s="10"/>
      <c r="P396" s="36"/>
      <c r="Q396" s="35"/>
      <c r="T396" s="121" t="str">
        <f t="shared" si="310"/>
        <v/>
      </c>
      <c r="U396" s="118">
        <f t="shared" si="311"/>
        <v>0</v>
      </c>
      <c r="V396" s="117">
        <f t="shared" si="312"/>
        <v>0</v>
      </c>
      <c r="W396" s="117">
        <f t="shared" si="313"/>
        <v>1</v>
      </c>
      <c r="X396" s="117">
        <f t="shared" si="314"/>
        <v>2</v>
      </c>
      <c r="Y396" s="117">
        <f t="shared" si="315"/>
        <v>0</v>
      </c>
      <c r="Z396" s="117">
        <f t="shared" si="316"/>
        <v>0</v>
      </c>
      <c r="AA396" s="117">
        <f t="shared" si="317"/>
        <v>0</v>
      </c>
      <c r="AC396" s="121" t="str">
        <f t="shared" si="318"/>
        <v/>
      </c>
      <c r="AD396" s="118">
        <f t="shared" si="319"/>
        <v>0</v>
      </c>
      <c r="AE396" s="117">
        <f t="shared" si="320"/>
        <v>0</v>
      </c>
      <c r="AF396" s="117">
        <f t="shared" si="321"/>
        <v>1</v>
      </c>
      <c r="AG396" s="117">
        <f t="shared" si="322"/>
        <v>3</v>
      </c>
      <c r="AH396" s="117">
        <f t="shared" si="323"/>
        <v>0</v>
      </c>
      <c r="AI396" s="117">
        <f t="shared" si="324"/>
        <v>0</v>
      </c>
      <c r="AJ396" s="117">
        <f t="shared" si="325"/>
        <v>0</v>
      </c>
    </row>
    <row r="397" spans="2:36" ht="16.5" customHeight="1">
      <c r="B397" s="11"/>
      <c r="C397" s="11"/>
      <c r="D397" s="4"/>
      <c r="E397" s="4" t="s">
        <v>185</v>
      </c>
      <c r="F397" s="5">
        <v>5</v>
      </c>
      <c r="G397" s="6">
        <v>0</v>
      </c>
      <c r="H397" s="7" t="s">
        <v>224</v>
      </c>
      <c r="I397" s="7"/>
      <c r="J397" s="4"/>
      <c r="K397" s="4" t="s">
        <v>212</v>
      </c>
      <c r="L397" s="5">
        <v>3</v>
      </c>
      <c r="M397" s="6">
        <v>0</v>
      </c>
      <c r="N397" s="7" t="str">
        <f t="shared" si="309"/>
        <v/>
      </c>
      <c r="O397" s="7"/>
      <c r="P397" s="36"/>
      <c r="Q397" s="35"/>
      <c r="T397" s="121" t="str">
        <f t="shared" si="310"/>
        <v/>
      </c>
      <c r="U397" s="118">
        <f t="shared" si="311"/>
        <v>0</v>
      </c>
      <c r="V397" s="117">
        <f t="shared" si="312"/>
        <v>0</v>
      </c>
      <c r="W397" s="117">
        <f t="shared" si="313"/>
        <v>1</v>
      </c>
      <c r="X397" s="117">
        <f t="shared" si="314"/>
        <v>5</v>
      </c>
      <c r="Y397" s="117">
        <f t="shared" si="315"/>
        <v>0</v>
      </c>
      <c r="Z397" s="117">
        <f t="shared" si="316"/>
        <v>0</v>
      </c>
      <c r="AA397" s="117">
        <f t="shared" si="317"/>
        <v>0</v>
      </c>
      <c r="AC397" s="121" t="str">
        <f t="shared" si="318"/>
        <v/>
      </c>
      <c r="AD397" s="118">
        <f t="shared" si="319"/>
        <v>0</v>
      </c>
      <c r="AE397" s="117">
        <f t="shared" si="320"/>
        <v>0</v>
      </c>
      <c r="AF397" s="117">
        <f t="shared" si="321"/>
        <v>1</v>
      </c>
      <c r="AG397" s="117">
        <f t="shared" si="322"/>
        <v>3</v>
      </c>
      <c r="AH397" s="117">
        <f t="shared" si="323"/>
        <v>0</v>
      </c>
      <c r="AI397" s="117">
        <f t="shared" si="324"/>
        <v>0</v>
      </c>
      <c r="AJ397" s="117">
        <f t="shared" si="325"/>
        <v>0</v>
      </c>
    </row>
    <row r="398" spans="2:36" ht="16.5" customHeight="1">
      <c r="B398" s="11"/>
      <c r="C398" s="11"/>
      <c r="D398" s="8"/>
      <c r="E398" s="9" t="s">
        <v>186</v>
      </c>
      <c r="F398" s="5">
        <v>4</v>
      </c>
      <c r="G398" s="6">
        <v>0</v>
      </c>
      <c r="H398" s="7" t="s">
        <v>224</v>
      </c>
      <c r="I398" s="10"/>
      <c r="J398" s="8"/>
      <c r="K398" s="9" t="s">
        <v>213</v>
      </c>
      <c r="L398" s="5">
        <v>2</v>
      </c>
      <c r="M398" s="6">
        <v>0</v>
      </c>
      <c r="N398" s="7" t="str">
        <f t="shared" si="309"/>
        <v/>
      </c>
      <c r="O398" s="10"/>
      <c r="P398" s="36"/>
      <c r="Q398" s="35"/>
      <c r="T398" s="121" t="str">
        <f t="shared" si="310"/>
        <v/>
      </c>
      <c r="U398" s="118">
        <f t="shared" si="311"/>
        <v>0</v>
      </c>
      <c r="V398" s="117">
        <f t="shared" si="312"/>
        <v>0</v>
      </c>
      <c r="W398" s="117">
        <f t="shared" si="313"/>
        <v>1</v>
      </c>
      <c r="X398" s="117">
        <f t="shared" si="314"/>
        <v>4</v>
      </c>
      <c r="Y398" s="117">
        <f t="shared" si="315"/>
        <v>0</v>
      </c>
      <c r="Z398" s="117">
        <f t="shared" si="316"/>
        <v>0</v>
      </c>
      <c r="AA398" s="117">
        <f t="shared" si="317"/>
        <v>0</v>
      </c>
      <c r="AC398" s="121" t="str">
        <f t="shared" si="318"/>
        <v/>
      </c>
      <c r="AD398" s="118">
        <f t="shared" si="319"/>
        <v>0</v>
      </c>
      <c r="AE398" s="117">
        <f t="shared" si="320"/>
        <v>0</v>
      </c>
      <c r="AF398" s="117">
        <f t="shared" si="321"/>
        <v>1</v>
      </c>
      <c r="AG398" s="117">
        <f t="shared" si="322"/>
        <v>2</v>
      </c>
      <c r="AH398" s="117">
        <f t="shared" si="323"/>
        <v>0</v>
      </c>
      <c r="AI398" s="117">
        <f t="shared" si="324"/>
        <v>0</v>
      </c>
      <c r="AJ398" s="117">
        <f t="shared" si="325"/>
        <v>0</v>
      </c>
    </row>
    <row r="399" spans="2:36" ht="16.5" customHeight="1">
      <c r="B399" s="11"/>
      <c r="C399" s="11"/>
      <c r="D399" s="4"/>
      <c r="E399" s="4" t="s">
        <v>187</v>
      </c>
      <c r="F399" s="5">
        <v>6</v>
      </c>
      <c r="G399" s="6">
        <v>0</v>
      </c>
      <c r="H399" s="7" t="s">
        <v>224</v>
      </c>
      <c r="I399" s="7"/>
      <c r="J399" s="4"/>
      <c r="K399" s="4" t="s">
        <v>214</v>
      </c>
      <c r="L399" s="5">
        <v>3</v>
      </c>
      <c r="M399" s="6">
        <v>0</v>
      </c>
      <c r="N399" s="7" t="str">
        <f t="shared" si="309"/>
        <v/>
      </c>
      <c r="O399" s="7"/>
      <c r="P399" s="36"/>
      <c r="Q399" s="35"/>
      <c r="T399" s="121" t="str">
        <f t="shared" si="310"/>
        <v/>
      </c>
      <c r="U399" s="118">
        <f t="shared" si="311"/>
        <v>0</v>
      </c>
      <c r="V399" s="117">
        <f t="shared" si="312"/>
        <v>0</v>
      </c>
      <c r="W399" s="117">
        <f t="shared" si="313"/>
        <v>1</v>
      </c>
      <c r="X399" s="117">
        <f t="shared" si="314"/>
        <v>6</v>
      </c>
      <c r="Y399" s="117">
        <f t="shared" si="315"/>
        <v>0</v>
      </c>
      <c r="Z399" s="117">
        <f t="shared" si="316"/>
        <v>0</v>
      </c>
      <c r="AA399" s="117">
        <f t="shared" si="317"/>
        <v>0</v>
      </c>
      <c r="AC399" s="121" t="str">
        <f t="shared" si="318"/>
        <v/>
      </c>
      <c r="AD399" s="118">
        <f t="shared" si="319"/>
        <v>0</v>
      </c>
      <c r="AE399" s="117">
        <f t="shared" si="320"/>
        <v>0</v>
      </c>
      <c r="AF399" s="117">
        <f t="shared" si="321"/>
        <v>1</v>
      </c>
      <c r="AG399" s="117">
        <f t="shared" si="322"/>
        <v>3</v>
      </c>
      <c r="AH399" s="117">
        <f t="shared" si="323"/>
        <v>0</v>
      </c>
      <c r="AI399" s="117">
        <f t="shared" si="324"/>
        <v>0</v>
      </c>
      <c r="AJ399" s="117">
        <f t="shared" si="325"/>
        <v>0</v>
      </c>
    </row>
    <row r="400" spans="2:36" ht="16.5" customHeight="1">
      <c r="B400" s="15"/>
      <c r="C400" s="15" t="s">
        <v>10</v>
      </c>
      <c r="D400" s="8"/>
      <c r="E400" s="9" t="s">
        <v>188</v>
      </c>
      <c r="F400" s="5">
        <v>2</v>
      </c>
      <c r="G400" s="6">
        <v>0</v>
      </c>
      <c r="H400" s="7" t="s">
        <v>224</v>
      </c>
      <c r="I400" s="10"/>
      <c r="J400" s="8"/>
      <c r="K400" s="9" t="s">
        <v>215</v>
      </c>
      <c r="L400" s="5">
        <v>3</v>
      </c>
      <c r="M400" s="6">
        <v>0</v>
      </c>
      <c r="N400" s="7" t="str">
        <f t="shared" si="309"/>
        <v/>
      </c>
      <c r="O400" s="10"/>
      <c r="P400" s="39" t="s">
        <v>26</v>
      </c>
      <c r="Q400" s="38"/>
      <c r="T400" s="121" t="str">
        <f t="shared" si="310"/>
        <v/>
      </c>
      <c r="U400" s="118">
        <f t="shared" si="311"/>
        <v>0</v>
      </c>
      <c r="V400" s="117">
        <f t="shared" si="312"/>
        <v>0</v>
      </c>
      <c r="W400" s="117">
        <f t="shared" si="313"/>
        <v>1</v>
      </c>
      <c r="X400" s="117">
        <f t="shared" si="314"/>
        <v>2</v>
      </c>
      <c r="Y400" s="117">
        <f t="shared" si="315"/>
        <v>0</v>
      </c>
      <c r="Z400" s="117">
        <f t="shared" si="316"/>
        <v>0</v>
      </c>
      <c r="AA400" s="117">
        <f t="shared" si="317"/>
        <v>0</v>
      </c>
      <c r="AC400" s="121" t="str">
        <f t="shared" si="318"/>
        <v/>
      </c>
      <c r="AD400" s="118">
        <f t="shared" si="319"/>
        <v>0</v>
      </c>
      <c r="AE400" s="117">
        <f t="shared" si="320"/>
        <v>0</v>
      </c>
      <c r="AF400" s="117">
        <f t="shared" si="321"/>
        <v>1</v>
      </c>
      <c r="AG400" s="117">
        <f t="shared" si="322"/>
        <v>3</v>
      </c>
      <c r="AH400" s="117">
        <f t="shared" si="323"/>
        <v>0</v>
      </c>
      <c r="AI400" s="117">
        <f t="shared" si="324"/>
        <v>0</v>
      </c>
      <c r="AJ400" s="117">
        <f t="shared" si="325"/>
        <v>0</v>
      </c>
    </row>
    <row r="401" spans="2:36" ht="16.5" customHeight="1">
      <c r="B401" s="15"/>
      <c r="C401" s="15"/>
      <c r="D401" s="4"/>
      <c r="E401" s="4" t="s">
        <v>189</v>
      </c>
      <c r="F401" s="5">
        <v>5</v>
      </c>
      <c r="G401" s="6">
        <v>0</v>
      </c>
      <c r="H401" s="7" t="s">
        <v>224</v>
      </c>
      <c r="I401" s="7"/>
      <c r="J401" s="4"/>
      <c r="K401" s="4" t="s">
        <v>216</v>
      </c>
      <c r="L401" s="5">
        <v>3</v>
      </c>
      <c r="M401" s="6">
        <v>0</v>
      </c>
      <c r="N401" s="7" t="str">
        <f t="shared" si="309"/>
        <v/>
      </c>
      <c r="O401" s="7"/>
      <c r="P401" s="39"/>
      <c r="Q401" s="38"/>
      <c r="T401" s="121" t="str">
        <f t="shared" si="310"/>
        <v/>
      </c>
      <c r="U401" s="118">
        <f t="shared" si="311"/>
        <v>0</v>
      </c>
      <c r="V401" s="117">
        <f t="shared" si="312"/>
        <v>0</v>
      </c>
      <c r="W401" s="117">
        <f t="shared" si="313"/>
        <v>1</v>
      </c>
      <c r="X401" s="117">
        <f t="shared" si="314"/>
        <v>5</v>
      </c>
      <c r="Y401" s="117">
        <f t="shared" si="315"/>
        <v>0</v>
      </c>
      <c r="Z401" s="117">
        <f t="shared" si="316"/>
        <v>0</v>
      </c>
      <c r="AA401" s="117">
        <f t="shared" si="317"/>
        <v>0</v>
      </c>
      <c r="AC401" s="121" t="str">
        <f t="shared" si="318"/>
        <v/>
      </c>
      <c r="AD401" s="118">
        <f t="shared" si="319"/>
        <v>0</v>
      </c>
      <c r="AE401" s="117">
        <f t="shared" si="320"/>
        <v>0</v>
      </c>
      <c r="AF401" s="117">
        <f t="shared" si="321"/>
        <v>1</v>
      </c>
      <c r="AG401" s="117">
        <f t="shared" si="322"/>
        <v>3</v>
      </c>
      <c r="AH401" s="117">
        <f t="shared" si="323"/>
        <v>0</v>
      </c>
      <c r="AI401" s="117">
        <f t="shared" si="324"/>
        <v>0</v>
      </c>
      <c r="AJ401" s="117">
        <f t="shared" si="325"/>
        <v>0</v>
      </c>
    </row>
    <row r="402" spans="2:36" ht="16.5" customHeight="1">
      <c r="B402" s="15"/>
      <c r="C402" s="15"/>
      <c r="D402" s="8"/>
      <c r="E402" s="9" t="s">
        <v>190</v>
      </c>
      <c r="F402" s="5">
        <v>4</v>
      </c>
      <c r="G402" s="6">
        <v>0</v>
      </c>
      <c r="H402" s="7" t="s">
        <v>224</v>
      </c>
      <c r="I402" s="10"/>
      <c r="J402" s="8"/>
      <c r="K402" s="9" t="s">
        <v>217</v>
      </c>
      <c r="L402" s="5">
        <v>3</v>
      </c>
      <c r="M402" s="6">
        <v>0</v>
      </c>
      <c r="N402" s="7" t="str">
        <f t="shared" si="309"/>
        <v/>
      </c>
      <c r="O402" s="10"/>
      <c r="P402" s="39"/>
      <c r="Q402" s="38"/>
      <c r="T402" s="121" t="str">
        <f t="shared" si="310"/>
        <v/>
      </c>
      <c r="U402" s="118">
        <f t="shared" si="311"/>
        <v>0</v>
      </c>
      <c r="V402" s="117">
        <f t="shared" si="312"/>
        <v>0</v>
      </c>
      <c r="W402" s="117">
        <f t="shared" si="313"/>
        <v>1</v>
      </c>
      <c r="X402" s="117">
        <f t="shared" si="314"/>
        <v>4</v>
      </c>
      <c r="Y402" s="117">
        <f t="shared" si="315"/>
        <v>0</v>
      </c>
      <c r="Z402" s="117">
        <f t="shared" si="316"/>
        <v>0</v>
      </c>
      <c r="AA402" s="117">
        <f t="shared" si="317"/>
        <v>0</v>
      </c>
      <c r="AC402" s="121" t="str">
        <f t="shared" si="318"/>
        <v/>
      </c>
      <c r="AD402" s="118">
        <f t="shared" si="319"/>
        <v>0</v>
      </c>
      <c r="AE402" s="117">
        <f t="shared" si="320"/>
        <v>0</v>
      </c>
      <c r="AF402" s="117">
        <f t="shared" si="321"/>
        <v>1</v>
      </c>
      <c r="AG402" s="117">
        <f t="shared" si="322"/>
        <v>3</v>
      </c>
      <c r="AH402" s="117">
        <f t="shared" si="323"/>
        <v>0</v>
      </c>
      <c r="AI402" s="117">
        <f t="shared" si="324"/>
        <v>0</v>
      </c>
      <c r="AJ402" s="117">
        <f t="shared" si="325"/>
        <v>0</v>
      </c>
    </row>
    <row r="403" spans="2:36" ht="16.5" customHeight="1">
      <c r="B403" s="15"/>
      <c r="C403" s="15"/>
      <c r="D403" s="4"/>
      <c r="E403" s="4" t="s">
        <v>191</v>
      </c>
      <c r="F403" s="5">
        <v>3</v>
      </c>
      <c r="G403" s="6">
        <v>0</v>
      </c>
      <c r="H403" s="7" t="s">
        <v>224</v>
      </c>
      <c r="I403" s="7"/>
      <c r="J403" s="4"/>
      <c r="K403" s="4" t="s">
        <v>218</v>
      </c>
      <c r="L403" s="5">
        <v>5</v>
      </c>
      <c r="M403" s="6">
        <v>0</v>
      </c>
      <c r="N403" s="7" t="str">
        <f t="shared" si="309"/>
        <v/>
      </c>
      <c r="O403" s="7"/>
      <c r="P403" s="39"/>
      <c r="Q403" s="38"/>
      <c r="T403" s="121" t="str">
        <f t="shared" si="310"/>
        <v/>
      </c>
      <c r="U403" s="118">
        <f t="shared" si="311"/>
        <v>0</v>
      </c>
      <c r="V403" s="117">
        <f t="shared" si="312"/>
        <v>0</v>
      </c>
      <c r="W403" s="117">
        <f t="shared" si="313"/>
        <v>1</v>
      </c>
      <c r="X403" s="117">
        <f t="shared" si="314"/>
        <v>3</v>
      </c>
      <c r="Y403" s="117">
        <f t="shared" si="315"/>
        <v>0</v>
      </c>
      <c r="Z403" s="117">
        <f t="shared" si="316"/>
        <v>0</v>
      </c>
      <c r="AA403" s="117">
        <f t="shared" si="317"/>
        <v>0</v>
      </c>
      <c r="AC403" s="121" t="str">
        <f t="shared" si="318"/>
        <v/>
      </c>
      <c r="AD403" s="118">
        <f t="shared" si="319"/>
        <v>0</v>
      </c>
      <c r="AE403" s="117">
        <f t="shared" si="320"/>
        <v>0</v>
      </c>
      <c r="AF403" s="117">
        <f t="shared" si="321"/>
        <v>1</v>
      </c>
      <c r="AG403" s="117">
        <f t="shared" si="322"/>
        <v>5</v>
      </c>
      <c r="AH403" s="117">
        <f t="shared" si="323"/>
        <v>0</v>
      </c>
      <c r="AI403" s="117">
        <f t="shared" si="324"/>
        <v>0</v>
      </c>
      <c r="AJ403" s="117">
        <f t="shared" si="325"/>
        <v>0</v>
      </c>
    </row>
    <row r="404" spans="2:36" ht="16.5" customHeight="1">
      <c r="B404" s="15"/>
      <c r="C404" s="15"/>
      <c r="D404" s="8"/>
      <c r="E404" s="9" t="s">
        <v>192</v>
      </c>
      <c r="F404" s="5">
        <v>3</v>
      </c>
      <c r="G404" s="6">
        <v>0</v>
      </c>
      <c r="H404" s="7" t="s">
        <v>224</v>
      </c>
      <c r="I404" s="10"/>
      <c r="J404" s="8"/>
      <c r="K404" s="9" t="s">
        <v>219</v>
      </c>
      <c r="L404" s="5">
        <v>3</v>
      </c>
      <c r="M404" s="6">
        <v>0</v>
      </c>
      <c r="N404" s="7" t="str">
        <f t="shared" si="309"/>
        <v/>
      </c>
      <c r="O404" s="10"/>
      <c r="P404" s="39"/>
      <c r="Q404" s="38"/>
      <c r="T404" s="121" t="str">
        <f t="shared" si="310"/>
        <v/>
      </c>
      <c r="U404" s="118">
        <f t="shared" si="311"/>
        <v>0</v>
      </c>
      <c r="V404" s="117">
        <f t="shared" si="312"/>
        <v>0</v>
      </c>
      <c r="W404" s="117">
        <f t="shared" si="313"/>
        <v>1</v>
      </c>
      <c r="X404" s="117">
        <f t="shared" si="314"/>
        <v>3</v>
      </c>
      <c r="Y404" s="117">
        <f t="shared" si="315"/>
        <v>0</v>
      </c>
      <c r="Z404" s="117">
        <f t="shared" si="316"/>
        <v>0</v>
      </c>
      <c r="AA404" s="117">
        <f t="shared" si="317"/>
        <v>0</v>
      </c>
      <c r="AC404" s="121" t="str">
        <f t="shared" si="318"/>
        <v/>
      </c>
      <c r="AD404" s="118">
        <f t="shared" si="319"/>
        <v>0</v>
      </c>
      <c r="AE404" s="117">
        <f t="shared" si="320"/>
        <v>0</v>
      </c>
      <c r="AF404" s="117">
        <f t="shared" si="321"/>
        <v>1</v>
      </c>
      <c r="AG404" s="117">
        <f t="shared" si="322"/>
        <v>3</v>
      </c>
      <c r="AH404" s="117">
        <f t="shared" si="323"/>
        <v>0</v>
      </c>
      <c r="AI404" s="117">
        <f t="shared" si="324"/>
        <v>0</v>
      </c>
      <c r="AJ404" s="117">
        <f t="shared" si="325"/>
        <v>0</v>
      </c>
    </row>
    <row r="405" spans="2:36" ht="16.5" customHeight="1">
      <c r="B405" s="15"/>
      <c r="C405" s="15"/>
      <c r="D405" s="4"/>
      <c r="E405" s="4" t="s">
        <v>193</v>
      </c>
      <c r="F405" s="5">
        <v>3</v>
      </c>
      <c r="G405" s="6">
        <v>0</v>
      </c>
      <c r="H405" s="7" t="s">
        <v>224</v>
      </c>
      <c r="I405" s="7"/>
      <c r="J405" s="4"/>
      <c r="K405" s="4" t="s">
        <v>220</v>
      </c>
      <c r="L405" s="5">
        <v>3</v>
      </c>
      <c r="M405" s="6">
        <v>0</v>
      </c>
      <c r="N405" s="7" t="str">
        <f t="shared" si="309"/>
        <v/>
      </c>
      <c r="O405" s="7"/>
      <c r="P405" s="39"/>
      <c r="Q405" s="38"/>
      <c r="T405" s="121" t="str">
        <f t="shared" si="310"/>
        <v/>
      </c>
      <c r="U405" s="118">
        <f t="shared" si="311"/>
        <v>0</v>
      </c>
      <c r="V405" s="117">
        <f t="shared" si="312"/>
        <v>0</v>
      </c>
      <c r="W405" s="117">
        <f t="shared" si="313"/>
        <v>1</v>
      </c>
      <c r="X405" s="117">
        <f t="shared" si="314"/>
        <v>3</v>
      </c>
      <c r="Y405" s="117">
        <f t="shared" si="315"/>
        <v>0</v>
      </c>
      <c r="Z405" s="117">
        <f t="shared" si="316"/>
        <v>0</v>
      </c>
      <c r="AA405" s="117">
        <f t="shared" si="317"/>
        <v>0</v>
      </c>
      <c r="AC405" s="121" t="str">
        <f t="shared" si="318"/>
        <v/>
      </c>
      <c r="AD405" s="118">
        <f t="shared" si="319"/>
        <v>0</v>
      </c>
      <c r="AE405" s="117">
        <f t="shared" si="320"/>
        <v>0</v>
      </c>
      <c r="AF405" s="117">
        <f t="shared" si="321"/>
        <v>1</v>
      </c>
      <c r="AG405" s="117">
        <f t="shared" si="322"/>
        <v>3</v>
      </c>
      <c r="AH405" s="117">
        <f t="shared" si="323"/>
        <v>0</v>
      </c>
      <c r="AI405" s="117">
        <f t="shared" si="324"/>
        <v>0</v>
      </c>
      <c r="AJ405" s="117">
        <f t="shared" si="325"/>
        <v>0</v>
      </c>
    </row>
    <row r="406" spans="2:36" ht="16.5" customHeight="1">
      <c r="B406" s="15"/>
      <c r="C406" s="15"/>
      <c r="D406" s="8"/>
      <c r="E406" s="9" t="s">
        <v>194</v>
      </c>
      <c r="F406" s="5">
        <v>4</v>
      </c>
      <c r="G406" s="6">
        <v>0</v>
      </c>
      <c r="H406" s="7" t="s">
        <v>224</v>
      </c>
      <c r="I406" s="10"/>
      <c r="J406" s="8"/>
      <c r="K406" s="9" t="s">
        <v>221</v>
      </c>
      <c r="L406" s="5">
        <v>4</v>
      </c>
      <c r="M406" s="6">
        <v>0</v>
      </c>
      <c r="N406" s="7" t="str">
        <f t="shared" si="309"/>
        <v/>
      </c>
      <c r="O406" s="10"/>
      <c r="P406" s="39"/>
      <c r="Q406" s="38"/>
      <c r="T406" s="121" t="str">
        <f t="shared" si="310"/>
        <v/>
      </c>
      <c r="U406" s="118">
        <f t="shared" si="311"/>
        <v>0</v>
      </c>
      <c r="V406" s="117">
        <f t="shared" si="312"/>
        <v>0</v>
      </c>
      <c r="W406" s="117">
        <f t="shared" si="313"/>
        <v>1</v>
      </c>
      <c r="X406" s="117">
        <f t="shared" si="314"/>
        <v>4</v>
      </c>
      <c r="Y406" s="117">
        <f t="shared" si="315"/>
        <v>0</v>
      </c>
      <c r="Z406" s="117">
        <f t="shared" si="316"/>
        <v>0</v>
      </c>
      <c r="AA406" s="117">
        <f t="shared" si="317"/>
        <v>0</v>
      </c>
      <c r="AC406" s="121" t="str">
        <f t="shared" si="318"/>
        <v/>
      </c>
      <c r="AD406" s="118">
        <f t="shared" si="319"/>
        <v>0</v>
      </c>
      <c r="AE406" s="117">
        <f t="shared" si="320"/>
        <v>0</v>
      </c>
      <c r="AF406" s="117">
        <f t="shared" si="321"/>
        <v>1</v>
      </c>
      <c r="AG406" s="117">
        <f t="shared" si="322"/>
        <v>4</v>
      </c>
      <c r="AH406" s="117">
        <f t="shared" si="323"/>
        <v>0</v>
      </c>
      <c r="AI406" s="117">
        <f t="shared" si="324"/>
        <v>0</v>
      </c>
      <c r="AJ406" s="117">
        <f t="shared" si="325"/>
        <v>0</v>
      </c>
    </row>
    <row r="407" spans="2:36" ht="16.5" customHeight="1">
      <c r="K407" s="3"/>
    </row>
    <row r="408" spans="2:36" ht="23.25">
      <c r="B408" s="33" t="s">
        <v>129</v>
      </c>
      <c r="D408" s="52"/>
      <c r="E408" s="55" t="s">
        <v>22</v>
      </c>
      <c r="F408" s="56"/>
      <c r="G408" s="57"/>
      <c r="H408" s="57"/>
      <c r="I408" s="56"/>
      <c r="J408" s="82"/>
      <c r="K408" s="82" t="s">
        <v>76</v>
      </c>
      <c r="M408" s="91"/>
      <c r="N408" s="92"/>
      <c r="O408" s="92"/>
      <c r="P408" s="93"/>
      <c r="Q408" s="92"/>
      <c r="R408" s="92"/>
    </row>
    <row r="409" spans="2:36" ht="16.5" customHeight="1">
      <c r="C409" s="1"/>
      <c r="D409" s="1"/>
      <c r="E409" s="1"/>
      <c r="H409" s="1"/>
      <c r="I409" s="1"/>
      <c r="J409" s="1"/>
      <c r="P409" s="1"/>
    </row>
    <row r="410" spans="2:36" ht="16.5" customHeight="1">
      <c r="B410" s="12"/>
      <c r="C410" s="12" t="s">
        <v>7</v>
      </c>
      <c r="D410" s="4"/>
      <c r="E410" s="4" t="s">
        <v>32</v>
      </c>
      <c r="F410" s="5">
        <v>1</v>
      </c>
      <c r="G410" s="6">
        <v>0</v>
      </c>
      <c r="H410" s="7" t="s">
        <v>224</v>
      </c>
      <c r="I410" s="7"/>
      <c r="J410" s="4"/>
      <c r="K410" s="4" t="s">
        <v>195</v>
      </c>
      <c r="L410" s="5">
        <v>2</v>
      </c>
      <c r="M410" s="6">
        <v>0</v>
      </c>
      <c r="N410" s="7" t="str">
        <f>AC410</f>
        <v/>
      </c>
      <c r="O410" s="7"/>
      <c r="P410" s="24" t="s">
        <v>13</v>
      </c>
      <c r="Q410" s="13"/>
      <c r="T410" s="121" t="str">
        <f>IF($G$408="","",SUM(Y410:AA410))</f>
        <v/>
      </c>
      <c r="U410" s="118">
        <f t="shared" ref="U410" si="326">IF(V410&gt;0,1,IF(V410=0,0,2))</f>
        <v>0</v>
      </c>
      <c r="V410" s="117">
        <f>$G$408-$H$408</f>
        <v>0</v>
      </c>
      <c r="W410" s="117">
        <f t="shared" ref="W410" si="327">IF(X410&gt;0,1,IF(X410=0,0,2))</f>
        <v>1</v>
      </c>
      <c r="X410" s="117">
        <f>F410-G410</f>
        <v>1</v>
      </c>
      <c r="Y410" s="117">
        <f t="shared" ref="Y410" si="328">IF(U410=W410,3,0)</f>
        <v>0</v>
      </c>
      <c r="Z410" s="117">
        <f t="shared" ref="Z410" si="329">IF(V410=X410,1,0)</f>
        <v>0</v>
      </c>
      <c r="AA410" s="117">
        <f>IF(Z410=1,IF($G$408=F410,1,0),0)</f>
        <v>0</v>
      </c>
      <c r="AC410" s="121" t="str">
        <f>IF($G$408="","",SUM(AH410:AJ410))</f>
        <v/>
      </c>
      <c r="AD410" s="118">
        <f t="shared" ref="AD410" si="330">IF(AE410&gt;0,1,IF(AE410=0,0,2))</f>
        <v>0</v>
      </c>
      <c r="AE410" s="117">
        <f>$G$408-$H$408</f>
        <v>0</v>
      </c>
      <c r="AF410" s="117">
        <f t="shared" ref="AF410" si="331">IF(AG410&gt;0,1,IF(AG410=0,0,2))</f>
        <v>1</v>
      </c>
      <c r="AG410" s="117">
        <f>L410-M410</f>
        <v>2</v>
      </c>
      <c r="AH410" s="117">
        <f t="shared" ref="AH410" si="332">IF(AD410=AF410,3,0)</f>
        <v>0</v>
      </c>
      <c r="AI410" s="117">
        <f t="shared" ref="AI410" si="333">IF(AE410=AG410,1,0)</f>
        <v>0</v>
      </c>
      <c r="AJ410" s="117">
        <f>IF(AI410=1,IF($G$408=L410,1,0),0)</f>
        <v>0</v>
      </c>
    </row>
    <row r="411" spans="2:36" ht="16.5" customHeight="1">
      <c r="B411" s="12"/>
      <c r="C411" s="12"/>
      <c r="D411" s="8"/>
      <c r="E411" s="9" t="s">
        <v>170</v>
      </c>
      <c r="F411" s="5">
        <v>1</v>
      </c>
      <c r="G411" s="6">
        <v>1</v>
      </c>
      <c r="H411" s="7" t="s">
        <v>224</v>
      </c>
      <c r="I411" s="10"/>
      <c r="J411" s="8"/>
      <c r="K411" s="9" t="s">
        <v>196</v>
      </c>
      <c r="L411" s="5">
        <v>1</v>
      </c>
      <c r="M411" s="6">
        <v>0</v>
      </c>
      <c r="N411" s="7" t="str">
        <f t="shared" ref="N411:N437" si="334">AC411</f>
        <v/>
      </c>
      <c r="O411" s="10"/>
      <c r="P411" s="24"/>
      <c r="Q411" s="13"/>
      <c r="T411" s="121" t="str">
        <f t="shared" ref="T411:T437" si="335">IF($G$408="","",SUM(Y411:AA411))</f>
        <v/>
      </c>
      <c r="U411" s="118">
        <f t="shared" ref="U411:U437" si="336">IF(V411&gt;0,1,IF(V411=0,0,2))</f>
        <v>0</v>
      </c>
      <c r="V411" s="117">
        <f t="shared" ref="V411:V437" si="337">$G$408-$H$408</f>
        <v>0</v>
      </c>
      <c r="W411" s="117">
        <f t="shared" ref="W411:W437" si="338">IF(X411&gt;0,1,IF(X411=0,0,2))</f>
        <v>0</v>
      </c>
      <c r="X411" s="117">
        <f t="shared" ref="X411:X437" si="339">F411-G411</f>
        <v>0</v>
      </c>
      <c r="Y411" s="117">
        <f t="shared" ref="Y411:Y437" si="340">IF(U411=W411,3,0)</f>
        <v>3</v>
      </c>
      <c r="Z411" s="117">
        <f t="shared" ref="Z411:Z437" si="341">IF(V411=X411,1,0)</f>
        <v>1</v>
      </c>
      <c r="AA411" s="117">
        <f t="shared" ref="AA411:AA437" si="342">IF(Z411=1,IF($G$408=F411,1,0),0)</f>
        <v>0</v>
      </c>
      <c r="AC411" s="121" t="str">
        <f t="shared" ref="AC411:AC437" si="343">IF($G$408="","",SUM(AH411:AJ411))</f>
        <v/>
      </c>
      <c r="AD411" s="118">
        <f t="shared" ref="AD411:AD437" si="344">IF(AE411&gt;0,1,IF(AE411=0,0,2))</f>
        <v>0</v>
      </c>
      <c r="AE411" s="117">
        <f t="shared" ref="AE411:AE437" si="345">$G$408-$H$408</f>
        <v>0</v>
      </c>
      <c r="AF411" s="117">
        <f t="shared" ref="AF411:AF437" si="346">IF(AG411&gt;0,1,IF(AG411=0,0,2))</f>
        <v>1</v>
      </c>
      <c r="AG411" s="117">
        <f t="shared" ref="AG411:AG437" si="347">L411-M411</f>
        <v>1</v>
      </c>
      <c r="AH411" s="117">
        <f t="shared" ref="AH411:AH437" si="348">IF(AD411=AF411,3,0)</f>
        <v>0</v>
      </c>
      <c r="AI411" s="117">
        <f t="shared" ref="AI411:AI437" si="349">IF(AE411=AG411,1,0)</f>
        <v>0</v>
      </c>
      <c r="AJ411" s="117">
        <f t="shared" ref="AJ411:AJ437" si="350">IF(AI411=1,IF($G$408=L411,1,0),0)</f>
        <v>0</v>
      </c>
    </row>
    <row r="412" spans="2:36" ht="16.5" customHeight="1">
      <c r="B412" s="12"/>
      <c r="C412" s="12"/>
      <c r="D412" s="4"/>
      <c r="E412" s="4" t="s">
        <v>171</v>
      </c>
      <c r="F412" s="5">
        <v>2</v>
      </c>
      <c r="G412" s="6">
        <v>0</v>
      </c>
      <c r="H412" s="7" t="s">
        <v>224</v>
      </c>
      <c r="I412" s="7"/>
      <c r="J412" s="4"/>
      <c r="K412" s="4" t="s">
        <v>197</v>
      </c>
      <c r="L412" s="5">
        <v>3</v>
      </c>
      <c r="M412" s="6">
        <v>1</v>
      </c>
      <c r="N412" s="7" t="str">
        <f t="shared" si="334"/>
        <v/>
      </c>
      <c r="O412" s="7"/>
      <c r="P412" s="24"/>
      <c r="Q412" s="13"/>
      <c r="T412" s="121" t="str">
        <f t="shared" si="335"/>
        <v/>
      </c>
      <c r="U412" s="118">
        <f t="shared" si="336"/>
        <v>0</v>
      </c>
      <c r="V412" s="117">
        <f t="shared" si="337"/>
        <v>0</v>
      </c>
      <c r="W412" s="117">
        <f t="shared" si="338"/>
        <v>1</v>
      </c>
      <c r="X412" s="117">
        <f t="shared" si="339"/>
        <v>2</v>
      </c>
      <c r="Y412" s="117">
        <f t="shared" si="340"/>
        <v>0</v>
      </c>
      <c r="Z412" s="117">
        <f t="shared" si="341"/>
        <v>0</v>
      </c>
      <c r="AA412" s="117">
        <f t="shared" si="342"/>
        <v>0</v>
      </c>
      <c r="AC412" s="121" t="str">
        <f t="shared" si="343"/>
        <v/>
      </c>
      <c r="AD412" s="118">
        <f t="shared" si="344"/>
        <v>0</v>
      </c>
      <c r="AE412" s="117">
        <f t="shared" si="345"/>
        <v>0</v>
      </c>
      <c r="AF412" s="117">
        <f t="shared" si="346"/>
        <v>1</v>
      </c>
      <c r="AG412" s="117">
        <f t="shared" si="347"/>
        <v>2</v>
      </c>
      <c r="AH412" s="117">
        <f t="shared" si="348"/>
        <v>0</v>
      </c>
      <c r="AI412" s="117">
        <f t="shared" si="349"/>
        <v>0</v>
      </c>
      <c r="AJ412" s="117">
        <f t="shared" si="350"/>
        <v>0</v>
      </c>
    </row>
    <row r="413" spans="2:36" ht="16.5" customHeight="1">
      <c r="B413" s="12"/>
      <c r="C413" s="12"/>
      <c r="D413" s="8"/>
      <c r="E413" s="9" t="s">
        <v>172</v>
      </c>
      <c r="F413" s="5">
        <v>2</v>
      </c>
      <c r="G413" s="6">
        <v>0</v>
      </c>
      <c r="H413" s="7" t="s">
        <v>224</v>
      </c>
      <c r="I413" s="10"/>
      <c r="J413" s="8"/>
      <c r="K413" s="9" t="s">
        <v>198</v>
      </c>
      <c r="L413" s="5">
        <v>2</v>
      </c>
      <c r="M413" s="6">
        <v>0</v>
      </c>
      <c r="N413" s="7" t="str">
        <f t="shared" si="334"/>
        <v/>
      </c>
      <c r="O413" s="10"/>
      <c r="P413" s="24"/>
      <c r="Q413" s="13"/>
      <c r="T413" s="121" t="str">
        <f t="shared" si="335"/>
        <v/>
      </c>
      <c r="U413" s="118">
        <f t="shared" si="336"/>
        <v>0</v>
      </c>
      <c r="V413" s="117">
        <f t="shared" si="337"/>
        <v>0</v>
      </c>
      <c r="W413" s="117">
        <f t="shared" si="338"/>
        <v>1</v>
      </c>
      <c r="X413" s="117">
        <f t="shared" si="339"/>
        <v>2</v>
      </c>
      <c r="Y413" s="117">
        <f t="shared" si="340"/>
        <v>0</v>
      </c>
      <c r="Z413" s="117">
        <f t="shared" si="341"/>
        <v>0</v>
      </c>
      <c r="AA413" s="117">
        <f t="shared" si="342"/>
        <v>0</v>
      </c>
      <c r="AC413" s="121" t="str">
        <f t="shared" si="343"/>
        <v/>
      </c>
      <c r="AD413" s="118">
        <f t="shared" si="344"/>
        <v>0</v>
      </c>
      <c r="AE413" s="117">
        <f t="shared" si="345"/>
        <v>0</v>
      </c>
      <c r="AF413" s="117">
        <f t="shared" si="346"/>
        <v>1</v>
      </c>
      <c r="AG413" s="117">
        <f t="shared" si="347"/>
        <v>2</v>
      </c>
      <c r="AH413" s="117">
        <f t="shared" si="348"/>
        <v>0</v>
      </c>
      <c r="AI413" s="117">
        <f t="shared" si="349"/>
        <v>0</v>
      </c>
      <c r="AJ413" s="117">
        <f t="shared" si="350"/>
        <v>0</v>
      </c>
    </row>
    <row r="414" spans="2:36" ht="16.5" customHeight="1">
      <c r="B414" s="12"/>
      <c r="C414" s="12"/>
      <c r="D414" s="4"/>
      <c r="E414" s="4" t="s">
        <v>173</v>
      </c>
      <c r="F414" s="5">
        <v>1</v>
      </c>
      <c r="G414" s="6">
        <v>0</v>
      </c>
      <c r="H414" s="7" t="s">
        <v>224</v>
      </c>
      <c r="I414" s="7"/>
      <c r="J414" s="4"/>
      <c r="K414" s="4" t="s">
        <v>199</v>
      </c>
      <c r="L414" s="5">
        <v>2</v>
      </c>
      <c r="M414" s="6">
        <v>1</v>
      </c>
      <c r="N414" s="7" t="str">
        <f t="shared" si="334"/>
        <v/>
      </c>
      <c r="O414" s="7"/>
      <c r="P414" s="24"/>
      <c r="Q414" s="13"/>
      <c r="T414" s="121" t="str">
        <f t="shared" si="335"/>
        <v/>
      </c>
      <c r="U414" s="118">
        <f t="shared" si="336"/>
        <v>0</v>
      </c>
      <c r="V414" s="117">
        <f t="shared" si="337"/>
        <v>0</v>
      </c>
      <c r="W414" s="117">
        <f t="shared" si="338"/>
        <v>1</v>
      </c>
      <c r="X414" s="117">
        <f t="shared" si="339"/>
        <v>1</v>
      </c>
      <c r="Y414" s="117">
        <f t="shared" si="340"/>
        <v>0</v>
      </c>
      <c r="Z414" s="117">
        <f t="shared" si="341"/>
        <v>0</v>
      </c>
      <c r="AA414" s="117">
        <f t="shared" si="342"/>
        <v>0</v>
      </c>
      <c r="AC414" s="121" t="str">
        <f t="shared" si="343"/>
        <v/>
      </c>
      <c r="AD414" s="118">
        <f t="shared" si="344"/>
        <v>0</v>
      </c>
      <c r="AE414" s="117">
        <f t="shared" si="345"/>
        <v>0</v>
      </c>
      <c r="AF414" s="117">
        <f t="shared" si="346"/>
        <v>1</v>
      </c>
      <c r="AG414" s="117">
        <f t="shared" si="347"/>
        <v>1</v>
      </c>
      <c r="AH414" s="117">
        <f t="shared" si="348"/>
        <v>0</v>
      </c>
      <c r="AI414" s="117">
        <f t="shared" si="349"/>
        <v>0</v>
      </c>
      <c r="AJ414" s="117">
        <f t="shared" si="350"/>
        <v>0</v>
      </c>
    </row>
    <row r="415" spans="2:36" ht="16.5" customHeight="1">
      <c r="B415" s="12"/>
      <c r="C415" s="12"/>
      <c r="D415" s="8"/>
      <c r="E415" s="9" t="s">
        <v>174</v>
      </c>
      <c r="F415" s="5">
        <v>2</v>
      </c>
      <c r="G415" s="6">
        <v>0</v>
      </c>
      <c r="H415" s="7" t="s">
        <v>224</v>
      </c>
      <c r="I415" s="10"/>
      <c r="J415" s="8"/>
      <c r="K415" s="9" t="s">
        <v>200</v>
      </c>
      <c r="L415" s="5">
        <v>2</v>
      </c>
      <c r="M415" s="6">
        <v>1</v>
      </c>
      <c r="N415" s="7" t="str">
        <f t="shared" si="334"/>
        <v/>
      </c>
      <c r="O415" s="10"/>
      <c r="P415" s="24"/>
      <c r="Q415" s="13"/>
      <c r="T415" s="121" t="str">
        <f t="shared" si="335"/>
        <v/>
      </c>
      <c r="U415" s="118">
        <f t="shared" si="336"/>
        <v>0</v>
      </c>
      <c r="V415" s="117">
        <f t="shared" si="337"/>
        <v>0</v>
      </c>
      <c r="W415" s="117">
        <f t="shared" si="338"/>
        <v>1</v>
      </c>
      <c r="X415" s="117">
        <f t="shared" si="339"/>
        <v>2</v>
      </c>
      <c r="Y415" s="117">
        <f t="shared" si="340"/>
        <v>0</v>
      </c>
      <c r="Z415" s="117">
        <f t="shared" si="341"/>
        <v>0</v>
      </c>
      <c r="AA415" s="117">
        <f t="shared" si="342"/>
        <v>0</v>
      </c>
      <c r="AC415" s="121" t="str">
        <f t="shared" si="343"/>
        <v/>
      </c>
      <c r="AD415" s="118">
        <f t="shared" si="344"/>
        <v>0</v>
      </c>
      <c r="AE415" s="117">
        <f t="shared" si="345"/>
        <v>0</v>
      </c>
      <c r="AF415" s="117">
        <f t="shared" si="346"/>
        <v>1</v>
      </c>
      <c r="AG415" s="117">
        <f t="shared" si="347"/>
        <v>1</v>
      </c>
      <c r="AH415" s="117">
        <f t="shared" si="348"/>
        <v>0</v>
      </c>
      <c r="AI415" s="117">
        <f t="shared" si="349"/>
        <v>0</v>
      </c>
      <c r="AJ415" s="117">
        <f t="shared" si="350"/>
        <v>0</v>
      </c>
    </row>
    <row r="416" spans="2:36" ht="16.5" customHeight="1">
      <c r="B416" s="12"/>
      <c r="C416" s="12"/>
      <c r="D416" s="4"/>
      <c r="E416" s="4" t="s">
        <v>175</v>
      </c>
      <c r="F416" s="5">
        <v>3</v>
      </c>
      <c r="G416" s="6">
        <v>0</v>
      </c>
      <c r="H416" s="7" t="s">
        <v>224</v>
      </c>
      <c r="I416" s="7"/>
      <c r="J416" s="4"/>
      <c r="K416" s="4" t="s">
        <v>201</v>
      </c>
      <c r="L416" s="5">
        <v>3</v>
      </c>
      <c r="M416" s="6">
        <v>1</v>
      </c>
      <c r="N416" s="7" t="str">
        <f t="shared" si="334"/>
        <v/>
      </c>
      <c r="O416" s="7"/>
      <c r="P416" s="24"/>
      <c r="Q416" s="13"/>
      <c r="T416" s="121" t="str">
        <f t="shared" si="335"/>
        <v/>
      </c>
      <c r="U416" s="118">
        <f t="shared" si="336"/>
        <v>0</v>
      </c>
      <c r="V416" s="117">
        <f t="shared" si="337"/>
        <v>0</v>
      </c>
      <c r="W416" s="117">
        <f t="shared" si="338"/>
        <v>1</v>
      </c>
      <c r="X416" s="117">
        <f t="shared" si="339"/>
        <v>3</v>
      </c>
      <c r="Y416" s="117">
        <f t="shared" si="340"/>
        <v>0</v>
      </c>
      <c r="Z416" s="117">
        <f t="shared" si="341"/>
        <v>0</v>
      </c>
      <c r="AA416" s="117">
        <f t="shared" si="342"/>
        <v>0</v>
      </c>
      <c r="AC416" s="121" t="str">
        <f t="shared" si="343"/>
        <v/>
      </c>
      <c r="AD416" s="118">
        <f t="shared" si="344"/>
        <v>0</v>
      </c>
      <c r="AE416" s="117">
        <f t="shared" si="345"/>
        <v>0</v>
      </c>
      <c r="AF416" s="117">
        <f t="shared" si="346"/>
        <v>1</v>
      </c>
      <c r="AG416" s="117">
        <f t="shared" si="347"/>
        <v>2</v>
      </c>
      <c r="AH416" s="117">
        <f t="shared" si="348"/>
        <v>0</v>
      </c>
      <c r="AI416" s="117">
        <f t="shared" si="349"/>
        <v>0</v>
      </c>
      <c r="AJ416" s="117">
        <f t="shared" si="350"/>
        <v>0</v>
      </c>
    </row>
    <row r="417" spans="2:36" ht="16.5" customHeight="1">
      <c r="B417" s="14"/>
      <c r="C417" s="14" t="s">
        <v>8</v>
      </c>
      <c r="D417" s="8"/>
      <c r="E417" s="9" t="s">
        <v>33</v>
      </c>
      <c r="F417" s="5">
        <v>2</v>
      </c>
      <c r="G417" s="6">
        <v>1</v>
      </c>
      <c r="H417" s="7" t="s">
        <v>224</v>
      </c>
      <c r="I417" s="10"/>
      <c r="J417" s="8"/>
      <c r="K417" s="9" t="s">
        <v>225</v>
      </c>
      <c r="L417" s="5">
        <v>2</v>
      </c>
      <c r="M417" s="6">
        <v>1</v>
      </c>
      <c r="N417" s="7" t="str">
        <f t="shared" si="334"/>
        <v/>
      </c>
      <c r="O417" s="10"/>
      <c r="P417" s="31" t="s">
        <v>16</v>
      </c>
      <c r="Q417" s="30"/>
      <c r="T417" s="121" t="str">
        <f t="shared" si="335"/>
        <v/>
      </c>
      <c r="U417" s="118">
        <f t="shared" si="336"/>
        <v>0</v>
      </c>
      <c r="V417" s="117">
        <f t="shared" si="337"/>
        <v>0</v>
      </c>
      <c r="W417" s="117">
        <f t="shared" si="338"/>
        <v>1</v>
      </c>
      <c r="X417" s="117">
        <f t="shared" si="339"/>
        <v>1</v>
      </c>
      <c r="Y417" s="117">
        <f t="shared" si="340"/>
        <v>0</v>
      </c>
      <c r="Z417" s="117">
        <f t="shared" si="341"/>
        <v>0</v>
      </c>
      <c r="AA417" s="117">
        <f t="shared" si="342"/>
        <v>0</v>
      </c>
      <c r="AC417" s="121" t="str">
        <f t="shared" si="343"/>
        <v/>
      </c>
      <c r="AD417" s="118">
        <f t="shared" si="344"/>
        <v>0</v>
      </c>
      <c r="AE417" s="117">
        <f t="shared" si="345"/>
        <v>0</v>
      </c>
      <c r="AF417" s="117">
        <f t="shared" si="346"/>
        <v>1</v>
      </c>
      <c r="AG417" s="117">
        <f t="shared" si="347"/>
        <v>1</v>
      </c>
      <c r="AH417" s="117">
        <f t="shared" si="348"/>
        <v>0</v>
      </c>
      <c r="AI417" s="117">
        <f t="shared" si="349"/>
        <v>0</v>
      </c>
      <c r="AJ417" s="117">
        <f t="shared" si="350"/>
        <v>0</v>
      </c>
    </row>
    <row r="418" spans="2:36" ht="16.5" customHeight="1">
      <c r="B418" s="14"/>
      <c r="C418" s="14"/>
      <c r="D418" s="4"/>
      <c r="E418" s="4" t="s">
        <v>176</v>
      </c>
      <c r="F418" s="5">
        <v>2</v>
      </c>
      <c r="G418" s="6">
        <v>1</v>
      </c>
      <c r="H418" s="7" t="s">
        <v>224</v>
      </c>
      <c r="I418" s="7"/>
      <c r="J418" s="4"/>
      <c r="K418" s="4" t="s">
        <v>203</v>
      </c>
      <c r="L418" s="5">
        <v>3</v>
      </c>
      <c r="M418" s="6">
        <v>1</v>
      </c>
      <c r="N418" s="7" t="str">
        <f t="shared" si="334"/>
        <v/>
      </c>
      <c r="O418" s="7"/>
      <c r="P418" s="31"/>
      <c r="Q418" s="30"/>
      <c r="T418" s="121" t="str">
        <f t="shared" si="335"/>
        <v/>
      </c>
      <c r="U418" s="118">
        <f t="shared" si="336"/>
        <v>0</v>
      </c>
      <c r="V418" s="117">
        <f t="shared" si="337"/>
        <v>0</v>
      </c>
      <c r="W418" s="117">
        <f t="shared" si="338"/>
        <v>1</v>
      </c>
      <c r="X418" s="117">
        <f t="shared" si="339"/>
        <v>1</v>
      </c>
      <c r="Y418" s="117">
        <f t="shared" si="340"/>
        <v>0</v>
      </c>
      <c r="Z418" s="117">
        <f t="shared" si="341"/>
        <v>0</v>
      </c>
      <c r="AA418" s="117">
        <f t="shared" si="342"/>
        <v>0</v>
      </c>
      <c r="AC418" s="121" t="str">
        <f t="shared" si="343"/>
        <v/>
      </c>
      <c r="AD418" s="118">
        <f t="shared" si="344"/>
        <v>0</v>
      </c>
      <c r="AE418" s="117">
        <f t="shared" si="345"/>
        <v>0</v>
      </c>
      <c r="AF418" s="117">
        <f t="shared" si="346"/>
        <v>1</v>
      </c>
      <c r="AG418" s="117">
        <f t="shared" si="347"/>
        <v>2</v>
      </c>
      <c r="AH418" s="117">
        <f t="shared" si="348"/>
        <v>0</v>
      </c>
      <c r="AI418" s="117">
        <f t="shared" si="349"/>
        <v>0</v>
      </c>
      <c r="AJ418" s="117">
        <f t="shared" si="350"/>
        <v>0</v>
      </c>
    </row>
    <row r="419" spans="2:36" ht="16.5" customHeight="1">
      <c r="B419" s="14"/>
      <c r="C419" s="14"/>
      <c r="D419" s="8"/>
      <c r="E419" s="9" t="s">
        <v>177</v>
      </c>
      <c r="F419" s="5">
        <v>2</v>
      </c>
      <c r="G419" s="6">
        <v>0</v>
      </c>
      <c r="H419" s="7" t="s">
        <v>224</v>
      </c>
      <c r="I419" s="10"/>
      <c r="J419" s="8"/>
      <c r="K419" s="9" t="s">
        <v>204</v>
      </c>
      <c r="L419" s="5">
        <v>2</v>
      </c>
      <c r="M419" s="6">
        <v>2</v>
      </c>
      <c r="N419" s="7" t="str">
        <f t="shared" si="334"/>
        <v/>
      </c>
      <c r="O419" s="10"/>
      <c r="P419" s="31"/>
      <c r="Q419" s="30"/>
      <c r="T419" s="121" t="str">
        <f t="shared" si="335"/>
        <v/>
      </c>
      <c r="U419" s="118">
        <f t="shared" si="336"/>
        <v>0</v>
      </c>
      <c r="V419" s="117">
        <f t="shared" si="337"/>
        <v>0</v>
      </c>
      <c r="W419" s="117">
        <f t="shared" si="338"/>
        <v>1</v>
      </c>
      <c r="X419" s="117">
        <f t="shared" si="339"/>
        <v>2</v>
      </c>
      <c r="Y419" s="117">
        <f t="shared" si="340"/>
        <v>0</v>
      </c>
      <c r="Z419" s="117">
        <f t="shared" si="341"/>
        <v>0</v>
      </c>
      <c r="AA419" s="117">
        <f t="shared" si="342"/>
        <v>0</v>
      </c>
      <c r="AC419" s="121" t="str">
        <f t="shared" si="343"/>
        <v/>
      </c>
      <c r="AD419" s="118">
        <f t="shared" si="344"/>
        <v>0</v>
      </c>
      <c r="AE419" s="117">
        <f t="shared" si="345"/>
        <v>0</v>
      </c>
      <c r="AF419" s="117">
        <f t="shared" si="346"/>
        <v>0</v>
      </c>
      <c r="AG419" s="117">
        <f t="shared" si="347"/>
        <v>0</v>
      </c>
      <c r="AH419" s="117">
        <f t="shared" si="348"/>
        <v>3</v>
      </c>
      <c r="AI419" s="117">
        <f t="shared" si="349"/>
        <v>1</v>
      </c>
      <c r="AJ419" s="117">
        <f t="shared" si="350"/>
        <v>0</v>
      </c>
    </row>
    <row r="420" spans="2:36" ht="16.5" customHeight="1">
      <c r="B420" s="14"/>
      <c r="C420" s="14"/>
      <c r="D420" s="4"/>
      <c r="E420" s="4" t="s">
        <v>178</v>
      </c>
      <c r="F420" s="5">
        <v>1</v>
      </c>
      <c r="G420" s="6">
        <v>0</v>
      </c>
      <c r="H420" s="7" t="s">
        <v>224</v>
      </c>
      <c r="I420" s="7"/>
      <c r="J420" s="4"/>
      <c r="K420" s="4" t="s">
        <v>223</v>
      </c>
      <c r="L420" s="5">
        <v>2</v>
      </c>
      <c r="M420" s="6">
        <v>1</v>
      </c>
      <c r="N420" s="7" t="str">
        <f t="shared" si="334"/>
        <v/>
      </c>
      <c r="O420" s="7"/>
      <c r="P420" s="31"/>
      <c r="Q420" s="30"/>
      <c r="T420" s="121" t="str">
        <f t="shared" si="335"/>
        <v/>
      </c>
      <c r="U420" s="118">
        <f t="shared" si="336"/>
        <v>0</v>
      </c>
      <c r="V420" s="117">
        <f t="shared" si="337"/>
        <v>0</v>
      </c>
      <c r="W420" s="117">
        <f t="shared" si="338"/>
        <v>1</v>
      </c>
      <c r="X420" s="117">
        <f t="shared" si="339"/>
        <v>1</v>
      </c>
      <c r="Y420" s="117">
        <f t="shared" si="340"/>
        <v>0</v>
      </c>
      <c r="Z420" s="117">
        <f t="shared" si="341"/>
        <v>0</v>
      </c>
      <c r="AA420" s="117">
        <f t="shared" si="342"/>
        <v>0</v>
      </c>
      <c r="AC420" s="121" t="str">
        <f t="shared" si="343"/>
        <v/>
      </c>
      <c r="AD420" s="118">
        <f t="shared" si="344"/>
        <v>0</v>
      </c>
      <c r="AE420" s="117">
        <f t="shared" si="345"/>
        <v>0</v>
      </c>
      <c r="AF420" s="117">
        <f t="shared" si="346"/>
        <v>1</v>
      </c>
      <c r="AG420" s="117">
        <f t="shared" si="347"/>
        <v>1</v>
      </c>
      <c r="AH420" s="117">
        <f t="shared" si="348"/>
        <v>0</v>
      </c>
      <c r="AI420" s="117">
        <f t="shared" si="349"/>
        <v>0</v>
      </c>
      <c r="AJ420" s="117">
        <f t="shared" si="350"/>
        <v>0</v>
      </c>
    </row>
    <row r="421" spans="2:36" ht="16.5" customHeight="1">
      <c r="B421" s="14"/>
      <c r="C421" s="14"/>
      <c r="D421" s="8"/>
      <c r="E421" s="9" t="s">
        <v>179</v>
      </c>
      <c r="F421" s="5">
        <v>2</v>
      </c>
      <c r="G421" s="6">
        <v>0</v>
      </c>
      <c r="H421" s="7" t="s">
        <v>224</v>
      </c>
      <c r="I421" s="10"/>
      <c r="J421" s="8"/>
      <c r="K421" s="9" t="s">
        <v>205</v>
      </c>
      <c r="L421" s="5">
        <v>2</v>
      </c>
      <c r="M421" s="6">
        <v>1</v>
      </c>
      <c r="N421" s="7" t="str">
        <f t="shared" si="334"/>
        <v/>
      </c>
      <c r="O421" s="10"/>
      <c r="P421" s="31"/>
      <c r="Q421" s="30"/>
      <c r="T421" s="121" t="str">
        <f t="shared" si="335"/>
        <v/>
      </c>
      <c r="U421" s="118">
        <f t="shared" si="336"/>
        <v>0</v>
      </c>
      <c r="V421" s="117">
        <f t="shared" si="337"/>
        <v>0</v>
      </c>
      <c r="W421" s="117">
        <f t="shared" si="338"/>
        <v>1</v>
      </c>
      <c r="X421" s="117">
        <f t="shared" si="339"/>
        <v>2</v>
      </c>
      <c r="Y421" s="117">
        <f t="shared" si="340"/>
        <v>0</v>
      </c>
      <c r="Z421" s="117">
        <f t="shared" si="341"/>
        <v>0</v>
      </c>
      <c r="AA421" s="117">
        <f t="shared" si="342"/>
        <v>0</v>
      </c>
      <c r="AC421" s="121" t="str">
        <f t="shared" si="343"/>
        <v/>
      </c>
      <c r="AD421" s="118">
        <f t="shared" si="344"/>
        <v>0</v>
      </c>
      <c r="AE421" s="117">
        <f t="shared" si="345"/>
        <v>0</v>
      </c>
      <c r="AF421" s="117">
        <f t="shared" si="346"/>
        <v>1</v>
      </c>
      <c r="AG421" s="117">
        <f t="shared" si="347"/>
        <v>1</v>
      </c>
      <c r="AH421" s="117">
        <f t="shared" si="348"/>
        <v>0</v>
      </c>
      <c r="AI421" s="117">
        <f t="shared" si="349"/>
        <v>0</v>
      </c>
      <c r="AJ421" s="117">
        <f t="shared" si="350"/>
        <v>0</v>
      </c>
    </row>
    <row r="422" spans="2:36" ht="16.5" customHeight="1">
      <c r="B422" s="14"/>
      <c r="C422" s="14"/>
      <c r="D422" s="4"/>
      <c r="E422" s="4" t="s">
        <v>180</v>
      </c>
      <c r="F422" s="5">
        <v>3</v>
      </c>
      <c r="G422" s="6">
        <v>3</v>
      </c>
      <c r="H422" s="7" t="s">
        <v>224</v>
      </c>
      <c r="I422" s="7"/>
      <c r="J422" s="4"/>
      <c r="K422" s="4" t="s">
        <v>206</v>
      </c>
      <c r="L422" s="5">
        <v>2</v>
      </c>
      <c r="M422" s="6">
        <v>0</v>
      </c>
      <c r="N422" s="7" t="str">
        <f t="shared" si="334"/>
        <v/>
      </c>
      <c r="O422" s="7"/>
      <c r="P422" s="31"/>
      <c r="Q422" s="30"/>
      <c r="T422" s="121" t="str">
        <f t="shared" si="335"/>
        <v/>
      </c>
      <c r="U422" s="118">
        <f t="shared" si="336"/>
        <v>0</v>
      </c>
      <c r="V422" s="117">
        <f t="shared" si="337"/>
        <v>0</v>
      </c>
      <c r="W422" s="117">
        <f t="shared" si="338"/>
        <v>0</v>
      </c>
      <c r="X422" s="117">
        <f t="shared" si="339"/>
        <v>0</v>
      </c>
      <c r="Y422" s="117">
        <f t="shared" si="340"/>
        <v>3</v>
      </c>
      <c r="Z422" s="117">
        <f t="shared" si="341"/>
        <v>1</v>
      </c>
      <c r="AA422" s="117">
        <f t="shared" si="342"/>
        <v>0</v>
      </c>
      <c r="AC422" s="121" t="str">
        <f t="shared" si="343"/>
        <v/>
      </c>
      <c r="AD422" s="118">
        <f t="shared" si="344"/>
        <v>0</v>
      </c>
      <c r="AE422" s="117">
        <f t="shared" si="345"/>
        <v>0</v>
      </c>
      <c r="AF422" s="117">
        <f t="shared" si="346"/>
        <v>1</v>
      </c>
      <c r="AG422" s="117">
        <f t="shared" si="347"/>
        <v>2</v>
      </c>
      <c r="AH422" s="117">
        <f t="shared" si="348"/>
        <v>0</v>
      </c>
      <c r="AI422" s="117">
        <f t="shared" si="349"/>
        <v>0</v>
      </c>
      <c r="AJ422" s="117">
        <f t="shared" si="350"/>
        <v>0</v>
      </c>
    </row>
    <row r="423" spans="2:36" ht="16.5" customHeight="1">
      <c r="B423" s="14"/>
      <c r="C423" s="14"/>
      <c r="D423" s="8"/>
      <c r="E423" s="9" t="s">
        <v>181</v>
      </c>
      <c r="F423" s="5">
        <v>2</v>
      </c>
      <c r="G423" s="6">
        <v>1</v>
      </c>
      <c r="H423" s="7" t="s">
        <v>224</v>
      </c>
      <c r="I423" s="10"/>
      <c r="J423" s="8"/>
      <c r="K423" s="9" t="s">
        <v>207</v>
      </c>
      <c r="L423" s="5">
        <v>3</v>
      </c>
      <c r="M423" s="6">
        <v>2</v>
      </c>
      <c r="N423" s="7" t="str">
        <f t="shared" si="334"/>
        <v/>
      </c>
      <c r="O423" s="10"/>
      <c r="P423" s="31"/>
      <c r="Q423" s="30"/>
      <c r="T423" s="121" t="str">
        <f t="shared" si="335"/>
        <v/>
      </c>
      <c r="U423" s="118">
        <f t="shared" si="336"/>
        <v>0</v>
      </c>
      <c r="V423" s="117">
        <f t="shared" si="337"/>
        <v>0</v>
      </c>
      <c r="W423" s="117">
        <f t="shared" si="338"/>
        <v>1</v>
      </c>
      <c r="X423" s="117">
        <f t="shared" si="339"/>
        <v>1</v>
      </c>
      <c r="Y423" s="117">
        <f t="shared" si="340"/>
        <v>0</v>
      </c>
      <c r="Z423" s="117">
        <f t="shared" si="341"/>
        <v>0</v>
      </c>
      <c r="AA423" s="117">
        <f t="shared" si="342"/>
        <v>0</v>
      </c>
      <c r="AC423" s="121" t="str">
        <f t="shared" si="343"/>
        <v/>
      </c>
      <c r="AD423" s="118">
        <f t="shared" si="344"/>
        <v>0</v>
      </c>
      <c r="AE423" s="117">
        <f t="shared" si="345"/>
        <v>0</v>
      </c>
      <c r="AF423" s="117">
        <f t="shared" si="346"/>
        <v>1</v>
      </c>
      <c r="AG423" s="117">
        <f t="shared" si="347"/>
        <v>1</v>
      </c>
      <c r="AH423" s="117">
        <f t="shared" si="348"/>
        <v>0</v>
      </c>
      <c r="AI423" s="117">
        <f t="shared" si="349"/>
        <v>0</v>
      </c>
      <c r="AJ423" s="117">
        <f t="shared" si="350"/>
        <v>0</v>
      </c>
    </row>
    <row r="424" spans="2:36" ht="16.5" customHeight="1">
      <c r="B424" s="11"/>
      <c r="C424" s="11" t="s">
        <v>9</v>
      </c>
      <c r="D424" s="4"/>
      <c r="E424" s="4" t="s">
        <v>182</v>
      </c>
      <c r="F424" s="5">
        <v>2</v>
      </c>
      <c r="G424" s="6">
        <v>2</v>
      </c>
      <c r="H424" s="7" t="s">
        <v>224</v>
      </c>
      <c r="I424" s="7"/>
      <c r="J424" s="4"/>
      <c r="K424" s="4" t="s">
        <v>208</v>
      </c>
      <c r="L424" s="5">
        <v>2</v>
      </c>
      <c r="M424" s="6">
        <v>0</v>
      </c>
      <c r="N424" s="7" t="str">
        <f t="shared" si="334"/>
        <v/>
      </c>
      <c r="O424" s="7"/>
      <c r="P424" s="36" t="s">
        <v>25</v>
      </c>
      <c r="Q424" s="35"/>
      <c r="T424" s="121" t="str">
        <f t="shared" si="335"/>
        <v/>
      </c>
      <c r="U424" s="118">
        <f t="shared" si="336"/>
        <v>0</v>
      </c>
      <c r="V424" s="117">
        <f t="shared" si="337"/>
        <v>0</v>
      </c>
      <c r="W424" s="117">
        <f t="shared" si="338"/>
        <v>0</v>
      </c>
      <c r="X424" s="117">
        <f t="shared" si="339"/>
        <v>0</v>
      </c>
      <c r="Y424" s="117">
        <f t="shared" si="340"/>
        <v>3</v>
      </c>
      <c r="Z424" s="117">
        <f t="shared" si="341"/>
        <v>1</v>
      </c>
      <c r="AA424" s="117">
        <f t="shared" si="342"/>
        <v>0</v>
      </c>
      <c r="AC424" s="121" t="str">
        <f t="shared" si="343"/>
        <v/>
      </c>
      <c r="AD424" s="118">
        <f t="shared" si="344"/>
        <v>0</v>
      </c>
      <c r="AE424" s="117">
        <f t="shared" si="345"/>
        <v>0</v>
      </c>
      <c r="AF424" s="117">
        <f t="shared" si="346"/>
        <v>1</v>
      </c>
      <c r="AG424" s="117">
        <f t="shared" si="347"/>
        <v>2</v>
      </c>
      <c r="AH424" s="117">
        <f t="shared" si="348"/>
        <v>0</v>
      </c>
      <c r="AI424" s="117">
        <f t="shared" si="349"/>
        <v>0</v>
      </c>
      <c r="AJ424" s="117">
        <f t="shared" si="350"/>
        <v>0</v>
      </c>
    </row>
    <row r="425" spans="2:36" ht="16.5" customHeight="1">
      <c r="B425" s="11"/>
      <c r="C425" s="11"/>
      <c r="D425" s="8"/>
      <c r="E425" s="9" t="s">
        <v>183</v>
      </c>
      <c r="F425" s="5">
        <v>2</v>
      </c>
      <c r="G425" s="6">
        <v>1</v>
      </c>
      <c r="H425" s="7" t="s">
        <v>224</v>
      </c>
      <c r="I425" s="10"/>
      <c r="J425" s="8"/>
      <c r="K425" s="9" t="s">
        <v>209</v>
      </c>
      <c r="L425" s="5">
        <v>2</v>
      </c>
      <c r="M425" s="6">
        <v>0</v>
      </c>
      <c r="N425" s="7" t="str">
        <f t="shared" si="334"/>
        <v/>
      </c>
      <c r="O425" s="10"/>
      <c r="P425" s="36"/>
      <c r="Q425" s="35"/>
      <c r="T425" s="121" t="str">
        <f t="shared" si="335"/>
        <v/>
      </c>
      <c r="U425" s="118">
        <f t="shared" si="336"/>
        <v>0</v>
      </c>
      <c r="V425" s="117">
        <f t="shared" si="337"/>
        <v>0</v>
      </c>
      <c r="W425" s="117">
        <f t="shared" si="338"/>
        <v>1</v>
      </c>
      <c r="X425" s="117">
        <f t="shared" si="339"/>
        <v>1</v>
      </c>
      <c r="Y425" s="117">
        <f t="shared" si="340"/>
        <v>0</v>
      </c>
      <c r="Z425" s="117">
        <f t="shared" si="341"/>
        <v>0</v>
      </c>
      <c r="AA425" s="117">
        <f t="shared" si="342"/>
        <v>0</v>
      </c>
      <c r="AC425" s="121" t="str">
        <f t="shared" si="343"/>
        <v/>
      </c>
      <c r="AD425" s="118">
        <f t="shared" si="344"/>
        <v>0</v>
      </c>
      <c r="AE425" s="117">
        <f t="shared" si="345"/>
        <v>0</v>
      </c>
      <c r="AF425" s="117">
        <f t="shared" si="346"/>
        <v>1</v>
      </c>
      <c r="AG425" s="117">
        <f t="shared" si="347"/>
        <v>2</v>
      </c>
      <c r="AH425" s="117">
        <f t="shared" si="348"/>
        <v>0</v>
      </c>
      <c r="AI425" s="117">
        <f t="shared" si="349"/>
        <v>0</v>
      </c>
      <c r="AJ425" s="117">
        <f t="shared" si="350"/>
        <v>0</v>
      </c>
    </row>
    <row r="426" spans="2:36" ht="16.5" customHeight="1">
      <c r="B426" s="11"/>
      <c r="C426" s="11"/>
      <c r="D426" s="4"/>
      <c r="E426" s="4" t="s">
        <v>184</v>
      </c>
      <c r="F426" s="5">
        <v>2</v>
      </c>
      <c r="G426" s="6">
        <v>1</v>
      </c>
      <c r="H426" s="7" t="s">
        <v>224</v>
      </c>
      <c r="I426" s="7"/>
      <c r="J426" s="4"/>
      <c r="K426" s="4" t="s">
        <v>210</v>
      </c>
      <c r="L426" s="5">
        <v>2</v>
      </c>
      <c r="M426" s="6">
        <v>1</v>
      </c>
      <c r="N426" s="7" t="str">
        <f t="shared" si="334"/>
        <v/>
      </c>
      <c r="O426" s="7"/>
      <c r="P426" s="36"/>
      <c r="Q426" s="35"/>
      <c r="T426" s="121" t="str">
        <f t="shared" si="335"/>
        <v/>
      </c>
      <c r="U426" s="118">
        <f t="shared" si="336"/>
        <v>0</v>
      </c>
      <c r="V426" s="117">
        <f t="shared" si="337"/>
        <v>0</v>
      </c>
      <c r="W426" s="117">
        <f t="shared" si="338"/>
        <v>1</v>
      </c>
      <c r="X426" s="117">
        <f t="shared" si="339"/>
        <v>1</v>
      </c>
      <c r="Y426" s="117">
        <f t="shared" si="340"/>
        <v>0</v>
      </c>
      <c r="Z426" s="117">
        <f t="shared" si="341"/>
        <v>0</v>
      </c>
      <c r="AA426" s="117">
        <f t="shared" si="342"/>
        <v>0</v>
      </c>
      <c r="AC426" s="121" t="str">
        <f t="shared" si="343"/>
        <v/>
      </c>
      <c r="AD426" s="118">
        <f t="shared" si="344"/>
        <v>0</v>
      </c>
      <c r="AE426" s="117">
        <f t="shared" si="345"/>
        <v>0</v>
      </c>
      <c r="AF426" s="117">
        <f t="shared" si="346"/>
        <v>1</v>
      </c>
      <c r="AG426" s="117">
        <f t="shared" si="347"/>
        <v>1</v>
      </c>
      <c r="AH426" s="117">
        <f t="shared" si="348"/>
        <v>0</v>
      </c>
      <c r="AI426" s="117">
        <f t="shared" si="349"/>
        <v>0</v>
      </c>
      <c r="AJ426" s="117">
        <f t="shared" si="350"/>
        <v>0</v>
      </c>
    </row>
    <row r="427" spans="2:36" ht="16.5" customHeight="1">
      <c r="B427" s="11"/>
      <c r="C427" s="11"/>
      <c r="D427" s="8"/>
      <c r="E427" s="9" t="s">
        <v>222</v>
      </c>
      <c r="F427" s="5">
        <v>2</v>
      </c>
      <c r="G427" s="6">
        <v>1</v>
      </c>
      <c r="H427" s="7" t="s">
        <v>224</v>
      </c>
      <c r="I427" s="10"/>
      <c r="J427" s="8"/>
      <c r="K427" s="9" t="s">
        <v>211</v>
      </c>
      <c r="L427" s="5">
        <v>2</v>
      </c>
      <c r="M427" s="6">
        <v>1</v>
      </c>
      <c r="N427" s="7" t="str">
        <f t="shared" si="334"/>
        <v/>
      </c>
      <c r="O427" s="10"/>
      <c r="P427" s="36"/>
      <c r="Q427" s="35"/>
      <c r="T427" s="121" t="str">
        <f t="shared" si="335"/>
        <v/>
      </c>
      <c r="U427" s="118">
        <f t="shared" si="336"/>
        <v>0</v>
      </c>
      <c r="V427" s="117">
        <f t="shared" si="337"/>
        <v>0</v>
      </c>
      <c r="W427" s="117">
        <f t="shared" si="338"/>
        <v>1</v>
      </c>
      <c r="X427" s="117">
        <f t="shared" si="339"/>
        <v>1</v>
      </c>
      <c r="Y427" s="117">
        <f t="shared" si="340"/>
        <v>0</v>
      </c>
      <c r="Z427" s="117">
        <f t="shared" si="341"/>
        <v>0</v>
      </c>
      <c r="AA427" s="117">
        <f t="shared" si="342"/>
        <v>0</v>
      </c>
      <c r="AC427" s="121" t="str">
        <f t="shared" si="343"/>
        <v/>
      </c>
      <c r="AD427" s="118">
        <f t="shared" si="344"/>
        <v>0</v>
      </c>
      <c r="AE427" s="117">
        <f t="shared" si="345"/>
        <v>0</v>
      </c>
      <c r="AF427" s="117">
        <f t="shared" si="346"/>
        <v>1</v>
      </c>
      <c r="AG427" s="117">
        <f t="shared" si="347"/>
        <v>1</v>
      </c>
      <c r="AH427" s="117">
        <f t="shared" si="348"/>
        <v>0</v>
      </c>
      <c r="AI427" s="117">
        <f t="shared" si="349"/>
        <v>0</v>
      </c>
      <c r="AJ427" s="117">
        <f t="shared" si="350"/>
        <v>0</v>
      </c>
    </row>
    <row r="428" spans="2:36" ht="16.5" customHeight="1">
      <c r="B428" s="11"/>
      <c r="C428" s="11"/>
      <c r="D428" s="4"/>
      <c r="E428" s="4" t="s">
        <v>185</v>
      </c>
      <c r="F428" s="5">
        <v>2</v>
      </c>
      <c r="G428" s="6">
        <v>1</v>
      </c>
      <c r="H428" s="7" t="s">
        <v>224</v>
      </c>
      <c r="I428" s="7"/>
      <c r="J428" s="4"/>
      <c r="K428" s="4" t="s">
        <v>212</v>
      </c>
      <c r="L428" s="5">
        <v>2</v>
      </c>
      <c r="M428" s="6">
        <v>1</v>
      </c>
      <c r="N428" s="7" t="str">
        <f t="shared" si="334"/>
        <v/>
      </c>
      <c r="O428" s="7"/>
      <c r="P428" s="36"/>
      <c r="Q428" s="35"/>
      <c r="T428" s="121" t="str">
        <f t="shared" si="335"/>
        <v/>
      </c>
      <c r="U428" s="118">
        <f t="shared" si="336"/>
        <v>0</v>
      </c>
      <c r="V428" s="117">
        <f t="shared" si="337"/>
        <v>0</v>
      </c>
      <c r="W428" s="117">
        <f t="shared" si="338"/>
        <v>1</v>
      </c>
      <c r="X428" s="117">
        <f t="shared" si="339"/>
        <v>1</v>
      </c>
      <c r="Y428" s="117">
        <f t="shared" si="340"/>
        <v>0</v>
      </c>
      <c r="Z428" s="117">
        <f t="shared" si="341"/>
        <v>0</v>
      </c>
      <c r="AA428" s="117">
        <f t="shared" si="342"/>
        <v>0</v>
      </c>
      <c r="AC428" s="121" t="str">
        <f t="shared" si="343"/>
        <v/>
      </c>
      <c r="AD428" s="118">
        <f t="shared" si="344"/>
        <v>0</v>
      </c>
      <c r="AE428" s="117">
        <f t="shared" si="345"/>
        <v>0</v>
      </c>
      <c r="AF428" s="117">
        <f t="shared" si="346"/>
        <v>1</v>
      </c>
      <c r="AG428" s="117">
        <f t="shared" si="347"/>
        <v>1</v>
      </c>
      <c r="AH428" s="117">
        <f t="shared" si="348"/>
        <v>0</v>
      </c>
      <c r="AI428" s="117">
        <f t="shared" si="349"/>
        <v>0</v>
      </c>
      <c r="AJ428" s="117">
        <f t="shared" si="350"/>
        <v>0</v>
      </c>
    </row>
    <row r="429" spans="2:36" ht="16.5" customHeight="1">
      <c r="B429" s="11"/>
      <c r="C429" s="11"/>
      <c r="D429" s="8"/>
      <c r="E429" s="9" t="s">
        <v>186</v>
      </c>
      <c r="F429" s="5">
        <v>3</v>
      </c>
      <c r="G429" s="6">
        <v>1</v>
      </c>
      <c r="H429" s="7" t="s">
        <v>224</v>
      </c>
      <c r="I429" s="10"/>
      <c r="J429" s="8"/>
      <c r="K429" s="9" t="s">
        <v>213</v>
      </c>
      <c r="L429" s="5">
        <v>2</v>
      </c>
      <c r="M429" s="6">
        <v>2</v>
      </c>
      <c r="N429" s="7" t="str">
        <f t="shared" si="334"/>
        <v/>
      </c>
      <c r="O429" s="10"/>
      <c r="P429" s="36"/>
      <c r="Q429" s="35"/>
      <c r="T429" s="121" t="str">
        <f t="shared" si="335"/>
        <v/>
      </c>
      <c r="U429" s="118">
        <f t="shared" si="336"/>
        <v>0</v>
      </c>
      <c r="V429" s="117">
        <f t="shared" si="337"/>
        <v>0</v>
      </c>
      <c r="W429" s="117">
        <f t="shared" si="338"/>
        <v>1</v>
      </c>
      <c r="X429" s="117">
        <f t="shared" si="339"/>
        <v>2</v>
      </c>
      <c r="Y429" s="117">
        <f t="shared" si="340"/>
        <v>0</v>
      </c>
      <c r="Z429" s="117">
        <f t="shared" si="341"/>
        <v>0</v>
      </c>
      <c r="AA429" s="117">
        <f t="shared" si="342"/>
        <v>0</v>
      </c>
      <c r="AC429" s="121" t="str">
        <f t="shared" si="343"/>
        <v/>
      </c>
      <c r="AD429" s="118">
        <f t="shared" si="344"/>
        <v>0</v>
      </c>
      <c r="AE429" s="117">
        <f t="shared" si="345"/>
        <v>0</v>
      </c>
      <c r="AF429" s="117">
        <f t="shared" si="346"/>
        <v>0</v>
      </c>
      <c r="AG429" s="117">
        <f t="shared" si="347"/>
        <v>0</v>
      </c>
      <c r="AH429" s="117">
        <f t="shared" si="348"/>
        <v>3</v>
      </c>
      <c r="AI429" s="117">
        <f t="shared" si="349"/>
        <v>1</v>
      </c>
      <c r="AJ429" s="117">
        <f t="shared" si="350"/>
        <v>0</v>
      </c>
    </row>
    <row r="430" spans="2:36" ht="16.5" customHeight="1">
      <c r="B430" s="11"/>
      <c r="C430" s="11"/>
      <c r="D430" s="4"/>
      <c r="E430" s="4" t="s">
        <v>187</v>
      </c>
      <c r="F430" s="5">
        <v>2</v>
      </c>
      <c r="G430" s="6">
        <v>0</v>
      </c>
      <c r="H430" s="7" t="s">
        <v>224</v>
      </c>
      <c r="I430" s="7"/>
      <c r="J430" s="4"/>
      <c r="K430" s="4" t="s">
        <v>214</v>
      </c>
      <c r="L430" s="5">
        <v>2</v>
      </c>
      <c r="M430" s="6">
        <v>0</v>
      </c>
      <c r="N430" s="7" t="str">
        <f t="shared" si="334"/>
        <v/>
      </c>
      <c r="O430" s="7"/>
      <c r="P430" s="36"/>
      <c r="Q430" s="35"/>
      <c r="T430" s="121" t="str">
        <f t="shared" si="335"/>
        <v/>
      </c>
      <c r="U430" s="118">
        <f t="shared" si="336"/>
        <v>0</v>
      </c>
      <c r="V430" s="117">
        <f t="shared" si="337"/>
        <v>0</v>
      </c>
      <c r="W430" s="117">
        <f t="shared" si="338"/>
        <v>1</v>
      </c>
      <c r="X430" s="117">
        <f t="shared" si="339"/>
        <v>2</v>
      </c>
      <c r="Y430" s="117">
        <f t="shared" si="340"/>
        <v>0</v>
      </c>
      <c r="Z430" s="117">
        <f t="shared" si="341"/>
        <v>0</v>
      </c>
      <c r="AA430" s="117">
        <f t="shared" si="342"/>
        <v>0</v>
      </c>
      <c r="AC430" s="121" t="str">
        <f t="shared" si="343"/>
        <v/>
      </c>
      <c r="AD430" s="118">
        <f t="shared" si="344"/>
        <v>0</v>
      </c>
      <c r="AE430" s="117">
        <f t="shared" si="345"/>
        <v>0</v>
      </c>
      <c r="AF430" s="117">
        <f t="shared" si="346"/>
        <v>1</v>
      </c>
      <c r="AG430" s="117">
        <f t="shared" si="347"/>
        <v>2</v>
      </c>
      <c r="AH430" s="117">
        <f t="shared" si="348"/>
        <v>0</v>
      </c>
      <c r="AI430" s="117">
        <f t="shared" si="349"/>
        <v>0</v>
      </c>
      <c r="AJ430" s="117">
        <f t="shared" si="350"/>
        <v>0</v>
      </c>
    </row>
    <row r="431" spans="2:36" ht="16.5" customHeight="1">
      <c r="B431" s="15"/>
      <c r="C431" s="15" t="s">
        <v>10</v>
      </c>
      <c r="D431" s="8"/>
      <c r="E431" s="9" t="s">
        <v>188</v>
      </c>
      <c r="F431" s="5">
        <v>2</v>
      </c>
      <c r="G431" s="6">
        <v>1</v>
      </c>
      <c r="H431" s="7" t="s">
        <v>224</v>
      </c>
      <c r="I431" s="10"/>
      <c r="J431" s="8"/>
      <c r="K431" s="9" t="s">
        <v>215</v>
      </c>
      <c r="L431" s="5">
        <v>2</v>
      </c>
      <c r="M431" s="6">
        <v>1</v>
      </c>
      <c r="N431" s="7" t="str">
        <f t="shared" si="334"/>
        <v/>
      </c>
      <c r="O431" s="10"/>
      <c r="P431" s="39" t="s">
        <v>26</v>
      </c>
      <c r="Q431" s="38"/>
      <c r="T431" s="121" t="str">
        <f t="shared" si="335"/>
        <v/>
      </c>
      <c r="U431" s="118">
        <f t="shared" si="336"/>
        <v>0</v>
      </c>
      <c r="V431" s="117">
        <f t="shared" si="337"/>
        <v>0</v>
      </c>
      <c r="W431" s="117">
        <f t="shared" si="338"/>
        <v>1</v>
      </c>
      <c r="X431" s="117">
        <f t="shared" si="339"/>
        <v>1</v>
      </c>
      <c r="Y431" s="117">
        <f t="shared" si="340"/>
        <v>0</v>
      </c>
      <c r="Z431" s="117">
        <f t="shared" si="341"/>
        <v>0</v>
      </c>
      <c r="AA431" s="117">
        <f t="shared" si="342"/>
        <v>0</v>
      </c>
      <c r="AC431" s="121" t="str">
        <f t="shared" si="343"/>
        <v/>
      </c>
      <c r="AD431" s="118">
        <f t="shared" si="344"/>
        <v>0</v>
      </c>
      <c r="AE431" s="117">
        <f t="shared" si="345"/>
        <v>0</v>
      </c>
      <c r="AF431" s="117">
        <f t="shared" si="346"/>
        <v>1</v>
      </c>
      <c r="AG431" s="117">
        <f t="shared" si="347"/>
        <v>1</v>
      </c>
      <c r="AH431" s="117">
        <f t="shared" si="348"/>
        <v>0</v>
      </c>
      <c r="AI431" s="117">
        <f t="shared" si="349"/>
        <v>0</v>
      </c>
      <c r="AJ431" s="117">
        <f t="shared" si="350"/>
        <v>0</v>
      </c>
    </row>
    <row r="432" spans="2:36" ht="16.5" customHeight="1">
      <c r="B432" s="15"/>
      <c r="C432" s="15"/>
      <c r="D432" s="4"/>
      <c r="E432" s="4" t="s">
        <v>189</v>
      </c>
      <c r="F432" s="5">
        <v>3</v>
      </c>
      <c r="G432" s="6">
        <v>2</v>
      </c>
      <c r="H432" s="7" t="s">
        <v>224</v>
      </c>
      <c r="I432" s="7"/>
      <c r="J432" s="4"/>
      <c r="K432" s="4" t="s">
        <v>216</v>
      </c>
      <c r="L432" s="5">
        <v>2</v>
      </c>
      <c r="M432" s="6">
        <v>0</v>
      </c>
      <c r="N432" s="7" t="str">
        <f t="shared" si="334"/>
        <v/>
      </c>
      <c r="O432" s="7"/>
      <c r="P432" s="39"/>
      <c r="Q432" s="38"/>
      <c r="T432" s="121" t="str">
        <f t="shared" si="335"/>
        <v/>
      </c>
      <c r="U432" s="118">
        <f t="shared" si="336"/>
        <v>0</v>
      </c>
      <c r="V432" s="117">
        <f t="shared" si="337"/>
        <v>0</v>
      </c>
      <c r="W432" s="117">
        <f t="shared" si="338"/>
        <v>1</v>
      </c>
      <c r="X432" s="117">
        <f t="shared" si="339"/>
        <v>1</v>
      </c>
      <c r="Y432" s="117">
        <f t="shared" si="340"/>
        <v>0</v>
      </c>
      <c r="Z432" s="117">
        <f t="shared" si="341"/>
        <v>0</v>
      </c>
      <c r="AA432" s="117">
        <f t="shared" si="342"/>
        <v>0</v>
      </c>
      <c r="AC432" s="121" t="str">
        <f t="shared" si="343"/>
        <v/>
      </c>
      <c r="AD432" s="118">
        <f t="shared" si="344"/>
        <v>0</v>
      </c>
      <c r="AE432" s="117">
        <f t="shared" si="345"/>
        <v>0</v>
      </c>
      <c r="AF432" s="117">
        <f t="shared" si="346"/>
        <v>1</v>
      </c>
      <c r="AG432" s="117">
        <f t="shared" si="347"/>
        <v>2</v>
      </c>
      <c r="AH432" s="117">
        <f t="shared" si="348"/>
        <v>0</v>
      </c>
      <c r="AI432" s="117">
        <f t="shared" si="349"/>
        <v>0</v>
      </c>
      <c r="AJ432" s="117">
        <f t="shared" si="350"/>
        <v>0</v>
      </c>
    </row>
    <row r="433" spans="2:36" ht="16.5" customHeight="1">
      <c r="B433" s="15"/>
      <c r="C433" s="15"/>
      <c r="D433" s="8"/>
      <c r="E433" s="9" t="s">
        <v>190</v>
      </c>
      <c r="F433" s="5">
        <v>2</v>
      </c>
      <c r="G433" s="6">
        <v>0</v>
      </c>
      <c r="H433" s="7" t="s">
        <v>224</v>
      </c>
      <c r="I433" s="10"/>
      <c r="J433" s="8"/>
      <c r="K433" s="9" t="s">
        <v>217</v>
      </c>
      <c r="L433" s="5">
        <v>2</v>
      </c>
      <c r="M433" s="6">
        <v>1</v>
      </c>
      <c r="N433" s="7" t="str">
        <f t="shared" si="334"/>
        <v/>
      </c>
      <c r="O433" s="10"/>
      <c r="P433" s="39"/>
      <c r="Q433" s="38"/>
      <c r="T433" s="121" t="str">
        <f t="shared" si="335"/>
        <v/>
      </c>
      <c r="U433" s="118">
        <f t="shared" si="336"/>
        <v>0</v>
      </c>
      <c r="V433" s="117">
        <f t="shared" si="337"/>
        <v>0</v>
      </c>
      <c r="W433" s="117">
        <f t="shared" si="338"/>
        <v>1</v>
      </c>
      <c r="X433" s="117">
        <f t="shared" si="339"/>
        <v>2</v>
      </c>
      <c r="Y433" s="117">
        <f t="shared" si="340"/>
        <v>0</v>
      </c>
      <c r="Z433" s="117">
        <f t="shared" si="341"/>
        <v>0</v>
      </c>
      <c r="AA433" s="117">
        <f t="shared" si="342"/>
        <v>0</v>
      </c>
      <c r="AC433" s="121" t="str">
        <f t="shared" si="343"/>
        <v/>
      </c>
      <c r="AD433" s="118">
        <f t="shared" si="344"/>
        <v>0</v>
      </c>
      <c r="AE433" s="117">
        <f t="shared" si="345"/>
        <v>0</v>
      </c>
      <c r="AF433" s="117">
        <f t="shared" si="346"/>
        <v>1</v>
      </c>
      <c r="AG433" s="117">
        <f t="shared" si="347"/>
        <v>1</v>
      </c>
      <c r="AH433" s="117">
        <f t="shared" si="348"/>
        <v>0</v>
      </c>
      <c r="AI433" s="117">
        <f t="shared" si="349"/>
        <v>0</v>
      </c>
      <c r="AJ433" s="117">
        <f t="shared" si="350"/>
        <v>0</v>
      </c>
    </row>
    <row r="434" spans="2:36" ht="16.5" customHeight="1">
      <c r="B434" s="15"/>
      <c r="C434" s="15"/>
      <c r="D434" s="4"/>
      <c r="E434" s="4" t="s">
        <v>191</v>
      </c>
      <c r="F434" s="5">
        <v>1</v>
      </c>
      <c r="G434" s="6">
        <v>0</v>
      </c>
      <c r="H434" s="7" t="s">
        <v>224</v>
      </c>
      <c r="I434" s="7"/>
      <c r="J434" s="4"/>
      <c r="K434" s="4" t="s">
        <v>218</v>
      </c>
      <c r="L434" s="5">
        <v>3</v>
      </c>
      <c r="M434" s="6">
        <v>1</v>
      </c>
      <c r="N434" s="7" t="str">
        <f t="shared" si="334"/>
        <v/>
      </c>
      <c r="O434" s="7"/>
      <c r="P434" s="39"/>
      <c r="Q434" s="38"/>
      <c r="T434" s="121" t="str">
        <f t="shared" si="335"/>
        <v/>
      </c>
      <c r="U434" s="118">
        <f t="shared" si="336"/>
        <v>0</v>
      </c>
      <c r="V434" s="117">
        <f t="shared" si="337"/>
        <v>0</v>
      </c>
      <c r="W434" s="117">
        <f t="shared" si="338"/>
        <v>1</v>
      </c>
      <c r="X434" s="117">
        <f t="shared" si="339"/>
        <v>1</v>
      </c>
      <c r="Y434" s="117">
        <f t="shared" si="340"/>
        <v>0</v>
      </c>
      <c r="Z434" s="117">
        <f t="shared" si="341"/>
        <v>0</v>
      </c>
      <c r="AA434" s="117">
        <f t="shared" si="342"/>
        <v>0</v>
      </c>
      <c r="AC434" s="121" t="str">
        <f t="shared" si="343"/>
        <v/>
      </c>
      <c r="AD434" s="118">
        <f t="shared" si="344"/>
        <v>0</v>
      </c>
      <c r="AE434" s="117">
        <f t="shared" si="345"/>
        <v>0</v>
      </c>
      <c r="AF434" s="117">
        <f t="shared" si="346"/>
        <v>1</v>
      </c>
      <c r="AG434" s="117">
        <f t="shared" si="347"/>
        <v>2</v>
      </c>
      <c r="AH434" s="117">
        <f t="shared" si="348"/>
        <v>0</v>
      </c>
      <c r="AI434" s="117">
        <f t="shared" si="349"/>
        <v>0</v>
      </c>
      <c r="AJ434" s="117">
        <f t="shared" si="350"/>
        <v>0</v>
      </c>
    </row>
    <row r="435" spans="2:36" ht="16.5" customHeight="1">
      <c r="B435" s="15"/>
      <c r="C435" s="15"/>
      <c r="D435" s="8"/>
      <c r="E435" s="9" t="s">
        <v>192</v>
      </c>
      <c r="F435" s="5">
        <v>2</v>
      </c>
      <c r="G435" s="6">
        <v>0</v>
      </c>
      <c r="H435" s="7" t="s">
        <v>224</v>
      </c>
      <c r="I435" s="10"/>
      <c r="J435" s="8"/>
      <c r="K435" s="9" t="s">
        <v>219</v>
      </c>
      <c r="L435" s="5">
        <v>2</v>
      </c>
      <c r="M435" s="6">
        <v>1</v>
      </c>
      <c r="N435" s="7" t="str">
        <f t="shared" si="334"/>
        <v/>
      </c>
      <c r="O435" s="10"/>
      <c r="P435" s="39"/>
      <c r="Q435" s="38"/>
      <c r="T435" s="121" t="str">
        <f t="shared" si="335"/>
        <v/>
      </c>
      <c r="U435" s="118">
        <f t="shared" si="336"/>
        <v>0</v>
      </c>
      <c r="V435" s="117">
        <f t="shared" si="337"/>
        <v>0</v>
      </c>
      <c r="W435" s="117">
        <f t="shared" si="338"/>
        <v>1</v>
      </c>
      <c r="X435" s="117">
        <f t="shared" si="339"/>
        <v>2</v>
      </c>
      <c r="Y435" s="117">
        <f t="shared" si="340"/>
        <v>0</v>
      </c>
      <c r="Z435" s="117">
        <f t="shared" si="341"/>
        <v>0</v>
      </c>
      <c r="AA435" s="117">
        <f t="shared" si="342"/>
        <v>0</v>
      </c>
      <c r="AC435" s="121" t="str">
        <f t="shared" si="343"/>
        <v/>
      </c>
      <c r="AD435" s="118">
        <f t="shared" si="344"/>
        <v>0</v>
      </c>
      <c r="AE435" s="117">
        <f t="shared" si="345"/>
        <v>0</v>
      </c>
      <c r="AF435" s="117">
        <f t="shared" si="346"/>
        <v>1</v>
      </c>
      <c r="AG435" s="117">
        <f t="shared" si="347"/>
        <v>1</v>
      </c>
      <c r="AH435" s="117">
        <f t="shared" si="348"/>
        <v>0</v>
      </c>
      <c r="AI435" s="117">
        <f t="shared" si="349"/>
        <v>0</v>
      </c>
      <c r="AJ435" s="117">
        <f t="shared" si="350"/>
        <v>0</v>
      </c>
    </row>
    <row r="436" spans="2:36" ht="16.5" customHeight="1">
      <c r="B436" s="15"/>
      <c r="C436" s="15"/>
      <c r="D436" s="4"/>
      <c r="E436" s="4" t="s">
        <v>193</v>
      </c>
      <c r="F436" s="5">
        <v>2</v>
      </c>
      <c r="G436" s="6">
        <v>0</v>
      </c>
      <c r="H436" s="7" t="s">
        <v>224</v>
      </c>
      <c r="I436" s="7"/>
      <c r="J436" s="4"/>
      <c r="K436" s="4" t="s">
        <v>220</v>
      </c>
      <c r="L436" s="5">
        <v>2</v>
      </c>
      <c r="M436" s="6">
        <v>1</v>
      </c>
      <c r="N436" s="7" t="str">
        <f t="shared" si="334"/>
        <v/>
      </c>
      <c r="O436" s="7"/>
      <c r="P436" s="39"/>
      <c r="Q436" s="38"/>
      <c r="T436" s="121" t="str">
        <f t="shared" si="335"/>
        <v/>
      </c>
      <c r="U436" s="118">
        <f t="shared" si="336"/>
        <v>0</v>
      </c>
      <c r="V436" s="117">
        <f t="shared" si="337"/>
        <v>0</v>
      </c>
      <c r="W436" s="117">
        <f t="shared" si="338"/>
        <v>1</v>
      </c>
      <c r="X436" s="117">
        <f t="shared" si="339"/>
        <v>2</v>
      </c>
      <c r="Y436" s="117">
        <f t="shared" si="340"/>
        <v>0</v>
      </c>
      <c r="Z436" s="117">
        <f t="shared" si="341"/>
        <v>0</v>
      </c>
      <c r="AA436" s="117">
        <f t="shared" si="342"/>
        <v>0</v>
      </c>
      <c r="AC436" s="121" t="str">
        <f t="shared" si="343"/>
        <v/>
      </c>
      <c r="AD436" s="118">
        <f t="shared" si="344"/>
        <v>0</v>
      </c>
      <c r="AE436" s="117">
        <f t="shared" si="345"/>
        <v>0</v>
      </c>
      <c r="AF436" s="117">
        <f t="shared" si="346"/>
        <v>1</v>
      </c>
      <c r="AG436" s="117">
        <f t="shared" si="347"/>
        <v>1</v>
      </c>
      <c r="AH436" s="117">
        <f t="shared" si="348"/>
        <v>0</v>
      </c>
      <c r="AI436" s="117">
        <f t="shared" si="349"/>
        <v>0</v>
      </c>
      <c r="AJ436" s="117">
        <f t="shared" si="350"/>
        <v>0</v>
      </c>
    </row>
    <row r="437" spans="2:36" ht="16.5" customHeight="1">
      <c r="B437" s="15"/>
      <c r="C437" s="15"/>
      <c r="D437" s="8"/>
      <c r="E437" s="9" t="s">
        <v>194</v>
      </c>
      <c r="F437" s="5">
        <v>2</v>
      </c>
      <c r="G437" s="6">
        <v>0</v>
      </c>
      <c r="H437" s="7" t="s">
        <v>224</v>
      </c>
      <c r="I437" s="10"/>
      <c r="J437" s="8"/>
      <c r="K437" s="9" t="s">
        <v>221</v>
      </c>
      <c r="L437" s="5">
        <v>1</v>
      </c>
      <c r="M437" s="6">
        <v>0</v>
      </c>
      <c r="N437" s="7" t="str">
        <f t="shared" si="334"/>
        <v/>
      </c>
      <c r="O437" s="10"/>
      <c r="P437" s="39"/>
      <c r="Q437" s="38"/>
      <c r="T437" s="121" t="str">
        <f t="shared" si="335"/>
        <v/>
      </c>
      <c r="U437" s="118">
        <f t="shared" si="336"/>
        <v>0</v>
      </c>
      <c r="V437" s="117">
        <f t="shared" si="337"/>
        <v>0</v>
      </c>
      <c r="W437" s="117">
        <f t="shared" si="338"/>
        <v>1</v>
      </c>
      <c r="X437" s="117">
        <f t="shared" si="339"/>
        <v>2</v>
      </c>
      <c r="Y437" s="117">
        <f t="shared" si="340"/>
        <v>0</v>
      </c>
      <c r="Z437" s="117">
        <f t="shared" si="341"/>
        <v>0</v>
      </c>
      <c r="AA437" s="117">
        <f t="shared" si="342"/>
        <v>0</v>
      </c>
      <c r="AC437" s="121" t="str">
        <f t="shared" si="343"/>
        <v/>
      </c>
      <c r="AD437" s="118">
        <f t="shared" si="344"/>
        <v>0</v>
      </c>
      <c r="AE437" s="117">
        <f t="shared" si="345"/>
        <v>0</v>
      </c>
      <c r="AF437" s="117">
        <f t="shared" si="346"/>
        <v>1</v>
      </c>
      <c r="AG437" s="117">
        <f t="shared" si="347"/>
        <v>1</v>
      </c>
      <c r="AH437" s="117">
        <f t="shared" si="348"/>
        <v>0</v>
      </c>
      <c r="AI437" s="117">
        <f t="shared" si="349"/>
        <v>0</v>
      </c>
      <c r="AJ437" s="117">
        <f t="shared" si="350"/>
        <v>0</v>
      </c>
    </row>
    <row r="438" spans="2:36" ht="16.5" customHeight="1">
      <c r="K438" s="3"/>
    </row>
    <row r="439" spans="2:36" ht="23.25">
      <c r="B439" s="33" t="s">
        <v>130</v>
      </c>
      <c r="C439" s="52"/>
      <c r="D439" s="52"/>
      <c r="E439" s="55" t="s">
        <v>77</v>
      </c>
      <c r="F439" s="56"/>
      <c r="G439" s="57"/>
      <c r="H439" s="57"/>
      <c r="I439" s="56"/>
      <c r="J439" s="82"/>
      <c r="K439" s="82" t="s">
        <v>78</v>
      </c>
      <c r="M439" s="91"/>
      <c r="N439" s="92"/>
      <c r="O439" s="92"/>
      <c r="P439" s="93"/>
      <c r="Q439" s="92"/>
      <c r="R439" s="92"/>
    </row>
    <row r="440" spans="2:36" ht="16.5" customHeight="1">
      <c r="C440" s="1"/>
      <c r="D440" s="1"/>
      <c r="E440" s="1"/>
      <c r="H440" s="1"/>
      <c r="I440" s="1"/>
      <c r="J440" s="1"/>
      <c r="P440" s="1"/>
    </row>
    <row r="441" spans="2:36" ht="16.5" customHeight="1">
      <c r="B441" s="12"/>
      <c r="C441" s="12" t="s">
        <v>7</v>
      </c>
      <c r="D441" s="4"/>
      <c r="E441" s="4" t="s">
        <v>32</v>
      </c>
      <c r="F441" s="5">
        <v>0</v>
      </c>
      <c r="G441" s="6">
        <v>1</v>
      </c>
      <c r="H441" s="7" t="s">
        <v>224</v>
      </c>
      <c r="I441" s="7"/>
      <c r="J441" s="4"/>
      <c r="K441" s="4" t="s">
        <v>195</v>
      </c>
      <c r="L441" s="5">
        <v>0</v>
      </c>
      <c r="M441" s="6">
        <v>2</v>
      </c>
      <c r="N441" s="7" t="str">
        <f>AC441</f>
        <v/>
      </c>
      <c r="O441" s="7"/>
      <c r="P441" s="24" t="s">
        <v>13</v>
      </c>
      <c r="Q441" s="13"/>
      <c r="T441" s="121" t="str">
        <f>IF($G$439="","",SUM(Y441:AA441))</f>
        <v/>
      </c>
      <c r="U441" s="118">
        <f t="shared" ref="U441" si="351">IF(V441&gt;0,1,IF(V441=0,0,2))</f>
        <v>0</v>
      </c>
      <c r="V441" s="117">
        <f>$G$439-$H$439</f>
        <v>0</v>
      </c>
      <c r="W441" s="117">
        <f t="shared" ref="W441" si="352">IF(X441&gt;0,1,IF(X441=0,0,2))</f>
        <v>2</v>
      </c>
      <c r="X441" s="117">
        <f>F441-G441</f>
        <v>-1</v>
      </c>
      <c r="Y441" s="117">
        <f t="shared" ref="Y441" si="353">IF(U441=W441,3,0)</f>
        <v>0</v>
      </c>
      <c r="Z441" s="117">
        <f t="shared" ref="Z441" si="354">IF(V441=X441,1,0)</f>
        <v>0</v>
      </c>
      <c r="AA441" s="117">
        <f>IF(Z441=1,IF($G$439=F441,1,0),0)</f>
        <v>0</v>
      </c>
      <c r="AC441" s="121" t="str">
        <f>IF($G$439="","",SUM(AH441:AJ441))</f>
        <v/>
      </c>
      <c r="AD441" s="118">
        <f t="shared" ref="AD441" si="355">IF(AE441&gt;0,1,IF(AE441=0,0,2))</f>
        <v>0</v>
      </c>
      <c r="AE441" s="117">
        <f>$G$439-$H$439</f>
        <v>0</v>
      </c>
      <c r="AF441" s="117">
        <f t="shared" ref="AF441" si="356">IF(AG441&gt;0,1,IF(AG441=0,0,2))</f>
        <v>2</v>
      </c>
      <c r="AG441" s="117">
        <f>L441-M441</f>
        <v>-2</v>
      </c>
      <c r="AH441" s="117">
        <f t="shared" ref="AH441" si="357">IF(AD441=AF441,3,0)</f>
        <v>0</v>
      </c>
      <c r="AI441" s="117">
        <f t="shared" ref="AI441" si="358">IF(AE441=AG441,1,0)</f>
        <v>0</v>
      </c>
      <c r="AJ441" s="117">
        <f>IF(AI441=1,IF($G$439=L441,1,0),0)</f>
        <v>0</v>
      </c>
    </row>
    <row r="442" spans="2:36" ht="16.5" customHeight="1">
      <c r="B442" s="12"/>
      <c r="C442" s="12"/>
      <c r="D442" s="8"/>
      <c r="E442" s="9" t="s">
        <v>170</v>
      </c>
      <c r="F442" s="5">
        <v>0</v>
      </c>
      <c r="G442" s="6">
        <v>2</v>
      </c>
      <c r="H442" s="7" t="s">
        <v>224</v>
      </c>
      <c r="I442" s="10"/>
      <c r="J442" s="8"/>
      <c r="K442" s="9" t="s">
        <v>196</v>
      </c>
      <c r="L442" s="5">
        <v>0</v>
      </c>
      <c r="M442" s="6">
        <v>0</v>
      </c>
      <c r="N442" s="7" t="str">
        <f t="shared" ref="N442:N468" si="359">AC442</f>
        <v/>
      </c>
      <c r="O442" s="10"/>
      <c r="P442" s="24"/>
      <c r="Q442" s="13"/>
      <c r="T442" s="121" t="str">
        <f t="shared" ref="T442:T468" si="360">IF($G$439="","",SUM(Y442:AA442))</f>
        <v/>
      </c>
      <c r="U442" s="118">
        <f t="shared" ref="U442:U468" si="361">IF(V442&gt;0,1,IF(V442=0,0,2))</f>
        <v>0</v>
      </c>
      <c r="V442" s="117">
        <f t="shared" ref="V442:V468" si="362">$G$439-$H$439</f>
        <v>0</v>
      </c>
      <c r="W442" s="117">
        <f t="shared" ref="W442:W468" si="363">IF(X442&gt;0,1,IF(X442=0,0,2))</f>
        <v>2</v>
      </c>
      <c r="X442" s="117">
        <f t="shared" ref="X442:X468" si="364">F442-G442</f>
        <v>-2</v>
      </c>
      <c r="Y442" s="117">
        <f t="shared" ref="Y442:Y468" si="365">IF(U442=W442,3,0)</f>
        <v>0</v>
      </c>
      <c r="Z442" s="117">
        <f t="shared" ref="Z442:Z468" si="366">IF(V442=X442,1,0)</f>
        <v>0</v>
      </c>
      <c r="AA442" s="117">
        <f t="shared" ref="AA442:AA468" si="367">IF(Z442=1,IF($G$439=F442,1,0),0)</f>
        <v>0</v>
      </c>
      <c r="AC442" s="121" t="str">
        <f t="shared" ref="AC442:AC468" si="368">IF($G$439="","",SUM(AH442:AJ442))</f>
        <v/>
      </c>
      <c r="AD442" s="118">
        <f t="shared" ref="AD442:AD468" si="369">IF(AE442&gt;0,1,IF(AE442=0,0,2))</f>
        <v>0</v>
      </c>
      <c r="AE442" s="117">
        <f t="shared" ref="AE442:AE468" si="370">$G$439-$H$439</f>
        <v>0</v>
      </c>
      <c r="AF442" s="117">
        <f t="shared" ref="AF442:AF468" si="371">IF(AG442&gt;0,1,IF(AG442=0,0,2))</f>
        <v>0</v>
      </c>
      <c r="AG442" s="117">
        <f t="shared" ref="AG442:AG468" si="372">L442-M442</f>
        <v>0</v>
      </c>
      <c r="AH442" s="117">
        <f t="shared" ref="AH442:AH468" si="373">IF(AD442=AF442,3,0)</f>
        <v>3</v>
      </c>
      <c r="AI442" s="117">
        <f t="shared" ref="AI442:AI468" si="374">IF(AE442=AG442,1,0)</f>
        <v>1</v>
      </c>
      <c r="AJ442" s="117">
        <f t="shared" ref="AJ442:AJ468" si="375">IF(AI442=1,IF($G$439=L442,1,0),0)</f>
        <v>1</v>
      </c>
    </row>
    <row r="443" spans="2:36" ht="16.5" customHeight="1">
      <c r="B443" s="12"/>
      <c r="C443" s="12"/>
      <c r="D443" s="4"/>
      <c r="E443" s="4" t="s">
        <v>171</v>
      </c>
      <c r="F443" s="5">
        <v>1</v>
      </c>
      <c r="G443" s="6">
        <v>3</v>
      </c>
      <c r="H443" s="7" t="s">
        <v>224</v>
      </c>
      <c r="I443" s="7"/>
      <c r="J443" s="4"/>
      <c r="K443" s="4" t="s">
        <v>197</v>
      </c>
      <c r="L443" s="5">
        <v>0</v>
      </c>
      <c r="M443" s="6">
        <v>3</v>
      </c>
      <c r="N443" s="7" t="str">
        <f t="shared" si="359"/>
        <v/>
      </c>
      <c r="O443" s="7"/>
      <c r="P443" s="24"/>
      <c r="Q443" s="13"/>
      <c r="T443" s="121" t="str">
        <f t="shared" si="360"/>
        <v/>
      </c>
      <c r="U443" s="118">
        <f t="shared" si="361"/>
        <v>0</v>
      </c>
      <c r="V443" s="117">
        <f t="shared" si="362"/>
        <v>0</v>
      </c>
      <c r="W443" s="117">
        <f t="shared" si="363"/>
        <v>2</v>
      </c>
      <c r="X443" s="117">
        <f t="shared" si="364"/>
        <v>-2</v>
      </c>
      <c r="Y443" s="117">
        <f t="shared" si="365"/>
        <v>0</v>
      </c>
      <c r="Z443" s="117">
        <f t="shared" si="366"/>
        <v>0</v>
      </c>
      <c r="AA443" s="117">
        <f t="shared" si="367"/>
        <v>0</v>
      </c>
      <c r="AC443" s="121" t="str">
        <f t="shared" si="368"/>
        <v/>
      </c>
      <c r="AD443" s="118">
        <f t="shared" si="369"/>
        <v>0</v>
      </c>
      <c r="AE443" s="117">
        <f t="shared" si="370"/>
        <v>0</v>
      </c>
      <c r="AF443" s="117">
        <f t="shared" si="371"/>
        <v>2</v>
      </c>
      <c r="AG443" s="117">
        <f t="shared" si="372"/>
        <v>-3</v>
      </c>
      <c r="AH443" s="117">
        <f t="shared" si="373"/>
        <v>0</v>
      </c>
      <c r="AI443" s="117">
        <f t="shared" si="374"/>
        <v>0</v>
      </c>
      <c r="AJ443" s="117">
        <f t="shared" si="375"/>
        <v>0</v>
      </c>
    </row>
    <row r="444" spans="2:36" ht="16.5" customHeight="1">
      <c r="B444" s="12"/>
      <c r="C444" s="12"/>
      <c r="D444" s="8"/>
      <c r="E444" s="9" t="s">
        <v>172</v>
      </c>
      <c r="F444" s="5">
        <v>0</v>
      </c>
      <c r="G444" s="6">
        <v>1</v>
      </c>
      <c r="H444" s="7" t="s">
        <v>224</v>
      </c>
      <c r="I444" s="10"/>
      <c r="J444" s="8"/>
      <c r="K444" s="9" t="s">
        <v>198</v>
      </c>
      <c r="L444" s="5">
        <v>1</v>
      </c>
      <c r="M444" s="6">
        <v>3</v>
      </c>
      <c r="N444" s="7" t="str">
        <f t="shared" si="359"/>
        <v/>
      </c>
      <c r="O444" s="10"/>
      <c r="P444" s="24"/>
      <c r="Q444" s="13"/>
      <c r="T444" s="121" t="str">
        <f t="shared" si="360"/>
        <v/>
      </c>
      <c r="U444" s="118">
        <f t="shared" si="361"/>
        <v>0</v>
      </c>
      <c r="V444" s="117">
        <f t="shared" si="362"/>
        <v>0</v>
      </c>
      <c r="W444" s="117">
        <f t="shared" si="363"/>
        <v>2</v>
      </c>
      <c r="X444" s="117">
        <f t="shared" si="364"/>
        <v>-1</v>
      </c>
      <c r="Y444" s="117">
        <f t="shared" si="365"/>
        <v>0</v>
      </c>
      <c r="Z444" s="117">
        <f t="shared" si="366"/>
        <v>0</v>
      </c>
      <c r="AA444" s="117">
        <f t="shared" si="367"/>
        <v>0</v>
      </c>
      <c r="AC444" s="121" t="str">
        <f t="shared" si="368"/>
        <v/>
      </c>
      <c r="AD444" s="118">
        <f t="shared" si="369"/>
        <v>0</v>
      </c>
      <c r="AE444" s="117">
        <f t="shared" si="370"/>
        <v>0</v>
      </c>
      <c r="AF444" s="117">
        <f t="shared" si="371"/>
        <v>2</v>
      </c>
      <c r="AG444" s="117">
        <f t="shared" si="372"/>
        <v>-2</v>
      </c>
      <c r="AH444" s="117">
        <f t="shared" si="373"/>
        <v>0</v>
      </c>
      <c r="AI444" s="117">
        <f t="shared" si="374"/>
        <v>0</v>
      </c>
      <c r="AJ444" s="117">
        <f t="shared" si="375"/>
        <v>0</v>
      </c>
    </row>
    <row r="445" spans="2:36" ht="16.5" customHeight="1">
      <c r="B445" s="12"/>
      <c r="C445" s="12"/>
      <c r="D445" s="4"/>
      <c r="E445" s="4" t="s">
        <v>173</v>
      </c>
      <c r="F445" s="5">
        <v>0</v>
      </c>
      <c r="G445" s="6">
        <v>3</v>
      </c>
      <c r="H445" s="7" t="s">
        <v>224</v>
      </c>
      <c r="I445" s="7"/>
      <c r="J445" s="4"/>
      <c r="K445" s="4" t="s">
        <v>199</v>
      </c>
      <c r="L445" s="5">
        <v>0</v>
      </c>
      <c r="M445" s="6">
        <v>2</v>
      </c>
      <c r="N445" s="7" t="str">
        <f t="shared" si="359"/>
        <v/>
      </c>
      <c r="O445" s="7"/>
      <c r="P445" s="24"/>
      <c r="Q445" s="13"/>
      <c r="T445" s="121" t="str">
        <f t="shared" si="360"/>
        <v/>
      </c>
      <c r="U445" s="118">
        <f t="shared" si="361"/>
        <v>0</v>
      </c>
      <c r="V445" s="117">
        <f t="shared" si="362"/>
        <v>0</v>
      </c>
      <c r="W445" s="117">
        <f t="shared" si="363"/>
        <v>2</v>
      </c>
      <c r="X445" s="117">
        <f t="shared" si="364"/>
        <v>-3</v>
      </c>
      <c r="Y445" s="117">
        <f t="shared" si="365"/>
        <v>0</v>
      </c>
      <c r="Z445" s="117">
        <f t="shared" si="366"/>
        <v>0</v>
      </c>
      <c r="AA445" s="117">
        <f t="shared" si="367"/>
        <v>0</v>
      </c>
      <c r="AC445" s="121" t="str">
        <f t="shared" si="368"/>
        <v/>
      </c>
      <c r="AD445" s="118">
        <f t="shared" si="369"/>
        <v>0</v>
      </c>
      <c r="AE445" s="117">
        <f t="shared" si="370"/>
        <v>0</v>
      </c>
      <c r="AF445" s="117">
        <f t="shared" si="371"/>
        <v>2</v>
      </c>
      <c r="AG445" s="117">
        <f t="shared" si="372"/>
        <v>-2</v>
      </c>
      <c r="AH445" s="117">
        <f t="shared" si="373"/>
        <v>0</v>
      </c>
      <c r="AI445" s="117">
        <f t="shared" si="374"/>
        <v>0</v>
      </c>
      <c r="AJ445" s="117">
        <f t="shared" si="375"/>
        <v>0</v>
      </c>
    </row>
    <row r="446" spans="2:36" ht="16.5" customHeight="1">
      <c r="B446" s="12"/>
      <c r="C446" s="12"/>
      <c r="D446" s="8"/>
      <c r="E446" s="9" t="s">
        <v>174</v>
      </c>
      <c r="F446" s="5">
        <v>0</v>
      </c>
      <c r="G446" s="6">
        <v>2</v>
      </c>
      <c r="H446" s="7" t="s">
        <v>224</v>
      </c>
      <c r="I446" s="10"/>
      <c r="J446" s="8"/>
      <c r="K446" s="9" t="s">
        <v>200</v>
      </c>
      <c r="L446" s="5">
        <v>0</v>
      </c>
      <c r="M446" s="6">
        <v>2</v>
      </c>
      <c r="N446" s="7" t="str">
        <f t="shared" si="359"/>
        <v/>
      </c>
      <c r="O446" s="10"/>
      <c r="P446" s="24"/>
      <c r="Q446" s="13"/>
      <c r="T446" s="121" t="str">
        <f t="shared" si="360"/>
        <v/>
      </c>
      <c r="U446" s="118">
        <f t="shared" si="361"/>
        <v>0</v>
      </c>
      <c r="V446" s="117">
        <f t="shared" si="362"/>
        <v>0</v>
      </c>
      <c r="W446" s="117">
        <f t="shared" si="363"/>
        <v>2</v>
      </c>
      <c r="X446" s="117">
        <f t="shared" si="364"/>
        <v>-2</v>
      </c>
      <c r="Y446" s="117">
        <f t="shared" si="365"/>
        <v>0</v>
      </c>
      <c r="Z446" s="117">
        <f t="shared" si="366"/>
        <v>0</v>
      </c>
      <c r="AA446" s="117">
        <f t="shared" si="367"/>
        <v>0</v>
      </c>
      <c r="AC446" s="121" t="str">
        <f t="shared" si="368"/>
        <v/>
      </c>
      <c r="AD446" s="118">
        <f t="shared" si="369"/>
        <v>0</v>
      </c>
      <c r="AE446" s="117">
        <f t="shared" si="370"/>
        <v>0</v>
      </c>
      <c r="AF446" s="117">
        <f t="shared" si="371"/>
        <v>2</v>
      </c>
      <c r="AG446" s="117">
        <f t="shared" si="372"/>
        <v>-2</v>
      </c>
      <c r="AH446" s="117">
        <f t="shared" si="373"/>
        <v>0</v>
      </c>
      <c r="AI446" s="117">
        <f t="shared" si="374"/>
        <v>0</v>
      </c>
      <c r="AJ446" s="117">
        <f t="shared" si="375"/>
        <v>0</v>
      </c>
    </row>
    <row r="447" spans="2:36" ht="16.5" customHeight="1">
      <c r="B447" s="12"/>
      <c r="C447" s="12"/>
      <c r="D447" s="4"/>
      <c r="E447" s="4" t="s">
        <v>175</v>
      </c>
      <c r="F447" s="5">
        <v>1</v>
      </c>
      <c r="G447" s="6">
        <v>2</v>
      </c>
      <c r="H447" s="7" t="s">
        <v>224</v>
      </c>
      <c r="I447" s="7"/>
      <c r="J447" s="4"/>
      <c r="K447" s="4" t="s">
        <v>201</v>
      </c>
      <c r="L447" s="5">
        <v>1</v>
      </c>
      <c r="M447" s="6">
        <v>2</v>
      </c>
      <c r="N447" s="7" t="str">
        <f t="shared" si="359"/>
        <v/>
      </c>
      <c r="O447" s="7"/>
      <c r="P447" s="24"/>
      <c r="Q447" s="13"/>
      <c r="T447" s="121" t="str">
        <f t="shared" si="360"/>
        <v/>
      </c>
      <c r="U447" s="118">
        <f t="shared" si="361"/>
        <v>0</v>
      </c>
      <c r="V447" s="117">
        <f t="shared" si="362"/>
        <v>0</v>
      </c>
      <c r="W447" s="117">
        <f t="shared" si="363"/>
        <v>2</v>
      </c>
      <c r="X447" s="117">
        <f t="shared" si="364"/>
        <v>-1</v>
      </c>
      <c r="Y447" s="117">
        <f t="shared" si="365"/>
        <v>0</v>
      </c>
      <c r="Z447" s="117">
        <f t="shared" si="366"/>
        <v>0</v>
      </c>
      <c r="AA447" s="117">
        <f t="shared" si="367"/>
        <v>0</v>
      </c>
      <c r="AC447" s="121" t="str">
        <f t="shared" si="368"/>
        <v/>
      </c>
      <c r="AD447" s="118">
        <f t="shared" si="369"/>
        <v>0</v>
      </c>
      <c r="AE447" s="117">
        <f t="shared" si="370"/>
        <v>0</v>
      </c>
      <c r="AF447" s="117">
        <f t="shared" si="371"/>
        <v>2</v>
      </c>
      <c r="AG447" s="117">
        <f t="shared" si="372"/>
        <v>-1</v>
      </c>
      <c r="AH447" s="117">
        <f t="shared" si="373"/>
        <v>0</v>
      </c>
      <c r="AI447" s="117">
        <f t="shared" si="374"/>
        <v>0</v>
      </c>
      <c r="AJ447" s="117">
        <f t="shared" si="375"/>
        <v>0</v>
      </c>
    </row>
    <row r="448" spans="2:36" ht="16.5" customHeight="1">
      <c r="B448" s="14"/>
      <c r="C448" s="14" t="s">
        <v>8</v>
      </c>
      <c r="D448" s="8"/>
      <c r="E448" s="9" t="s">
        <v>33</v>
      </c>
      <c r="F448" s="5">
        <v>1</v>
      </c>
      <c r="G448" s="6">
        <v>2</v>
      </c>
      <c r="H448" s="7" t="s">
        <v>224</v>
      </c>
      <c r="I448" s="10"/>
      <c r="J448" s="8"/>
      <c r="K448" s="9" t="s">
        <v>225</v>
      </c>
      <c r="L448" s="5">
        <v>0</v>
      </c>
      <c r="M448" s="6">
        <v>2</v>
      </c>
      <c r="N448" s="7" t="str">
        <f t="shared" si="359"/>
        <v/>
      </c>
      <c r="O448" s="10"/>
      <c r="P448" s="31" t="s">
        <v>16</v>
      </c>
      <c r="Q448" s="30"/>
      <c r="T448" s="121" t="str">
        <f t="shared" si="360"/>
        <v/>
      </c>
      <c r="U448" s="118">
        <f t="shared" si="361"/>
        <v>0</v>
      </c>
      <c r="V448" s="117">
        <f t="shared" si="362"/>
        <v>0</v>
      </c>
      <c r="W448" s="117">
        <f t="shared" si="363"/>
        <v>2</v>
      </c>
      <c r="X448" s="117">
        <f t="shared" si="364"/>
        <v>-1</v>
      </c>
      <c r="Y448" s="117">
        <f t="shared" si="365"/>
        <v>0</v>
      </c>
      <c r="Z448" s="117">
        <f t="shared" si="366"/>
        <v>0</v>
      </c>
      <c r="AA448" s="117">
        <f t="shared" si="367"/>
        <v>0</v>
      </c>
      <c r="AC448" s="121" t="str">
        <f t="shared" si="368"/>
        <v/>
      </c>
      <c r="AD448" s="118">
        <f t="shared" si="369"/>
        <v>0</v>
      </c>
      <c r="AE448" s="117">
        <f t="shared" si="370"/>
        <v>0</v>
      </c>
      <c r="AF448" s="117">
        <f t="shared" si="371"/>
        <v>2</v>
      </c>
      <c r="AG448" s="117">
        <f t="shared" si="372"/>
        <v>-2</v>
      </c>
      <c r="AH448" s="117">
        <f t="shared" si="373"/>
        <v>0</v>
      </c>
      <c r="AI448" s="117">
        <f t="shared" si="374"/>
        <v>0</v>
      </c>
      <c r="AJ448" s="117">
        <f t="shared" si="375"/>
        <v>0</v>
      </c>
    </row>
    <row r="449" spans="2:36" ht="16.5" customHeight="1">
      <c r="B449" s="14"/>
      <c r="C449" s="14"/>
      <c r="D449" s="4"/>
      <c r="E449" s="4" t="s">
        <v>176</v>
      </c>
      <c r="F449" s="5">
        <v>0</v>
      </c>
      <c r="G449" s="6">
        <v>2</v>
      </c>
      <c r="H449" s="7" t="s">
        <v>224</v>
      </c>
      <c r="I449" s="7"/>
      <c r="J449" s="4"/>
      <c r="K449" s="4" t="s">
        <v>203</v>
      </c>
      <c r="L449" s="5">
        <v>0</v>
      </c>
      <c r="M449" s="6">
        <v>2</v>
      </c>
      <c r="N449" s="7" t="str">
        <f t="shared" si="359"/>
        <v/>
      </c>
      <c r="O449" s="7"/>
      <c r="P449" s="31"/>
      <c r="Q449" s="30"/>
      <c r="T449" s="121" t="str">
        <f t="shared" si="360"/>
        <v/>
      </c>
      <c r="U449" s="118">
        <f t="shared" si="361"/>
        <v>0</v>
      </c>
      <c r="V449" s="117">
        <f t="shared" si="362"/>
        <v>0</v>
      </c>
      <c r="W449" s="117">
        <f t="shared" si="363"/>
        <v>2</v>
      </c>
      <c r="X449" s="117">
        <f t="shared" si="364"/>
        <v>-2</v>
      </c>
      <c r="Y449" s="117">
        <f t="shared" si="365"/>
        <v>0</v>
      </c>
      <c r="Z449" s="117">
        <f t="shared" si="366"/>
        <v>0</v>
      </c>
      <c r="AA449" s="117">
        <f t="shared" si="367"/>
        <v>0</v>
      </c>
      <c r="AC449" s="121" t="str">
        <f t="shared" si="368"/>
        <v/>
      </c>
      <c r="AD449" s="118">
        <f t="shared" si="369"/>
        <v>0</v>
      </c>
      <c r="AE449" s="117">
        <f t="shared" si="370"/>
        <v>0</v>
      </c>
      <c r="AF449" s="117">
        <f t="shared" si="371"/>
        <v>2</v>
      </c>
      <c r="AG449" s="117">
        <f t="shared" si="372"/>
        <v>-2</v>
      </c>
      <c r="AH449" s="117">
        <f t="shared" si="373"/>
        <v>0</v>
      </c>
      <c r="AI449" s="117">
        <f t="shared" si="374"/>
        <v>0</v>
      </c>
      <c r="AJ449" s="117">
        <f t="shared" si="375"/>
        <v>0</v>
      </c>
    </row>
    <row r="450" spans="2:36" ht="16.5" customHeight="1">
      <c r="B450" s="14"/>
      <c r="C450" s="14"/>
      <c r="D450" s="8"/>
      <c r="E450" s="9" t="s">
        <v>177</v>
      </c>
      <c r="F450" s="5">
        <v>1</v>
      </c>
      <c r="G450" s="6">
        <v>2</v>
      </c>
      <c r="H450" s="7" t="s">
        <v>224</v>
      </c>
      <c r="I450" s="10"/>
      <c r="J450" s="8"/>
      <c r="K450" s="9" t="s">
        <v>204</v>
      </c>
      <c r="L450" s="5">
        <v>1</v>
      </c>
      <c r="M450" s="6">
        <v>1</v>
      </c>
      <c r="N450" s="7" t="str">
        <f t="shared" si="359"/>
        <v/>
      </c>
      <c r="O450" s="10"/>
      <c r="P450" s="31"/>
      <c r="Q450" s="30"/>
      <c r="T450" s="121" t="str">
        <f t="shared" si="360"/>
        <v/>
      </c>
      <c r="U450" s="118">
        <f t="shared" si="361"/>
        <v>0</v>
      </c>
      <c r="V450" s="117">
        <f t="shared" si="362"/>
        <v>0</v>
      </c>
      <c r="W450" s="117">
        <f t="shared" si="363"/>
        <v>2</v>
      </c>
      <c r="X450" s="117">
        <f t="shared" si="364"/>
        <v>-1</v>
      </c>
      <c r="Y450" s="117">
        <f t="shared" si="365"/>
        <v>0</v>
      </c>
      <c r="Z450" s="117">
        <f t="shared" si="366"/>
        <v>0</v>
      </c>
      <c r="AA450" s="117">
        <f t="shared" si="367"/>
        <v>0</v>
      </c>
      <c r="AC450" s="121" t="str">
        <f t="shared" si="368"/>
        <v/>
      </c>
      <c r="AD450" s="118">
        <f t="shared" si="369"/>
        <v>0</v>
      </c>
      <c r="AE450" s="117">
        <f t="shared" si="370"/>
        <v>0</v>
      </c>
      <c r="AF450" s="117">
        <f t="shared" si="371"/>
        <v>0</v>
      </c>
      <c r="AG450" s="117">
        <f t="shared" si="372"/>
        <v>0</v>
      </c>
      <c r="AH450" s="117">
        <f t="shared" si="373"/>
        <v>3</v>
      </c>
      <c r="AI450" s="117">
        <f t="shared" si="374"/>
        <v>1</v>
      </c>
      <c r="AJ450" s="117">
        <f t="shared" si="375"/>
        <v>0</v>
      </c>
    </row>
    <row r="451" spans="2:36" ht="16.5" customHeight="1">
      <c r="B451" s="14"/>
      <c r="C451" s="14"/>
      <c r="D451" s="4"/>
      <c r="E451" s="4" t="s">
        <v>178</v>
      </c>
      <c r="F451" s="5">
        <v>1</v>
      </c>
      <c r="G451" s="6">
        <v>2</v>
      </c>
      <c r="H451" s="7" t="s">
        <v>224</v>
      </c>
      <c r="I451" s="7"/>
      <c r="J451" s="4"/>
      <c r="K451" s="4" t="s">
        <v>223</v>
      </c>
      <c r="L451" s="5">
        <v>0</v>
      </c>
      <c r="M451" s="6">
        <v>1</v>
      </c>
      <c r="N451" s="7" t="str">
        <f t="shared" si="359"/>
        <v/>
      </c>
      <c r="O451" s="7"/>
      <c r="P451" s="31"/>
      <c r="Q451" s="30"/>
      <c r="T451" s="121" t="str">
        <f t="shared" si="360"/>
        <v/>
      </c>
      <c r="U451" s="118">
        <f t="shared" si="361"/>
        <v>0</v>
      </c>
      <c r="V451" s="117">
        <f t="shared" si="362"/>
        <v>0</v>
      </c>
      <c r="W451" s="117">
        <f t="shared" si="363"/>
        <v>2</v>
      </c>
      <c r="X451" s="117">
        <f t="shared" si="364"/>
        <v>-1</v>
      </c>
      <c r="Y451" s="117">
        <f t="shared" si="365"/>
        <v>0</v>
      </c>
      <c r="Z451" s="117">
        <f t="shared" si="366"/>
        <v>0</v>
      </c>
      <c r="AA451" s="117">
        <f t="shared" si="367"/>
        <v>0</v>
      </c>
      <c r="AC451" s="121" t="str">
        <f t="shared" si="368"/>
        <v/>
      </c>
      <c r="AD451" s="118">
        <f t="shared" si="369"/>
        <v>0</v>
      </c>
      <c r="AE451" s="117">
        <f t="shared" si="370"/>
        <v>0</v>
      </c>
      <c r="AF451" s="117">
        <f t="shared" si="371"/>
        <v>2</v>
      </c>
      <c r="AG451" s="117">
        <f t="shared" si="372"/>
        <v>-1</v>
      </c>
      <c r="AH451" s="117">
        <f t="shared" si="373"/>
        <v>0</v>
      </c>
      <c r="AI451" s="117">
        <f t="shared" si="374"/>
        <v>0</v>
      </c>
      <c r="AJ451" s="117">
        <f t="shared" si="375"/>
        <v>0</v>
      </c>
    </row>
    <row r="452" spans="2:36" ht="16.5" customHeight="1">
      <c r="B452" s="14"/>
      <c r="C452" s="14"/>
      <c r="D452" s="8"/>
      <c r="E452" s="9" t="s">
        <v>179</v>
      </c>
      <c r="F452" s="5">
        <v>1</v>
      </c>
      <c r="G452" s="6">
        <v>3</v>
      </c>
      <c r="H452" s="7" t="s">
        <v>224</v>
      </c>
      <c r="I452" s="10"/>
      <c r="J452" s="8"/>
      <c r="K452" s="9" t="s">
        <v>205</v>
      </c>
      <c r="L452" s="5">
        <v>1</v>
      </c>
      <c r="M452" s="6">
        <v>2</v>
      </c>
      <c r="N452" s="7" t="str">
        <f t="shared" si="359"/>
        <v/>
      </c>
      <c r="O452" s="10"/>
      <c r="P452" s="31"/>
      <c r="Q452" s="30"/>
      <c r="T452" s="121" t="str">
        <f t="shared" si="360"/>
        <v/>
      </c>
      <c r="U452" s="118">
        <f t="shared" si="361"/>
        <v>0</v>
      </c>
      <c r="V452" s="117">
        <f t="shared" si="362"/>
        <v>0</v>
      </c>
      <c r="W452" s="117">
        <f t="shared" si="363"/>
        <v>2</v>
      </c>
      <c r="X452" s="117">
        <f t="shared" si="364"/>
        <v>-2</v>
      </c>
      <c r="Y452" s="117">
        <f t="shared" si="365"/>
        <v>0</v>
      </c>
      <c r="Z452" s="117">
        <f t="shared" si="366"/>
        <v>0</v>
      </c>
      <c r="AA452" s="117">
        <f t="shared" si="367"/>
        <v>0</v>
      </c>
      <c r="AC452" s="121" t="str">
        <f t="shared" si="368"/>
        <v/>
      </c>
      <c r="AD452" s="118">
        <f t="shared" si="369"/>
        <v>0</v>
      </c>
      <c r="AE452" s="117">
        <f t="shared" si="370"/>
        <v>0</v>
      </c>
      <c r="AF452" s="117">
        <f t="shared" si="371"/>
        <v>2</v>
      </c>
      <c r="AG452" s="117">
        <f t="shared" si="372"/>
        <v>-1</v>
      </c>
      <c r="AH452" s="117">
        <f t="shared" si="373"/>
        <v>0</v>
      </c>
      <c r="AI452" s="117">
        <f t="shared" si="374"/>
        <v>0</v>
      </c>
      <c r="AJ452" s="117">
        <f t="shared" si="375"/>
        <v>0</v>
      </c>
    </row>
    <row r="453" spans="2:36" ht="16.5" customHeight="1">
      <c r="B453" s="14"/>
      <c r="C453" s="14"/>
      <c r="D453" s="4"/>
      <c r="E453" s="4" t="s">
        <v>180</v>
      </c>
      <c r="F453" s="5">
        <v>2</v>
      </c>
      <c r="G453" s="6">
        <v>3</v>
      </c>
      <c r="H453" s="7" t="s">
        <v>224</v>
      </c>
      <c r="I453" s="7"/>
      <c r="J453" s="4"/>
      <c r="K453" s="4" t="s">
        <v>206</v>
      </c>
      <c r="L453" s="5">
        <v>0</v>
      </c>
      <c r="M453" s="6">
        <v>4</v>
      </c>
      <c r="N453" s="7" t="str">
        <f t="shared" si="359"/>
        <v/>
      </c>
      <c r="O453" s="7"/>
      <c r="P453" s="31"/>
      <c r="Q453" s="30"/>
      <c r="T453" s="121" t="str">
        <f t="shared" si="360"/>
        <v/>
      </c>
      <c r="U453" s="118">
        <f t="shared" si="361"/>
        <v>0</v>
      </c>
      <c r="V453" s="117">
        <f t="shared" si="362"/>
        <v>0</v>
      </c>
      <c r="W453" s="117">
        <f t="shared" si="363"/>
        <v>2</v>
      </c>
      <c r="X453" s="117">
        <f t="shared" si="364"/>
        <v>-1</v>
      </c>
      <c r="Y453" s="117">
        <f t="shared" si="365"/>
        <v>0</v>
      </c>
      <c r="Z453" s="117">
        <f t="shared" si="366"/>
        <v>0</v>
      </c>
      <c r="AA453" s="117">
        <f t="shared" si="367"/>
        <v>0</v>
      </c>
      <c r="AC453" s="121" t="str">
        <f t="shared" si="368"/>
        <v/>
      </c>
      <c r="AD453" s="118">
        <f t="shared" si="369"/>
        <v>0</v>
      </c>
      <c r="AE453" s="117">
        <f t="shared" si="370"/>
        <v>0</v>
      </c>
      <c r="AF453" s="117">
        <f t="shared" si="371"/>
        <v>2</v>
      </c>
      <c r="AG453" s="117">
        <f t="shared" si="372"/>
        <v>-4</v>
      </c>
      <c r="AH453" s="117">
        <f t="shared" si="373"/>
        <v>0</v>
      </c>
      <c r="AI453" s="117">
        <f t="shared" si="374"/>
        <v>0</v>
      </c>
      <c r="AJ453" s="117">
        <f t="shared" si="375"/>
        <v>0</v>
      </c>
    </row>
    <row r="454" spans="2:36" ht="16.5" customHeight="1">
      <c r="B454" s="14"/>
      <c r="C454" s="14"/>
      <c r="D454" s="8"/>
      <c r="E454" s="9" t="s">
        <v>181</v>
      </c>
      <c r="F454" s="5">
        <v>0</v>
      </c>
      <c r="G454" s="6">
        <v>2</v>
      </c>
      <c r="H454" s="7" t="s">
        <v>224</v>
      </c>
      <c r="I454" s="10"/>
      <c r="J454" s="8"/>
      <c r="K454" s="9" t="s">
        <v>207</v>
      </c>
      <c r="L454" s="5">
        <v>0</v>
      </c>
      <c r="M454" s="6">
        <v>0</v>
      </c>
      <c r="N454" s="7" t="str">
        <f t="shared" si="359"/>
        <v/>
      </c>
      <c r="O454" s="10"/>
      <c r="P454" s="31"/>
      <c r="Q454" s="30"/>
      <c r="T454" s="121" t="str">
        <f t="shared" si="360"/>
        <v/>
      </c>
      <c r="U454" s="118">
        <f t="shared" si="361"/>
        <v>0</v>
      </c>
      <c r="V454" s="117">
        <f t="shared" si="362"/>
        <v>0</v>
      </c>
      <c r="W454" s="117">
        <f t="shared" si="363"/>
        <v>2</v>
      </c>
      <c r="X454" s="117">
        <f t="shared" si="364"/>
        <v>-2</v>
      </c>
      <c r="Y454" s="117">
        <f t="shared" si="365"/>
        <v>0</v>
      </c>
      <c r="Z454" s="117">
        <f t="shared" si="366"/>
        <v>0</v>
      </c>
      <c r="AA454" s="117">
        <f t="shared" si="367"/>
        <v>0</v>
      </c>
      <c r="AC454" s="121" t="str">
        <f t="shared" si="368"/>
        <v/>
      </c>
      <c r="AD454" s="118">
        <f t="shared" si="369"/>
        <v>0</v>
      </c>
      <c r="AE454" s="117">
        <f t="shared" si="370"/>
        <v>0</v>
      </c>
      <c r="AF454" s="117">
        <f t="shared" si="371"/>
        <v>0</v>
      </c>
      <c r="AG454" s="117">
        <f t="shared" si="372"/>
        <v>0</v>
      </c>
      <c r="AH454" s="117">
        <f t="shared" si="373"/>
        <v>3</v>
      </c>
      <c r="AI454" s="117">
        <f t="shared" si="374"/>
        <v>1</v>
      </c>
      <c r="AJ454" s="117">
        <f t="shared" si="375"/>
        <v>1</v>
      </c>
    </row>
    <row r="455" spans="2:36" ht="16.5" customHeight="1">
      <c r="B455" s="11"/>
      <c r="C455" s="11" t="s">
        <v>9</v>
      </c>
      <c r="D455" s="4"/>
      <c r="E455" s="4" t="s">
        <v>182</v>
      </c>
      <c r="F455" s="5">
        <v>0</v>
      </c>
      <c r="G455" s="6">
        <v>2</v>
      </c>
      <c r="H455" s="7" t="s">
        <v>224</v>
      </c>
      <c r="I455" s="7"/>
      <c r="J455" s="4"/>
      <c r="K455" s="4" t="s">
        <v>208</v>
      </c>
      <c r="L455" s="5">
        <v>0</v>
      </c>
      <c r="M455" s="6">
        <v>3</v>
      </c>
      <c r="N455" s="7" t="str">
        <f t="shared" si="359"/>
        <v/>
      </c>
      <c r="O455" s="7"/>
      <c r="P455" s="36" t="s">
        <v>25</v>
      </c>
      <c r="Q455" s="35"/>
      <c r="T455" s="121" t="str">
        <f t="shared" si="360"/>
        <v/>
      </c>
      <c r="U455" s="118">
        <f t="shared" si="361"/>
        <v>0</v>
      </c>
      <c r="V455" s="117">
        <f t="shared" si="362"/>
        <v>0</v>
      </c>
      <c r="W455" s="117">
        <f t="shared" si="363"/>
        <v>2</v>
      </c>
      <c r="X455" s="117">
        <f t="shared" si="364"/>
        <v>-2</v>
      </c>
      <c r="Y455" s="117">
        <f t="shared" si="365"/>
        <v>0</v>
      </c>
      <c r="Z455" s="117">
        <f t="shared" si="366"/>
        <v>0</v>
      </c>
      <c r="AA455" s="117">
        <f t="shared" si="367"/>
        <v>0</v>
      </c>
      <c r="AC455" s="121" t="str">
        <f t="shared" si="368"/>
        <v/>
      </c>
      <c r="AD455" s="118">
        <f t="shared" si="369"/>
        <v>0</v>
      </c>
      <c r="AE455" s="117">
        <f t="shared" si="370"/>
        <v>0</v>
      </c>
      <c r="AF455" s="117">
        <f t="shared" si="371"/>
        <v>2</v>
      </c>
      <c r="AG455" s="117">
        <f t="shared" si="372"/>
        <v>-3</v>
      </c>
      <c r="AH455" s="117">
        <f t="shared" si="373"/>
        <v>0</v>
      </c>
      <c r="AI455" s="117">
        <f t="shared" si="374"/>
        <v>0</v>
      </c>
      <c r="AJ455" s="117">
        <f t="shared" si="375"/>
        <v>0</v>
      </c>
    </row>
    <row r="456" spans="2:36" ht="16.5" customHeight="1">
      <c r="B456" s="11"/>
      <c r="C456" s="11"/>
      <c r="D456" s="8"/>
      <c r="E456" s="9" t="s">
        <v>183</v>
      </c>
      <c r="F456" s="5">
        <v>1</v>
      </c>
      <c r="G456" s="6">
        <v>2</v>
      </c>
      <c r="H456" s="7" t="s">
        <v>224</v>
      </c>
      <c r="I456" s="10"/>
      <c r="J456" s="8"/>
      <c r="K456" s="9" t="s">
        <v>209</v>
      </c>
      <c r="L456" s="5">
        <v>1</v>
      </c>
      <c r="M456" s="6">
        <v>2</v>
      </c>
      <c r="N456" s="7" t="str">
        <f t="shared" si="359"/>
        <v/>
      </c>
      <c r="O456" s="10"/>
      <c r="P456" s="36"/>
      <c r="Q456" s="35"/>
      <c r="T456" s="121" t="str">
        <f t="shared" si="360"/>
        <v/>
      </c>
      <c r="U456" s="118">
        <f t="shared" si="361"/>
        <v>0</v>
      </c>
      <c r="V456" s="117">
        <f t="shared" si="362"/>
        <v>0</v>
      </c>
      <c r="W456" s="117">
        <f t="shared" si="363"/>
        <v>2</v>
      </c>
      <c r="X456" s="117">
        <f t="shared" si="364"/>
        <v>-1</v>
      </c>
      <c r="Y456" s="117">
        <f t="shared" si="365"/>
        <v>0</v>
      </c>
      <c r="Z456" s="117">
        <f t="shared" si="366"/>
        <v>0</v>
      </c>
      <c r="AA456" s="117">
        <f t="shared" si="367"/>
        <v>0</v>
      </c>
      <c r="AC456" s="121" t="str">
        <f t="shared" si="368"/>
        <v/>
      </c>
      <c r="AD456" s="118">
        <f t="shared" si="369"/>
        <v>0</v>
      </c>
      <c r="AE456" s="117">
        <f t="shared" si="370"/>
        <v>0</v>
      </c>
      <c r="AF456" s="117">
        <f t="shared" si="371"/>
        <v>2</v>
      </c>
      <c r="AG456" s="117">
        <f t="shared" si="372"/>
        <v>-1</v>
      </c>
      <c r="AH456" s="117">
        <f t="shared" si="373"/>
        <v>0</v>
      </c>
      <c r="AI456" s="117">
        <f t="shared" si="374"/>
        <v>0</v>
      </c>
      <c r="AJ456" s="117">
        <f t="shared" si="375"/>
        <v>0</v>
      </c>
    </row>
    <row r="457" spans="2:36" ht="16.5" customHeight="1">
      <c r="B457" s="11"/>
      <c r="C457" s="11"/>
      <c r="D457" s="4"/>
      <c r="E457" s="4" t="s">
        <v>184</v>
      </c>
      <c r="F457" s="5">
        <v>1</v>
      </c>
      <c r="G457" s="6">
        <v>2</v>
      </c>
      <c r="H457" s="7" t="s">
        <v>224</v>
      </c>
      <c r="I457" s="7"/>
      <c r="J457" s="4"/>
      <c r="K457" s="4" t="s">
        <v>210</v>
      </c>
      <c r="L457" s="5">
        <v>1</v>
      </c>
      <c r="M457" s="6">
        <v>2</v>
      </c>
      <c r="N457" s="7" t="str">
        <f t="shared" si="359"/>
        <v/>
      </c>
      <c r="O457" s="7"/>
      <c r="P457" s="36"/>
      <c r="Q457" s="35"/>
      <c r="T457" s="121" t="str">
        <f t="shared" si="360"/>
        <v/>
      </c>
      <c r="U457" s="118">
        <f t="shared" si="361"/>
        <v>0</v>
      </c>
      <c r="V457" s="117">
        <f t="shared" si="362"/>
        <v>0</v>
      </c>
      <c r="W457" s="117">
        <f t="shared" si="363"/>
        <v>2</v>
      </c>
      <c r="X457" s="117">
        <f t="shared" si="364"/>
        <v>-1</v>
      </c>
      <c r="Y457" s="117">
        <f t="shared" si="365"/>
        <v>0</v>
      </c>
      <c r="Z457" s="117">
        <f t="shared" si="366"/>
        <v>0</v>
      </c>
      <c r="AA457" s="117">
        <f t="shared" si="367"/>
        <v>0</v>
      </c>
      <c r="AC457" s="121" t="str">
        <f t="shared" si="368"/>
        <v/>
      </c>
      <c r="AD457" s="118">
        <f t="shared" si="369"/>
        <v>0</v>
      </c>
      <c r="AE457" s="117">
        <f t="shared" si="370"/>
        <v>0</v>
      </c>
      <c r="AF457" s="117">
        <f t="shared" si="371"/>
        <v>2</v>
      </c>
      <c r="AG457" s="117">
        <f t="shared" si="372"/>
        <v>-1</v>
      </c>
      <c r="AH457" s="117">
        <f t="shared" si="373"/>
        <v>0</v>
      </c>
      <c r="AI457" s="117">
        <f t="shared" si="374"/>
        <v>0</v>
      </c>
      <c r="AJ457" s="117">
        <f t="shared" si="375"/>
        <v>0</v>
      </c>
    </row>
    <row r="458" spans="2:36" ht="16.5" customHeight="1">
      <c r="B458" s="11"/>
      <c r="C458" s="11"/>
      <c r="D458" s="8"/>
      <c r="E458" s="9" t="s">
        <v>222</v>
      </c>
      <c r="F458" s="5">
        <v>0</v>
      </c>
      <c r="G458" s="6">
        <v>2</v>
      </c>
      <c r="H458" s="7" t="s">
        <v>224</v>
      </c>
      <c r="I458" s="10"/>
      <c r="J458" s="8"/>
      <c r="K458" s="9" t="s">
        <v>211</v>
      </c>
      <c r="L458" s="5">
        <v>0</v>
      </c>
      <c r="M458" s="6">
        <v>2</v>
      </c>
      <c r="N458" s="7" t="str">
        <f t="shared" si="359"/>
        <v/>
      </c>
      <c r="O458" s="10"/>
      <c r="P458" s="36"/>
      <c r="Q458" s="35"/>
      <c r="T458" s="121" t="str">
        <f t="shared" si="360"/>
        <v/>
      </c>
      <c r="U458" s="118">
        <f t="shared" si="361"/>
        <v>0</v>
      </c>
      <c r="V458" s="117">
        <f t="shared" si="362"/>
        <v>0</v>
      </c>
      <c r="W458" s="117">
        <f t="shared" si="363"/>
        <v>2</v>
      </c>
      <c r="X458" s="117">
        <f t="shared" si="364"/>
        <v>-2</v>
      </c>
      <c r="Y458" s="117">
        <f t="shared" si="365"/>
        <v>0</v>
      </c>
      <c r="Z458" s="117">
        <f t="shared" si="366"/>
        <v>0</v>
      </c>
      <c r="AA458" s="117">
        <f t="shared" si="367"/>
        <v>0</v>
      </c>
      <c r="AC458" s="121" t="str">
        <f t="shared" si="368"/>
        <v/>
      </c>
      <c r="AD458" s="118">
        <f t="shared" si="369"/>
        <v>0</v>
      </c>
      <c r="AE458" s="117">
        <f t="shared" si="370"/>
        <v>0</v>
      </c>
      <c r="AF458" s="117">
        <f t="shared" si="371"/>
        <v>2</v>
      </c>
      <c r="AG458" s="117">
        <f t="shared" si="372"/>
        <v>-2</v>
      </c>
      <c r="AH458" s="117">
        <f t="shared" si="373"/>
        <v>0</v>
      </c>
      <c r="AI458" s="117">
        <f t="shared" si="374"/>
        <v>0</v>
      </c>
      <c r="AJ458" s="117">
        <f t="shared" si="375"/>
        <v>0</v>
      </c>
    </row>
    <row r="459" spans="2:36" ht="16.5" customHeight="1">
      <c r="B459" s="11"/>
      <c r="C459" s="11"/>
      <c r="D459" s="4"/>
      <c r="E459" s="4" t="s">
        <v>185</v>
      </c>
      <c r="F459" s="5">
        <v>0</v>
      </c>
      <c r="G459" s="6">
        <v>2</v>
      </c>
      <c r="H459" s="7" t="s">
        <v>224</v>
      </c>
      <c r="I459" s="7"/>
      <c r="J459" s="4"/>
      <c r="K459" s="4" t="s">
        <v>212</v>
      </c>
      <c r="L459" s="5">
        <v>2</v>
      </c>
      <c r="M459" s="6">
        <v>2</v>
      </c>
      <c r="N459" s="7" t="str">
        <f t="shared" si="359"/>
        <v/>
      </c>
      <c r="O459" s="7"/>
      <c r="P459" s="36"/>
      <c r="Q459" s="35"/>
      <c r="T459" s="121" t="str">
        <f t="shared" si="360"/>
        <v/>
      </c>
      <c r="U459" s="118">
        <f t="shared" si="361"/>
        <v>0</v>
      </c>
      <c r="V459" s="117">
        <f t="shared" si="362"/>
        <v>0</v>
      </c>
      <c r="W459" s="117">
        <f t="shared" si="363"/>
        <v>2</v>
      </c>
      <c r="X459" s="117">
        <f t="shared" si="364"/>
        <v>-2</v>
      </c>
      <c r="Y459" s="117">
        <f t="shared" si="365"/>
        <v>0</v>
      </c>
      <c r="Z459" s="117">
        <f t="shared" si="366"/>
        <v>0</v>
      </c>
      <c r="AA459" s="117">
        <f t="shared" si="367"/>
        <v>0</v>
      </c>
      <c r="AC459" s="121" t="str">
        <f t="shared" si="368"/>
        <v/>
      </c>
      <c r="AD459" s="118">
        <f t="shared" si="369"/>
        <v>0</v>
      </c>
      <c r="AE459" s="117">
        <f t="shared" si="370"/>
        <v>0</v>
      </c>
      <c r="AF459" s="117">
        <f t="shared" si="371"/>
        <v>0</v>
      </c>
      <c r="AG459" s="117">
        <f t="shared" si="372"/>
        <v>0</v>
      </c>
      <c r="AH459" s="117">
        <f t="shared" si="373"/>
        <v>3</v>
      </c>
      <c r="AI459" s="117">
        <f t="shared" si="374"/>
        <v>1</v>
      </c>
      <c r="AJ459" s="117">
        <f t="shared" si="375"/>
        <v>0</v>
      </c>
    </row>
    <row r="460" spans="2:36" ht="16.5" customHeight="1">
      <c r="B460" s="11"/>
      <c r="C460" s="11"/>
      <c r="D460" s="8"/>
      <c r="E460" s="9" t="s">
        <v>186</v>
      </c>
      <c r="F460" s="5">
        <v>2</v>
      </c>
      <c r="G460" s="6">
        <v>2</v>
      </c>
      <c r="H460" s="7" t="s">
        <v>224</v>
      </c>
      <c r="I460" s="10"/>
      <c r="J460" s="8"/>
      <c r="K460" s="9" t="s">
        <v>213</v>
      </c>
      <c r="L460" s="5">
        <v>1</v>
      </c>
      <c r="M460" s="6">
        <v>3</v>
      </c>
      <c r="N460" s="7" t="str">
        <f t="shared" si="359"/>
        <v/>
      </c>
      <c r="O460" s="10"/>
      <c r="P460" s="36"/>
      <c r="Q460" s="35"/>
      <c r="T460" s="121" t="str">
        <f t="shared" si="360"/>
        <v/>
      </c>
      <c r="U460" s="118">
        <f t="shared" si="361"/>
        <v>0</v>
      </c>
      <c r="V460" s="117">
        <f t="shared" si="362"/>
        <v>0</v>
      </c>
      <c r="W460" s="117">
        <f t="shared" si="363"/>
        <v>0</v>
      </c>
      <c r="X460" s="117">
        <f t="shared" si="364"/>
        <v>0</v>
      </c>
      <c r="Y460" s="117">
        <f t="shared" si="365"/>
        <v>3</v>
      </c>
      <c r="Z460" s="117">
        <f t="shared" si="366"/>
        <v>1</v>
      </c>
      <c r="AA460" s="117">
        <f t="shared" si="367"/>
        <v>0</v>
      </c>
      <c r="AC460" s="121" t="str">
        <f t="shared" si="368"/>
        <v/>
      </c>
      <c r="AD460" s="118">
        <f t="shared" si="369"/>
        <v>0</v>
      </c>
      <c r="AE460" s="117">
        <f t="shared" si="370"/>
        <v>0</v>
      </c>
      <c r="AF460" s="117">
        <f t="shared" si="371"/>
        <v>2</v>
      </c>
      <c r="AG460" s="117">
        <f t="shared" si="372"/>
        <v>-2</v>
      </c>
      <c r="AH460" s="117">
        <f t="shared" si="373"/>
        <v>0</v>
      </c>
      <c r="AI460" s="117">
        <f t="shared" si="374"/>
        <v>0</v>
      </c>
      <c r="AJ460" s="117">
        <f t="shared" si="375"/>
        <v>0</v>
      </c>
    </row>
    <row r="461" spans="2:36" ht="16.5" customHeight="1">
      <c r="B461" s="11"/>
      <c r="C461" s="11"/>
      <c r="D461" s="4"/>
      <c r="E461" s="4" t="s">
        <v>187</v>
      </c>
      <c r="F461" s="5">
        <v>2</v>
      </c>
      <c r="G461" s="6">
        <v>1</v>
      </c>
      <c r="H461" s="7" t="s">
        <v>224</v>
      </c>
      <c r="I461" s="7"/>
      <c r="J461" s="4"/>
      <c r="K461" s="4" t="s">
        <v>214</v>
      </c>
      <c r="L461" s="5">
        <v>1</v>
      </c>
      <c r="M461" s="6">
        <v>2</v>
      </c>
      <c r="N461" s="7" t="str">
        <f t="shared" si="359"/>
        <v/>
      </c>
      <c r="O461" s="7"/>
      <c r="P461" s="36"/>
      <c r="Q461" s="35"/>
      <c r="T461" s="121" t="str">
        <f t="shared" si="360"/>
        <v/>
      </c>
      <c r="U461" s="118">
        <f t="shared" si="361"/>
        <v>0</v>
      </c>
      <c r="V461" s="117">
        <f t="shared" si="362"/>
        <v>0</v>
      </c>
      <c r="W461" s="117">
        <f t="shared" si="363"/>
        <v>1</v>
      </c>
      <c r="X461" s="117">
        <f t="shared" si="364"/>
        <v>1</v>
      </c>
      <c r="Y461" s="117">
        <f t="shared" si="365"/>
        <v>0</v>
      </c>
      <c r="Z461" s="117">
        <f t="shared" si="366"/>
        <v>0</v>
      </c>
      <c r="AA461" s="117">
        <f t="shared" si="367"/>
        <v>0</v>
      </c>
      <c r="AC461" s="121" t="str">
        <f t="shared" si="368"/>
        <v/>
      </c>
      <c r="AD461" s="118">
        <f t="shared" si="369"/>
        <v>0</v>
      </c>
      <c r="AE461" s="117">
        <f t="shared" si="370"/>
        <v>0</v>
      </c>
      <c r="AF461" s="117">
        <f t="shared" si="371"/>
        <v>2</v>
      </c>
      <c r="AG461" s="117">
        <f t="shared" si="372"/>
        <v>-1</v>
      </c>
      <c r="AH461" s="117">
        <f t="shared" si="373"/>
        <v>0</v>
      </c>
      <c r="AI461" s="117">
        <f t="shared" si="374"/>
        <v>0</v>
      </c>
      <c r="AJ461" s="117">
        <f t="shared" si="375"/>
        <v>0</v>
      </c>
    </row>
    <row r="462" spans="2:36" ht="16.5" customHeight="1">
      <c r="B462" s="15"/>
      <c r="C462" s="15" t="s">
        <v>10</v>
      </c>
      <c r="D462" s="8"/>
      <c r="E462" s="9" t="s">
        <v>188</v>
      </c>
      <c r="F462" s="5">
        <v>1</v>
      </c>
      <c r="G462" s="6">
        <v>2</v>
      </c>
      <c r="H462" s="7" t="s">
        <v>224</v>
      </c>
      <c r="I462" s="10"/>
      <c r="J462" s="8"/>
      <c r="K462" s="9" t="s">
        <v>215</v>
      </c>
      <c r="L462" s="5">
        <v>0</v>
      </c>
      <c r="M462" s="6">
        <v>2</v>
      </c>
      <c r="N462" s="7" t="str">
        <f t="shared" si="359"/>
        <v/>
      </c>
      <c r="O462" s="10"/>
      <c r="P462" s="39" t="s">
        <v>26</v>
      </c>
      <c r="Q462" s="38"/>
      <c r="T462" s="121" t="str">
        <f t="shared" si="360"/>
        <v/>
      </c>
      <c r="U462" s="118">
        <f t="shared" si="361"/>
        <v>0</v>
      </c>
      <c r="V462" s="117">
        <f t="shared" si="362"/>
        <v>0</v>
      </c>
      <c r="W462" s="117">
        <f t="shared" si="363"/>
        <v>2</v>
      </c>
      <c r="X462" s="117">
        <f t="shared" si="364"/>
        <v>-1</v>
      </c>
      <c r="Y462" s="117">
        <f t="shared" si="365"/>
        <v>0</v>
      </c>
      <c r="Z462" s="117">
        <f t="shared" si="366"/>
        <v>0</v>
      </c>
      <c r="AA462" s="117">
        <f t="shared" si="367"/>
        <v>0</v>
      </c>
      <c r="AC462" s="121" t="str">
        <f t="shared" si="368"/>
        <v/>
      </c>
      <c r="AD462" s="118">
        <f t="shared" si="369"/>
        <v>0</v>
      </c>
      <c r="AE462" s="117">
        <f t="shared" si="370"/>
        <v>0</v>
      </c>
      <c r="AF462" s="117">
        <f t="shared" si="371"/>
        <v>2</v>
      </c>
      <c r="AG462" s="117">
        <f t="shared" si="372"/>
        <v>-2</v>
      </c>
      <c r="AH462" s="117">
        <f t="shared" si="373"/>
        <v>0</v>
      </c>
      <c r="AI462" s="117">
        <f t="shared" si="374"/>
        <v>0</v>
      </c>
      <c r="AJ462" s="117">
        <f t="shared" si="375"/>
        <v>0</v>
      </c>
    </row>
    <row r="463" spans="2:36" ht="16.5" customHeight="1">
      <c r="B463" s="15"/>
      <c r="C463" s="15"/>
      <c r="D463" s="4"/>
      <c r="E463" s="4" t="s">
        <v>189</v>
      </c>
      <c r="F463" s="5">
        <v>1</v>
      </c>
      <c r="G463" s="6">
        <v>3</v>
      </c>
      <c r="H463" s="7" t="s">
        <v>224</v>
      </c>
      <c r="I463" s="7"/>
      <c r="J463" s="4"/>
      <c r="K463" s="4" t="s">
        <v>216</v>
      </c>
      <c r="L463" s="5">
        <v>0</v>
      </c>
      <c r="M463" s="6">
        <v>2</v>
      </c>
      <c r="N463" s="7" t="str">
        <f t="shared" si="359"/>
        <v/>
      </c>
      <c r="O463" s="7"/>
      <c r="P463" s="39"/>
      <c r="Q463" s="38"/>
      <c r="T463" s="121" t="str">
        <f t="shared" si="360"/>
        <v/>
      </c>
      <c r="U463" s="118">
        <f t="shared" si="361"/>
        <v>0</v>
      </c>
      <c r="V463" s="117">
        <f t="shared" si="362"/>
        <v>0</v>
      </c>
      <c r="W463" s="117">
        <f t="shared" si="363"/>
        <v>2</v>
      </c>
      <c r="X463" s="117">
        <f t="shared" si="364"/>
        <v>-2</v>
      </c>
      <c r="Y463" s="117">
        <f t="shared" si="365"/>
        <v>0</v>
      </c>
      <c r="Z463" s="117">
        <f t="shared" si="366"/>
        <v>0</v>
      </c>
      <c r="AA463" s="117">
        <f t="shared" si="367"/>
        <v>0</v>
      </c>
      <c r="AC463" s="121" t="str">
        <f t="shared" si="368"/>
        <v/>
      </c>
      <c r="AD463" s="118">
        <f t="shared" si="369"/>
        <v>0</v>
      </c>
      <c r="AE463" s="117">
        <f t="shared" si="370"/>
        <v>0</v>
      </c>
      <c r="AF463" s="117">
        <f t="shared" si="371"/>
        <v>2</v>
      </c>
      <c r="AG463" s="117">
        <f t="shared" si="372"/>
        <v>-2</v>
      </c>
      <c r="AH463" s="117">
        <f t="shared" si="373"/>
        <v>0</v>
      </c>
      <c r="AI463" s="117">
        <f t="shared" si="374"/>
        <v>0</v>
      </c>
      <c r="AJ463" s="117">
        <f t="shared" si="375"/>
        <v>0</v>
      </c>
    </row>
    <row r="464" spans="2:36" ht="16.5" customHeight="1">
      <c r="B464" s="15"/>
      <c r="C464" s="15"/>
      <c r="D464" s="8"/>
      <c r="E464" s="9" t="s">
        <v>190</v>
      </c>
      <c r="F464" s="5">
        <v>0</v>
      </c>
      <c r="G464" s="6">
        <v>3</v>
      </c>
      <c r="H464" s="7" t="s">
        <v>224</v>
      </c>
      <c r="I464" s="10"/>
      <c r="J464" s="8"/>
      <c r="K464" s="9" t="s">
        <v>217</v>
      </c>
      <c r="L464" s="5">
        <v>0</v>
      </c>
      <c r="M464" s="6">
        <v>2</v>
      </c>
      <c r="N464" s="7" t="str">
        <f t="shared" si="359"/>
        <v/>
      </c>
      <c r="O464" s="10"/>
      <c r="P464" s="39"/>
      <c r="Q464" s="38"/>
      <c r="T464" s="121" t="str">
        <f t="shared" si="360"/>
        <v/>
      </c>
      <c r="U464" s="118">
        <f t="shared" si="361"/>
        <v>0</v>
      </c>
      <c r="V464" s="117">
        <f t="shared" si="362"/>
        <v>0</v>
      </c>
      <c r="W464" s="117">
        <f t="shared" si="363"/>
        <v>2</v>
      </c>
      <c r="X464" s="117">
        <f t="shared" si="364"/>
        <v>-3</v>
      </c>
      <c r="Y464" s="117">
        <f t="shared" si="365"/>
        <v>0</v>
      </c>
      <c r="Z464" s="117">
        <f t="shared" si="366"/>
        <v>0</v>
      </c>
      <c r="AA464" s="117">
        <f t="shared" si="367"/>
        <v>0</v>
      </c>
      <c r="AC464" s="121" t="str">
        <f t="shared" si="368"/>
        <v/>
      </c>
      <c r="AD464" s="118">
        <f t="shared" si="369"/>
        <v>0</v>
      </c>
      <c r="AE464" s="117">
        <f t="shared" si="370"/>
        <v>0</v>
      </c>
      <c r="AF464" s="117">
        <f t="shared" si="371"/>
        <v>2</v>
      </c>
      <c r="AG464" s="117">
        <f t="shared" si="372"/>
        <v>-2</v>
      </c>
      <c r="AH464" s="117">
        <f t="shared" si="373"/>
        <v>0</v>
      </c>
      <c r="AI464" s="117">
        <f t="shared" si="374"/>
        <v>0</v>
      </c>
      <c r="AJ464" s="117">
        <f t="shared" si="375"/>
        <v>0</v>
      </c>
    </row>
    <row r="465" spans="2:36" ht="16.5" customHeight="1">
      <c r="B465" s="15"/>
      <c r="C465" s="15"/>
      <c r="D465" s="4"/>
      <c r="E465" s="4" t="s">
        <v>191</v>
      </c>
      <c r="F465" s="5">
        <v>0</v>
      </c>
      <c r="G465" s="6">
        <v>1</v>
      </c>
      <c r="H465" s="7" t="s">
        <v>224</v>
      </c>
      <c r="I465" s="7"/>
      <c r="J465" s="4"/>
      <c r="K465" s="4" t="s">
        <v>218</v>
      </c>
      <c r="L465" s="5">
        <v>1</v>
      </c>
      <c r="M465" s="6">
        <v>1</v>
      </c>
      <c r="N465" s="7" t="str">
        <f t="shared" si="359"/>
        <v/>
      </c>
      <c r="O465" s="7"/>
      <c r="P465" s="39"/>
      <c r="Q465" s="38"/>
      <c r="T465" s="121" t="str">
        <f t="shared" si="360"/>
        <v/>
      </c>
      <c r="U465" s="118">
        <f t="shared" si="361"/>
        <v>0</v>
      </c>
      <c r="V465" s="117">
        <f t="shared" si="362"/>
        <v>0</v>
      </c>
      <c r="W465" s="117">
        <f t="shared" si="363"/>
        <v>2</v>
      </c>
      <c r="X465" s="117">
        <f t="shared" si="364"/>
        <v>-1</v>
      </c>
      <c r="Y465" s="117">
        <f t="shared" si="365"/>
        <v>0</v>
      </c>
      <c r="Z465" s="117">
        <f t="shared" si="366"/>
        <v>0</v>
      </c>
      <c r="AA465" s="117">
        <f t="shared" si="367"/>
        <v>0</v>
      </c>
      <c r="AC465" s="121" t="str">
        <f t="shared" si="368"/>
        <v/>
      </c>
      <c r="AD465" s="118">
        <f t="shared" si="369"/>
        <v>0</v>
      </c>
      <c r="AE465" s="117">
        <f t="shared" si="370"/>
        <v>0</v>
      </c>
      <c r="AF465" s="117">
        <f t="shared" si="371"/>
        <v>0</v>
      </c>
      <c r="AG465" s="117">
        <f t="shared" si="372"/>
        <v>0</v>
      </c>
      <c r="AH465" s="117">
        <f t="shared" si="373"/>
        <v>3</v>
      </c>
      <c r="AI465" s="117">
        <f t="shared" si="374"/>
        <v>1</v>
      </c>
      <c r="AJ465" s="117">
        <f t="shared" si="375"/>
        <v>0</v>
      </c>
    </row>
    <row r="466" spans="2:36" ht="16.5" customHeight="1">
      <c r="B466" s="15"/>
      <c r="C466" s="15"/>
      <c r="D466" s="8"/>
      <c r="E466" s="9" t="s">
        <v>192</v>
      </c>
      <c r="F466" s="5">
        <v>0</v>
      </c>
      <c r="G466" s="6">
        <v>2</v>
      </c>
      <c r="H466" s="7" t="s">
        <v>224</v>
      </c>
      <c r="I466" s="10"/>
      <c r="J466" s="8"/>
      <c r="K466" s="9" t="s">
        <v>219</v>
      </c>
      <c r="L466" s="5">
        <v>0</v>
      </c>
      <c r="M466" s="6">
        <v>2</v>
      </c>
      <c r="N466" s="7" t="str">
        <f t="shared" si="359"/>
        <v/>
      </c>
      <c r="O466" s="10"/>
      <c r="P466" s="39"/>
      <c r="Q466" s="38"/>
      <c r="T466" s="121" t="str">
        <f t="shared" si="360"/>
        <v/>
      </c>
      <c r="U466" s="118">
        <f t="shared" si="361"/>
        <v>0</v>
      </c>
      <c r="V466" s="117">
        <f t="shared" si="362"/>
        <v>0</v>
      </c>
      <c r="W466" s="117">
        <f t="shared" si="363"/>
        <v>2</v>
      </c>
      <c r="X466" s="117">
        <f t="shared" si="364"/>
        <v>-2</v>
      </c>
      <c r="Y466" s="117">
        <f t="shared" si="365"/>
        <v>0</v>
      </c>
      <c r="Z466" s="117">
        <f t="shared" si="366"/>
        <v>0</v>
      </c>
      <c r="AA466" s="117">
        <f t="shared" si="367"/>
        <v>0</v>
      </c>
      <c r="AC466" s="121" t="str">
        <f t="shared" si="368"/>
        <v/>
      </c>
      <c r="AD466" s="118">
        <f t="shared" si="369"/>
        <v>0</v>
      </c>
      <c r="AE466" s="117">
        <f t="shared" si="370"/>
        <v>0</v>
      </c>
      <c r="AF466" s="117">
        <f t="shared" si="371"/>
        <v>2</v>
      </c>
      <c r="AG466" s="117">
        <f t="shared" si="372"/>
        <v>-2</v>
      </c>
      <c r="AH466" s="117">
        <f t="shared" si="373"/>
        <v>0</v>
      </c>
      <c r="AI466" s="117">
        <f t="shared" si="374"/>
        <v>0</v>
      </c>
      <c r="AJ466" s="117">
        <f t="shared" si="375"/>
        <v>0</v>
      </c>
    </row>
    <row r="467" spans="2:36" ht="16.5" customHeight="1">
      <c r="B467" s="15"/>
      <c r="C467" s="15"/>
      <c r="D467" s="4"/>
      <c r="E467" s="4" t="s">
        <v>193</v>
      </c>
      <c r="F467" s="5">
        <v>0</v>
      </c>
      <c r="G467" s="6">
        <v>2</v>
      </c>
      <c r="H467" s="7" t="s">
        <v>224</v>
      </c>
      <c r="I467" s="7"/>
      <c r="J467" s="4"/>
      <c r="K467" s="4" t="s">
        <v>220</v>
      </c>
      <c r="L467" s="5">
        <v>2</v>
      </c>
      <c r="M467" s="6">
        <v>2</v>
      </c>
      <c r="N467" s="7" t="str">
        <f t="shared" si="359"/>
        <v/>
      </c>
      <c r="O467" s="7"/>
      <c r="P467" s="39"/>
      <c r="Q467" s="38"/>
      <c r="T467" s="121" t="str">
        <f t="shared" si="360"/>
        <v/>
      </c>
      <c r="U467" s="118">
        <f t="shared" si="361"/>
        <v>0</v>
      </c>
      <c r="V467" s="117">
        <f t="shared" si="362"/>
        <v>0</v>
      </c>
      <c r="W467" s="117">
        <f t="shared" si="363"/>
        <v>2</v>
      </c>
      <c r="X467" s="117">
        <f t="shared" si="364"/>
        <v>-2</v>
      </c>
      <c r="Y467" s="117">
        <f t="shared" si="365"/>
        <v>0</v>
      </c>
      <c r="Z467" s="117">
        <f t="shared" si="366"/>
        <v>0</v>
      </c>
      <c r="AA467" s="117">
        <f t="shared" si="367"/>
        <v>0</v>
      </c>
      <c r="AC467" s="121" t="str">
        <f t="shared" si="368"/>
        <v/>
      </c>
      <c r="AD467" s="118">
        <f t="shared" si="369"/>
        <v>0</v>
      </c>
      <c r="AE467" s="117">
        <f t="shared" si="370"/>
        <v>0</v>
      </c>
      <c r="AF467" s="117">
        <f t="shared" si="371"/>
        <v>0</v>
      </c>
      <c r="AG467" s="117">
        <f t="shared" si="372"/>
        <v>0</v>
      </c>
      <c r="AH467" s="117">
        <f t="shared" si="373"/>
        <v>3</v>
      </c>
      <c r="AI467" s="117">
        <f t="shared" si="374"/>
        <v>1</v>
      </c>
      <c r="AJ467" s="117">
        <f t="shared" si="375"/>
        <v>0</v>
      </c>
    </row>
    <row r="468" spans="2:36" ht="16.5" customHeight="1">
      <c r="B468" s="15"/>
      <c r="C468" s="15"/>
      <c r="D468" s="8"/>
      <c r="E468" s="9" t="s">
        <v>194</v>
      </c>
      <c r="F468" s="5">
        <v>0</v>
      </c>
      <c r="G468" s="6">
        <v>2</v>
      </c>
      <c r="H468" s="7" t="s">
        <v>224</v>
      </c>
      <c r="I468" s="10"/>
      <c r="J468" s="8"/>
      <c r="K468" s="9" t="s">
        <v>221</v>
      </c>
      <c r="L468" s="5">
        <v>0</v>
      </c>
      <c r="M468" s="6">
        <v>3</v>
      </c>
      <c r="N468" s="7" t="str">
        <f t="shared" si="359"/>
        <v/>
      </c>
      <c r="O468" s="10"/>
      <c r="P468" s="39"/>
      <c r="Q468" s="38"/>
      <c r="T468" s="121" t="str">
        <f t="shared" si="360"/>
        <v/>
      </c>
      <c r="U468" s="118">
        <f t="shared" si="361"/>
        <v>0</v>
      </c>
      <c r="V468" s="117">
        <f t="shared" si="362"/>
        <v>0</v>
      </c>
      <c r="W468" s="117">
        <f t="shared" si="363"/>
        <v>2</v>
      </c>
      <c r="X468" s="117">
        <f t="shared" si="364"/>
        <v>-2</v>
      </c>
      <c r="Y468" s="117">
        <f t="shared" si="365"/>
        <v>0</v>
      </c>
      <c r="Z468" s="117">
        <f t="shared" si="366"/>
        <v>0</v>
      </c>
      <c r="AA468" s="117">
        <f t="shared" si="367"/>
        <v>0</v>
      </c>
      <c r="AC468" s="121" t="str">
        <f t="shared" si="368"/>
        <v/>
      </c>
      <c r="AD468" s="118">
        <f t="shared" si="369"/>
        <v>0</v>
      </c>
      <c r="AE468" s="117">
        <f t="shared" si="370"/>
        <v>0</v>
      </c>
      <c r="AF468" s="117">
        <f t="shared" si="371"/>
        <v>2</v>
      </c>
      <c r="AG468" s="117">
        <f t="shared" si="372"/>
        <v>-3</v>
      </c>
      <c r="AH468" s="117">
        <f t="shared" si="373"/>
        <v>0</v>
      </c>
      <c r="AI468" s="117">
        <f t="shared" si="374"/>
        <v>0</v>
      </c>
      <c r="AJ468" s="117">
        <f t="shared" si="375"/>
        <v>0</v>
      </c>
    </row>
    <row r="469" spans="2:36" ht="16.5" customHeight="1">
      <c r="K469" s="3"/>
    </row>
    <row r="470" spans="2:36" ht="23.25">
      <c r="B470" s="33" t="s">
        <v>131</v>
      </c>
      <c r="D470" s="52"/>
      <c r="E470" s="55" t="s">
        <v>79</v>
      </c>
      <c r="F470" s="56"/>
      <c r="G470" s="57"/>
      <c r="H470" s="57"/>
      <c r="I470" s="56"/>
      <c r="J470" s="82"/>
      <c r="K470" s="82" t="s">
        <v>80</v>
      </c>
      <c r="M470" s="91"/>
      <c r="N470" s="92"/>
      <c r="O470" s="92"/>
      <c r="P470" s="93"/>
      <c r="Q470" s="92"/>
      <c r="R470" s="92"/>
    </row>
    <row r="471" spans="2:36" ht="15">
      <c r="C471" s="1"/>
      <c r="D471" s="1"/>
      <c r="E471" s="1"/>
      <c r="H471" s="1"/>
      <c r="I471" s="1"/>
      <c r="J471" s="1"/>
      <c r="P471" s="1"/>
    </row>
    <row r="472" spans="2:36" ht="16.5" customHeight="1">
      <c r="B472" s="12"/>
      <c r="C472" s="12" t="s">
        <v>7</v>
      </c>
      <c r="D472" s="4"/>
      <c r="E472" s="4" t="s">
        <v>32</v>
      </c>
      <c r="F472" s="5">
        <v>1</v>
      </c>
      <c r="G472" s="6">
        <v>1</v>
      </c>
      <c r="H472" s="7" t="s">
        <v>224</v>
      </c>
      <c r="I472" s="7"/>
      <c r="J472" s="4"/>
      <c r="K472" s="4" t="s">
        <v>195</v>
      </c>
      <c r="L472" s="5">
        <v>1</v>
      </c>
      <c r="M472" s="6">
        <v>0</v>
      </c>
      <c r="N472" s="7" t="str">
        <f>AC472</f>
        <v/>
      </c>
      <c r="O472" s="7"/>
      <c r="P472" s="24" t="s">
        <v>13</v>
      </c>
      <c r="Q472" s="13"/>
      <c r="T472" s="121" t="str">
        <f>IF($G$470="","",SUM(Y472:AA472))</f>
        <v/>
      </c>
      <c r="U472" s="118">
        <f t="shared" ref="U472" si="376">IF(V472&gt;0,1,IF(V472=0,0,2))</f>
        <v>0</v>
      </c>
      <c r="V472" s="117">
        <f>$G$470-$H$470</f>
        <v>0</v>
      </c>
      <c r="W472" s="117">
        <f t="shared" ref="W472" si="377">IF(X472&gt;0,1,IF(X472=0,0,2))</f>
        <v>0</v>
      </c>
      <c r="X472" s="117">
        <f>F472-G472</f>
        <v>0</v>
      </c>
      <c r="Y472" s="117">
        <f t="shared" ref="Y472" si="378">IF(U472=W472,3,0)</f>
        <v>3</v>
      </c>
      <c r="Z472" s="117">
        <f t="shared" ref="Z472" si="379">IF(V472=X472,1,0)</f>
        <v>1</v>
      </c>
      <c r="AA472" s="117">
        <f>IF(Z472=1,IF($G$470=F472,1,0),0)</f>
        <v>0</v>
      </c>
      <c r="AC472" s="121" t="str">
        <f>IF($G$470="","",SUM(AH472:AJ472))</f>
        <v/>
      </c>
      <c r="AD472" s="118">
        <f t="shared" ref="AD472" si="380">IF(AE472&gt;0,1,IF(AE472=0,0,2))</f>
        <v>0</v>
      </c>
      <c r="AE472" s="117">
        <f>$G$470-$H$470</f>
        <v>0</v>
      </c>
      <c r="AF472" s="117">
        <f t="shared" ref="AF472" si="381">IF(AG472&gt;0,1,IF(AG472=0,0,2))</f>
        <v>1</v>
      </c>
      <c r="AG472" s="117">
        <f>L472-M472</f>
        <v>1</v>
      </c>
      <c r="AH472" s="117">
        <f t="shared" ref="AH472" si="382">IF(AD472=AF472,3,0)</f>
        <v>0</v>
      </c>
      <c r="AI472" s="117">
        <f t="shared" ref="AI472" si="383">IF(AE472=AG472,1,0)</f>
        <v>0</v>
      </c>
      <c r="AJ472" s="117">
        <f>IF(AI472=1,IF($G$470=L472,1,0),0)</f>
        <v>0</v>
      </c>
    </row>
    <row r="473" spans="2:36" ht="16.5" customHeight="1">
      <c r="B473" s="12"/>
      <c r="C473" s="12"/>
      <c r="D473" s="8"/>
      <c r="E473" s="9" t="s">
        <v>170</v>
      </c>
      <c r="F473" s="5">
        <v>1</v>
      </c>
      <c r="G473" s="6">
        <v>1</v>
      </c>
      <c r="H473" s="7" t="s">
        <v>224</v>
      </c>
      <c r="I473" s="10"/>
      <c r="J473" s="8"/>
      <c r="K473" s="9" t="s">
        <v>196</v>
      </c>
      <c r="L473" s="5">
        <v>1</v>
      </c>
      <c r="M473" s="6">
        <v>0</v>
      </c>
      <c r="N473" s="7" t="str">
        <f t="shared" ref="N473:N499" si="384">AC473</f>
        <v/>
      </c>
      <c r="O473" s="10"/>
      <c r="P473" s="24"/>
      <c r="Q473" s="13"/>
      <c r="T473" s="121" t="str">
        <f t="shared" ref="T473:T499" si="385">IF($G$470="","",SUM(Y473:AA473))</f>
        <v/>
      </c>
      <c r="U473" s="118">
        <f t="shared" ref="U473:U499" si="386">IF(V473&gt;0,1,IF(V473=0,0,2))</f>
        <v>0</v>
      </c>
      <c r="V473" s="117">
        <f t="shared" ref="V473:V499" si="387">$G$470-$H$470</f>
        <v>0</v>
      </c>
      <c r="W473" s="117">
        <f t="shared" ref="W473:W499" si="388">IF(X473&gt;0,1,IF(X473=0,0,2))</f>
        <v>0</v>
      </c>
      <c r="X473" s="117">
        <f t="shared" ref="X473:X499" si="389">F473-G473</f>
        <v>0</v>
      </c>
      <c r="Y473" s="117">
        <f t="shared" ref="Y473:Y499" si="390">IF(U473=W473,3,0)</f>
        <v>3</v>
      </c>
      <c r="Z473" s="117">
        <f t="shared" ref="Z473:Z499" si="391">IF(V473=X473,1,0)</f>
        <v>1</v>
      </c>
      <c r="AA473" s="117">
        <f t="shared" ref="AA473:AA499" si="392">IF(Z473=1,IF($G$470=F473,1,0),0)</f>
        <v>0</v>
      </c>
      <c r="AC473" s="121" t="str">
        <f t="shared" ref="AC473:AC499" si="393">IF($G$470="","",SUM(AH473:AJ473))</f>
        <v/>
      </c>
      <c r="AD473" s="118">
        <f t="shared" ref="AD473:AD499" si="394">IF(AE473&gt;0,1,IF(AE473=0,0,2))</f>
        <v>0</v>
      </c>
      <c r="AE473" s="117">
        <f t="shared" ref="AE473:AE499" si="395">$G$470-$H$470</f>
        <v>0</v>
      </c>
      <c r="AF473" s="117">
        <f t="shared" ref="AF473:AF499" si="396">IF(AG473&gt;0,1,IF(AG473=0,0,2))</f>
        <v>1</v>
      </c>
      <c r="AG473" s="117">
        <f t="shared" ref="AG473:AG499" si="397">L473-M473</f>
        <v>1</v>
      </c>
      <c r="AH473" s="117">
        <f t="shared" ref="AH473:AH499" si="398">IF(AD473=AF473,3,0)</f>
        <v>0</v>
      </c>
      <c r="AI473" s="117">
        <f t="shared" ref="AI473:AI499" si="399">IF(AE473=AG473,1,0)</f>
        <v>0</v>
      </c>
      <c r="AJ473" s="117">
        <f t="shared" ref="AJ473:AJ499" si="400">IF(AI473=1,IF($G$470=L473,1,0),0)</f>
        <v>0</v>
      </c>
    </row>
    <row r="474" spans="2:36" ht="16.5" customHeight="1">
      <c r="B474" s="12"/>
      <c r="C474" s="12"/>
      <c r="D474" s="4"/>
      <c r="E474" s="4" t="s">
        <v>171</v>
      </c>
      <c r="F474" s="5">
        <v>1</v>
      </c>
      <c r="G474" s="6">
        <v>2</v>
      </c>
      <c r="H474" s="7" t="s">
        <v>224</v>
      </c>
      <c r="I474" s="7"/>
      <c r="J474" s="4"/>
      <c r="K474" s="4" t="s">
        <v>197</v>
      </c>
      <c r="L474" s="5">
        <v>1</v>
      </c>
      <c r="M474" s="6">
        <v>1</v>
      </c>
      <c r="N474" s="7" t="str">
        <f t="shared" si="384"/>
        <v/>
      </c>
      <c r="O474" s="7"/>
      <c r="P474" s="24"/>
      <c r="Q474" s="13"/>
      <c r="T474" s="121" t="str">
        <f t="shared" si="385"/>
        <v/>
      </c>
      <c r="U474" s="118">
        <f t="shared" si="386"/>
        <v>0</v>
      </c>
      <c r="V474" s="117">
        <f t="shared" si="387"/>
        <v>0</v>
      </c>
      <c r="W474" s="117">
        <f t="shared" si="388"/>
        <v>2</v>
      </c>
      <c r="X474" s="117">
        <f t="shared" si="389"/>
        <v>-1</v>
      </c>
      <c r="Y474" s="117">
        <f t="shared" si="390"/>
        <v>0</v>
      </c>
      <c r="Z474" s="117">
        <f t="shared" si="391"/>
        <v>0</v>
      </c>
      <c r="AA474" s="117">
        <f t="shared" si="392"/>
        <v>0</v>
      </c>
      <c r="AC474" s="121" t="str">
        <f t="shared" si="393"/>
        <v/>
      </c>
      <c r="AD474" s="118">
        <f t="shared" si="394"/>
        <v>0</v>
      </c>
      <c r="AE474" s="117">
        <f t="shared" si="395"/>
        <v>0</v>
      </c>
      <c r="AF474" s="117">
        <f t="shared" si="396"/>
        <v>0</v>
      </c>
      <c r="AG474" s="117">
        <f t="shared" si="397"/>
        <v>0</v>
      </c>
      <c r="AH474" s="117">
        <f t="shared" si="398"/>
        <v>3</v>
      </c>
      <c r="AI474" s="117">
        <f t="shared" si="399"/>
        <v>1</v>
      </c>
      <c r="AJ474" s="117">
        <f t="shared" si="400"/>
        <v>0</v>
      </c>
    </row>
    <row r="475" spans="2:36" ht="16.5" customHeight="1">
      <c r="B475" s="12"/>
      <c r="C475" s="12"/>
      <c r="D475" s="8"/>
      <c r="E475" s="9" t="s">
        <v>172</v>
      </c>
      <c r="F475" s="5">
        <v>1</v>
      </c>
      <c r="G475" s="6">
        <v>1</v>
      </c>
      <c r="H475" s="7" t="s">
        <v>224</v>
      </c>
      <c r="I475" s="10"/>
      <c r="J475" s="8"/>
      <c r="K475" s="9" t="s">
        <v>198</v>
      </c>
      <c r="L475" s="5">
        <v>2</v>
      </c>
      <c r="M475" s="6">
        <v>0</v>
      </c>
      <c r="N475" s="7" t="str">
        <f t="shared" si="384"/>
        <v/>
      </c>
      <c r="O475" s="10"/>
      <c r="P475" s="24"/>
      <c r="Q475" s="13"/>
      <c r="T475" s="121" t="str">
        <f t="shared" si="385"/>
        <v/>
      </c>
      <c r="U475" s="118">
        <f t="shared" si="386"/>
        <v>0</v>
      </c>
      <c r="V475" s="117">
        <f t="shared" si="387"/>
        <v>0</v>
      </c>
      <c r="W475" s="117">
        <f t="shared" si="388"/>
        <v>0</v>
      </c>
      <c r="X475" s="117">
        <f t="shared" si="389"/>
        <v>0</v>
      </c>
      <c r="Y475" s="117">
        <f t="shared" si="390"/>
        <v>3</v>
      </c>
      <c r="Z475" s="117">
        <f t="shared" si="391"/>
        <v>1</v>
      </c>
      <c r="AA475" s="117">
        <f t="shared" si="392"/>
        <v>0</v>
      </c>
      <c r="AC475" s="121" t="str">
        <f t="shared" si="393"/>
        <v/>
      </c>
      <c r="AD475" s="118">
        <f t="shared" si="394"/>
        <v>0</v>
      </c>
      <c r="AE475" s="117">
        <f t="shared" si="395"/>
        <v>0</v>
      </c>
      <c r="AF475" s="117">
        <f t="shared" si="396"/>
        <v>1</v>
      </c>
      <c r="AG475" s="117">
        <f t="shared" si="397"/>
        <v>2</v>
      </c>
      <c r="AH475" s="117">
        <f t="shared" si="398"/>
        <v>0</v>
      </c>
      <c r="AI475" s="117">
        <f t="shared" si="399"/>
        <v>0</v>
      </c>
      <c r="AJ475" s="117">
        <f t="shared" si="400"/>
        <v>0</v>
      </c>
    </row>
    <row r="476" spans="2:36" ht="16.5" customHeight="1">
      <c r="B476" s="12"/>
      <c r="C476" s="12"/>
      <c r="D476" s="4"/>
      <c r="E476" s="4" t="s">
        <v>173</v>
      </c>
      <c r="F476" s="5">
        <v>1</v>
      </c>
      <c r="G476" s="6">
        <v>1</v>
      </c>
      <c r="H476" s="7" t="s">
        <v>224</v>
      </c>
      <c r="I476" s="7"/>
      <c r="J476" s="4"/>
      <c r="K476" s="4" t="s">
        <v>199</v>
      </c>
      <c r="L476" s="5">
        <v>1</v>
      </c>
      <c r="M476" s="6">
        <v>0</v>
      </c>
      <c r="N476" s="7" t="str">
        <f t="shared" si="384"/>
        <v/>
      </c>
      <c r="O476" s="7"/>
      <c r="P476" s="24"/>
      <c r="Q476" s="13"/>
      <c r="T476" s="121" t="str">
        <f t="shared" si="385"/>
        <v/>
      </c>
      <c r="U476" s="118">
        <f t="shared" si="386"/>
        <v>0</v>
      </c>
      <c r="V476" s="117">
        <f t="shared" si="387"/>
        <v>0</v>
      </c>
      <c r="W476" s="117">
        <f t="shared" si="388"/>
        <v>0</v>
      </c>
      <c r="X476" s="117">
        <f t="shared" si="389"/>
        <v>0</v>
      </c>
      <c r="Y476" s="117">
        <f t="shared" si="390"/>
        <v>3</v>
      </c>
      <c r="Z476" s="117">
        <f t="shared" si="391"/>
        <v>1</v>
      </c>
      <c r="AA476" s="117">
        <f t="shared" si="392"/>
        <v>0</v>
      </c>
      <c r="AC476" s="121" t="str">
        <f t="shared" si="393"/>
        <v/>
      </c>
      <c r="AD476" s="118">
        <f t="shared" si="394"/>
        <v>0</v>
      </c>
      <c r="AE476" s="117">
        <f t="shared" si="395"/>
        <v>0</v>
      </c>
      <c r="AF476" s="117">
        <f t="shared" si="396"/>
        <v>1</v>
      </c>
      <c r="AG476" s="117">
        <f t="shared" si="397"/>
        <v>1</v>
      </c>
      <c r="AH476" s="117">
        <f t="shared" si="398"/>
        <v>0</v>
      </c>
      <c r="AI476" s="117">
        <f t="shared" si="399"/>
        <v>0</v>
      </c>
      <c r="AJ476" s="117">
        <f t="shared" si="400"/>
        <v>0</v>
      </c>
    </row>
    <row r="477" spans="2:36" ht="16.5" customHeight="1">
      <c r="B477" s="12"/>
      <c r="C477" s="12"/>
      <c r="D477" s="8"/>
      <c r="E477" s="9" t="s">
        <v>174</v>
      </c>
      <c r="F477" s="5">
        <v>1</v>
      </c>
      <c r="G477" s="6">
        <v>0</v>
      </c>
      <c r="H477" s="7" t="s">
        <v>224</v>
      </c>
      <c r="I477" s="10"/>
      <c r="J477" s="8"/>
      <c r="K477" s="9" t="s">
        <v>200</v>
      </c>
      <c r="L477" s="5">
        <v>2</v>
      </c>
      <c r="M477" s="6">
        <v>0</v>
      </c>
      <c r="N477" s="7" t="str">
        <f t="shared" si="384"/>
        <v/>
      </c>
      <c r="O477" s="10"/>
      <c r="P477" s="24"/>
      <c r="Q477" s="13"/>
      <c r="T477" s="121" t="str">
        <f t="shared" si="385"/>
        <v/>
      </c>
      <c r="U477" s="118">
        <f t="shared" si="386"/>
        <v>0</v>
      </c>
      <c r="V477" s="117">
        <f t="shared" si="387"/>
        <v>0</v>
      </c>
      <c r="W477" s="117">
        <f t="shared" si="388"/>
        <v>1</v>
      </c>
      <c r="X477" s="117">
        <f t="shared" si="389"/>
        <v>1</v>
      </c>
      <c r="Y477" s="117">
        <f t="shared" si="390"/>
        <v>0</v>
      </c>
      <c r="Z477" s="117">
        <f t="shared" si="391"/>
        <v>0</v>
      </c>
      <c r="AA477" s="117">
        <f t="shared" si="392"/>
        <v>0</v>
      </c>
      <c r="AC477" s="121" t="str">
        <f t="shared" si="393"/>
        <v/>
      </c>
      <c r="AD477" s="118">
        <f t="shared" si="394"/>
        <v>0</v>
      </c>
      <c r="AE477" s="117">
        <f t="shared" si="395"/>
        <v>0</v>
      </c>
      <c r="AF477" s="117">
        <f t="shared" si="396"/>
        <v>1</v>
      </c>
      <c r="AG477" s="117">
        <f t="shared" si="397"/>
        <v>2</v>
      </c>
      <c r="AH477" s="117">
        <f t="shared" si="398"/>
        <v>0</v>
      </c>
      <c r="AI477" s="117">
        <f t="shared" si="399"/>
        <v>0</v>
      </c>
      <c r="AJ477" s="117">
        <f t="shared" si="400"/>
        <v>0</v>
      </c>
    </row>
    <row r="478" spans="2:36" ht="16.5" customHeight="1">
      <c r="B478" s="12"/>
      <c r="C478" s="12"/>
      <c r="D478" s="4"/>
      <c r="E478" s="4" t="s">
        <v>175</v>
      </c>
      <c r="F478" s="5">
        <v>2</v>
      </c>
      <c r="G478" s="6">
        <v>1</v>
      </c>
      <c r="H478" s="7" t="s">
        <v>224</v>
      </c>
      <c r="I478" s="7"/>
      <c r="J478" s="4"/>
      <c r="K478" s="4" t="s">
        <v>201</v>
      </c>
      <c r="L478" s="5">
        <v>1</v>
      </c>
      <c r="M478" s="6">
        <v>2</v>
      </c>
      <c r="N478" s="7" t="str">
        <f t="shared" si="384"/>
        <v/>
      </c>
      <c r="O478" s="7"/>
      <c r="P478" s="24"/>
      <c r="Q478" s="13"/>
      <c r="T478" s="121" t="str">
        <f t="shared" si="385"/>
        <v/>
      </c>
      <c r="U478" s="118">
        <f t="shared" si="386"/>
        <v>0</v>
      </c>
      <c r="V478" s="117">
        <f t="shared" si="387"/>
        <v>0</v>
      </c>
      <c r="W478" s="117">
        <f t="shared" si="388"/>
        <v>1</v>
      </c>
      <c r="X478" s="117">
        <f t="shared" si="389"/>
        <v>1</v>
      </c>
      <c r="Y478" s="117">
        <f t="shared" si="390"/>
        <v>0</v>
      </c>
      <c r="Z478" s="117">
        <f t="shared" si="391"/>
        <v>0</v>
      </c>
      <c r="AA478" s="117">
        <f t="shared" si="392"/>
        <v>0</v>
      </c>
      <c r="AC478" s="121" t="str">
        <f t="shared" si="393"/>
        <v/>
      </c>
      <c r="AD478" s="118">
        <f t="shared" si="394"/>
        <v>0</v>
      </c>
      <c r="AE478" s="117">
        <f t="shared" si="395"/>
        <v>0</v>
      </c>
      <c r="AF478" s="117">
        <f t="shared" si="396"/>
        <v>2</v>
      </c>
      <c r="AG478" s="117">
        <f t="shared" si="397"/>
        <v>-1</v>
      </c>
      <c r="AH478" s="117">
        <f t="shared" si="398"/>
        <v>0</v>
      </c>
      <c r="AI478" s="117">
        <f t="shared" si="399"/>
        <v>0</v>
      </c>
      <c r="AJ478" s="117">
        <f t="shared" si="400"/>
        <v>0</v>
      </c>
    </row>
    <row r="479" spans="2:36" ht="16.5" customHeight="1">
      <c r="B479" s="14"/>
      <c r="C479" s="14" t="s">
        <v>8</v>
      </c>
      <c r="D479" s="8"/>
      <c r="E479" s="9" t="s">
        <v>33</v>
      </c>
      <c r="F479" s="5">
        <v>2</v>
      </c>
      <c r="G479" s="6">
        <v>0</v>
      </c>
      <c r="H479" s="7" t="s">
        <v>224</v>
      </c>
      <c r="I479" s="10"/>
      <c r="J479" s="8"/>
      <c r="K479" s="9" t="s">
        <v>225</v>
      </c>
      <c r="L479" s="5">
        <v>1</v>
      </c>
      <c r="M479" s="6">
        <v>0</v>
      </c>
      <c r="N479" s="7" t="str">
        <f t="shared" si="384"/>
        <v/>
      </c>
      <c r="O479" s="10"/>
      <c r="P479" s="31" t="s">
        <v>16</v>
      </c>
      <c r="Q479" s="30"/>
      <c r="T479" s="121" t="str">
        <f t="shared" si="385"/>
        <v/>
      </c>
      <c r="U479" s="118">
        <f t="shared" si="386"/>
        <v>0</v>
      </c>
      <c r="V479" s="117">
        <f t="shared" si="387"/>
        <v>0</v>
      </c>
      <c r="W479" s="117">
        <f t="shared" si="388"/>
        <v>1</v>
      </c>
      <c r="X479" s="117">
        <f t="shared" si="389"/>
        <v>2</v>
      </c>
      <c r="Y479" s="117">
        <f t="shared" si="390"/>
        <v>0</v>
      </c>
      <c r="Z479" s="117">
        <f t="shared" si="391"/>
        <v>0</v>
      </c>
      <c r="AA479" s="117">
        <f t="shared" si="392"/>
        <v>0</v>
      </c>
      <c r="AC479" s="121" t="str">
        <f t="shared" si="393"/>
        <v/>
      </c>
      <c r="AD479" s="118">
        <f t="shared" si="394"/>
        <v>0</v>
      </c>
      <c r="AE479" s="117">
        <f t="shared" si="395"/>
        <v>0</v>
      </c>
      <c r="AF479" s="117">
        <f t="shared" si="396"/>
        <v>1</v>
      </c>
      <c r="AG479" s="117">
        <f t="shared" si="397"/>
        <v>1</v>
      </c>
      <c r="AH479" s="117">
        <f t="shared" si="398"/>
        <v>0</v>
      </c>
      <c r="AI479" s="117">
        <f t="shared" si="399"/>
        <v>0</v>
      </c>
      <c r="AJ479" s="117">
        <f t="shared" si="400"/>
        <v>0</v>
      </c>
    </row>
    <row r="480" spans="2:36" ht="16.5" customHeight="1">
      <c r="B480" s="14"/>
      <c r="C480" s="14"/>
      <c r="D480" s="4"/>
      <c r="E480" s="4" t="s">
        <v>176</v>
      </c>
      <c r="F480" s="5">
        <v>1</v>
      </c>
      <c r="G480" s="6">
        <v>0</v>
      </c>
      <c r="H480" s="7" t="s">
        <v>224</v>
      </c>
      <c r="I480" s="7"/>
      <c r="J480" s="4"/>
      <c r="K480" s="4" t="s">
        <v>203</v>
      </c>
      <c r="L480" s="5">
        <v>2</v>
      </c>
      <c r="M480" s="6">
        <v>0</v>
      </c>
      <c r="N480" s="7" t="str">
        <f t="shared" si="384"/>
        <v/>
      </c>
      <c r="O480" s="7"/>
      <c r="P480" s="31"/>
      <c r="Q480" s="30"/>
      <c r="T480" s="121" t="str">
        <f t="shared" si="385"/>
        <v/>
      </c>
      <c r="U480" s="118">
        <f t="shared" si="386"/>
        <v>0</v>
      </c>
      <c r="V480" s="117">
        <f t="shared" si="387"/>
        <v>0</v>
      </c>
      <c r="W480" s="117">
        <f t="shared" si="388"/>
        <v>1</v>
      </c>
      <c r="X480" s="117">
        <f t="shared" si="389"/>
        <v>1</v>
      </c>
      <c r="Y480" s="117">
        <f t="shared" si="390"/>
        <v>0</v>
      </c>
      <c r="Z480" s="117">
        <f t="shared" si="391"/>
        <v>0</v>
      </c>
      <c r="AA480" s="117">
        <f t="shared" si="392"/>
        <v>0</v>
      </c>
      <c r="AC480" s="121" t="str">
        <f t="shared" si="393"/>
        <v/>
      </c>
      <c r="AD480" s="118">
        <f t="shared" si="394"/>
        <v>0</v>
      </c>
      <c r="AE480" s="117">
        <f t="shared" si="395"/>
        <v>0</v>
      </c>
      <c r="AF480" s="117">
        <f t="shared" si="396"/>
        <v>1</v>
      </c>
      <c r="AG480" s="117">
        <f t="shared" si="397"/>
        <v>2</v>
      </c>
      <c r="AH480" s="117">
        <f t="shared" si="398"/>
        <v>0</v>
      </c>
      <c r="AI480" s="117">
        <f t="shared" si="399"/>
        <v>0</v>
      </c>
      <c r="AJ480" s="117">
        <f t="shared" si="400"/>
        <v>0</v>
      </c>
    </row>
    <row r="481" spans="2:36" ht="16.5" customHeight="1">
      <c r="B481" s="14"/>
      <c r="C481" s="14"/>
      <c r="D481" s="8"/>
      <c r="E481" s="9" t="s">
        <v>177</v>
      </c>
      <c r="F481" s="5">
        <v>2</v>
      </c>
      <c r="G481" s="6">
        <v>0</v>
      </c>
      <c r="H481" s="7" t="s">
        <v>224</v>
      </c>
      <c r="I481" s="10"/>
      <c r="J481" s="8"/>
      <c r="K481" s="9" t="s">
        <v>204</v>
      </c>
      <c r="L481" s="5">
        <v>1</v>
      </c>
      <c r="M481" s="6">
        <v>0</v>
      </c>
      <c r="N481" s="7" t="str">
        <f t="shared" si="384"/>
        <v/>
      </c>
      <c r="O481" s="10"/>
      <c r="P481" s="31"/>
      <c r="Q481" s="30"/>
      <c r="T481" s="121" t="str">
        <f t="shared" si="385"/>
        <v/>
      </c>
      <c r="U481" s="118">
        <f t="shared" si="386"/>
        <v>0</v>
      </c>
      <c r="V481" s="117">
        <f t="shared" si="387"/>
        <v>0</v>
      </c>
      <c r="W481" s="117">
        <f t="shared" si="388"/>
        <v>1</v>
      </c>
      <c r="X481" s="117">
        <f t="shared" si="389"/>
        <v>2</v>
      </c>
      <c r="Y481" s="117">
        <f t="shared" si="390"/>
        <v>0</v>
      </c>
      <c r="Z481" s="117">
        <f t="shared" si="391"/>
        <v>0</v>
      </c>
      <c r="AA481" s="117">
        <f t="shared" si="392"/>
        <v>0</v>
      </c>
      <c r="AC481" s="121" t="str">
        <f t="shared" si="393"/>
        <v/>
      </c>
      <c r="AD481" s="118">
        <f t="shared" si="394"/>
        <v>0</v>
      </c>
      <c r="AE481" s="117">
        <f t="shared" si="395"/>
        <v>0</v>
      </c>
      <c r="AF481" s="117">
        <f t="shared" si="396"/>
        <v>1</v>
      </c>
      <c r="AG481" s="117">
        <f t="shared" si="397"/>
        <v>1</v>
      </c>
      <c r="AH481" s="117">
        <f t="shared" si="398"/>
        <v>0</v>
      </c>
      <c r="AI481" s="117">
        <f t="shared" si="399"/>
        <v>0</v>
      </c>
      <c r="AJ481" s="117">
        <f t="shared" si="400"/>
        <v>0</v>
      </c>
    </row>
    <row r="482" spans="2:36" ht="16.5" customHeight="1">
      <c r="B482" s="14"/>
      <c r="C482" s="14"/>
      <c r="D482" s="4"/>
      <c r="E482" s="4" t="s">
        <v>178</v>
      </c>
      <c r="F482" s="5">
        <v>2</v>
      </c>
      <c r="G482" s="6">
        <v>0</v>
      </c>
      <c r="H482" s="7" t="s">
        <v>224</v>
      </c>
      <c r="I482" s="7"/>
      <c r="J482" s="4"/>
      <c r="K482" s="4" t="s">
        <v>223</v>
      </c>
      <c r="L482" s="5">
        <v>1</v>
      </c>
      <c r="M482" s="6">
        <v>3</v>
      </c>
      <c r="N482" s="7" t="str">
        <f t="shared" si="384"/>
        <v/>
      </c>
      <c r="O482" s="7"/>
      <c r="P482" s="31"/>
      <c r="Q482" s="30"/>
      <c r="T482" s="121" t="str">
        <f t="shared" si="385"/>
        <v/>
      </c>
      <c r="U482" s="118">
        <f t="shared" si="386"/>
        <v>0</v>
      </c>
      <c r="V482" s="117">
        <f t="shared" si="387"/>
        <v>0</v>
      </c>
      <c r="W482" s="117">
        <f t="shared" si="388"/>
        <v>1</v>
      </c>
      <c r="X482" s="117">
        <f t="shared" si="389"/>
        <v>2</v>
      </c>
      <c r="Y482" s="117">
        <f t="shared" si="390"/>
        <v>0</v>
      </c>
      <c r="Z482" s="117">
        <f t="shared" si="391"/>
        <v>0</v>
      </c>
      <c r="AA482" s="117">
        <f t="shared" si="392"/>
        <v>0</v>
      </c>
      <c r="AC482" s="121" t="str">
        <f t="shared" si="393"/>
        <v/>
      </c>
      <c r="AD482" s="118">
        <f t="shared" si="394"/>
        <v>0</v>
      </c>
      <c r="AE482" s="117">
        <f t="shared" si="395"/>
        <v>0</v>
      </c>
      <c r="AF482" s="117">
        <f t="shared" si="396"/>
        <v>2</v>
      </c>
      <c r="AG482" s="117">
        <f t="shared" si="397"/>
        <v>-2</v>
      </c>
      <c r="AH482" s="117">
        <f t="shared" si="398"/>
        <v>0</v>
      </c>
      <c r="AI482" s="117">
        <f t="shared" si="399"/>
        <v>0</v>
      </c>
      <c r="AJ482" s="117">
        <f t="shared" si="400"/>
        <v>0</v>
      </c>
    </row>
    <row r="483" spans="2:36" ht="16.5" customHeight="1">
      <c r="B483" s="14"/>
      <c r="C483" s="14"/>
      <c r="D483" s="8"/>
      <c r="E483" s="9" t="s">
        <v>179</v>
      </c>
      <c r="F483" s="5">
        <v>3</v>
      </c>
      <c r="G483" s="6">
        <v>1</v>
      </c>
      <c r="H483" s="7" t="s">
        <v>224</v>
      </c>
      <c r="I483" s="10"/>
      <c r="J483" s="8"/>
      <c r="K483" s="9" t="s">
        <v>205</v>
      </c>
      <c r="L483" s="5">
        <v>2</v>
      </c>
      <c r="M483" s="6">
        <v>0</v>
      </c>
      <c r="N483" s="7" t="str">
        <f t="shared" si="384"/>
        <v/>
      </c>
      <c r="O483" s="10"/>
      <c r="P483" s="31"/>
      <c r="Q483" s="30"/>
      <c r="T483" s="121" t="str">
        <f t="shared" si="385"/>
        <v/>
      </c>
      <c r="U483" s="118">
        <f t="shared" si="386"/>
        <v>0</v>
      </c>
      <c r="V483" s="117">
        <f t="shared" si="387"/>
        <v>0</v>
      </c>
      <c r="W483" s="117">
        <f t="shared" si="388"/>
        <v>1</v>
      </c>
      <c r="X483" s="117">
        <f t="shared" si="389"/>
        <v>2</v>
      </c>
      <c r="Y483" s="117">
        <f t="shared" si="390"/>
        <v>0</v>
      </c>
      <c r="Z483" s="117">
        <f t="shared" si="391"/>
        <v>0</v>
      </c>
      <c r="AA483" s="117">
        <f t="shared" si="392"/>
        <v>0</v>
      </c>
      <c r="AC483" s="121" t="str">
        <f t="shared" si="393"/>
        <v/>
      </c>
      <c r="AD483" s="118">
        <f t="shared" si="394"/>
        <v>0</v>
      </c>
      <c r="AE483" s="117">
        <f t="shared" si="395"/>
        <v>0</v>
      </c>
      <c r="AF483" s="117">
        <f t="shared" si="396"/>
        <v>1</v>
      </c>
      <c r="AG483" s="117">
        <f t="shared" si="397"/>
        <v>2</v>
      </c>
      <c r="AH483" s="117">
        <f t="shared" si="398"/>
        <v>0</v>
      </c>
      <c r="AI483" s="117">
        <f t="shared" si="399"/>
        <v>0</v>
      </c>
      <c r="AJ483" s="117">
        <f t="shared" si="400"/>
        <v>0</v>
      </c>
    </row>
    <row r="484" spans="2:36" ht="16.5" customHeight="1">
      <c r="B484" s="14"/>
      <c r="C484" s="14"/>
      <c r="D484" s="4"/>
      <c r="E484" s="4" t="s">
        <v>180</v>
      </c>
      <c r="F484" s="5">
        <v>0</v>
      </c>
      <c r="G484" s="6">
        <v>0</v>
      </c>
      <c r="H484" s="7" t="s">
        <v>224</v>
      </c>
      <c r="I484" s="7"/>
      <c r="J484" s="4"/>
      <c r="K484" s="4" t="s">
        <v>206</v>
      </c>
      <c r="L484" s="5">
        <v>1</v>
      </c>
      <c r="M484" s="6">
        <v>0</v>
      </c>
      <c r="N484" s="7" t="str">
        <f t="shared" si="384"/>
        <v/>
      </c>
      <c r="O484" s="7"/>
      <c r="P484" s="31"/>
      <c r="Q484" s="30"/>
      <c r="T484" s="121" t="str">
        <f t="shared" si="385"/>
        <v/>
      </c>
      <c r="U484" s="118">
        <f t="shared" si="386"/>
        <v>0</v>
      </c>
      <c r="V484" s="117">
        <f t="shared" si="387"/>
        <v>0</v>
      </c>
      <c r="W484" s="117">
        <f t="shared" si="388"/>
        <v>0</v>
      </c>
      <c r="X484" s="117">
        <f t="shared" si="389"/>
        <v>0</v>
      </c>
      <c r="Y484" s="117">
        <f t="shared" si="390"/>
        <v>3</v>
      </c>
      <c r="Z484" s="117">
        <f t="shared" si="391"/>
        <v>1</v>
      </c>
      <c r="AA484" s="117">
        <f t="shared" si="392"/>
        <v>1</v>
      </c>
      <c r="AC484" s="121" t="str">
        <f t="shared" si="393"/>
        <v/>
      </c>
      <c r="AD484" s="118">
        <f t="shared" si="394"/>
        <v>0</v>
      </c>
      <c r="AE484" s="117">
        <f t="shared" si="395"/>
        <v>0</v>
      </c>
      <c r="AF484" s="117">
        <f t="shared" si="396"/>
        <v>1</v>
      </c>
      <c r="AG484" s="117">
        <f t="shared" si="397"/>
        <v>1</v>
      </c>
      <c r="AH484" s="117">
        <f t="shared" si="398"/>
        <v>0</v>
      </c>
      <c r="AI484" s="117">
        <f t="shared" si="399"/>
        <v>0</v>
      </c>
      <c r="AJ484" s="117">
        <f t="shared" si="400"/>
        <v>0</v>
      </c>
    </row>
    <row r="485" spans="2:36" ht="16.5" customHeight="1">
      <c r="B485" s="14"/>
      <c r="C485" s="14"/>
      <c r="D485" s="8"/>
      <c r="E485" s="9" t="s">
        <v>181</v>
      </c>
      <c r="F485" s="5">
        <v>2</v>
      </c>
      <c r="G485" s="6">
        <v>0</v>
      </c>
      <c r="H485" s="7" t="s">
        <v>224</v>
      </c>
      <c r="I485" s="10"/>
      <c r="J485" s="8"/>
      <c r="K485" s="9" t="s">
        <v>207</v>
      </c>
      <c r="L485" s="5">
        <v>0</v>
      </c>
      <c r="M485" s="6">
        <v>1</v>
      </c>
      <c r="N485" s="7" t="str">
        <f t="shared" si="384"/>
        <v/>
      </c>
      <c r="O485" s="10"/>
      <c r="P485" s="31"/>
      <c r="Q485" s="30"/>
      <c r="T485" s="121" t="str">
        <f t="shared" si="385"/>
        <v/>
      </c>
      <c r="U485" s="118">
        <f t="shared" si="386"/>
        <v>0</v>
      </c>
      <c r="V485" s="117">
        <f t="shared" si="387"/>
        <v>0</v>
      </c>
      <c r="W485" s="117">
        <f t="shared" si="388"/>
        <v>1</v>
      </c>
      <c r="X485" s="117">
        <f t="shared" si="389"/>
        <v>2</v>
      </c>
      <c r="Y485" s="117">
        <f t="shared" si="390"/>
        <v>0</v>
      </c>
      <c r="Z485" s="117">
        <f t="shared" si="391"/>
        <v>0</v>
      </c>
      <c r="AA485" s="117">
        <f t="shared" si="392"/>
        <v>0</v>
      </c>
      <c r="AC485" s="121" t="str">
        <f t="shared" si="393"/>
        <v/>
      </c>
      <c r="AD485" s="118">
        <f t="shared" si="394"/>
        <v>0</v>
      </c>
      <c r="AE485" s="117">
        <f t="shared" si="395"/>
        <v>0</v>
      </c>
      <c r="AF485" s="117">
        <f t="shared" si="396"/>
        <v>2</v>
      </c>
      <c r="AG485" s="117">
        <f t="shared" si="397"/>
        <v>-1</v>
      </c>
      <c r="AH485" s="117">
        <f t="shared" si="398"/>
        <v>0</v>
      </c>
      <c r="AI485" s="117">
        <f t="shared" si="399"/>
        <v>0</v>
      </c>
      <c r="AJ485" s="117">
        <f t="shared" si="400"/>
        <v>0</v>
      </c>
    </row>
    <row r="486" spans="2:36" ht="16.5" customHeight="1">
      <c r="B486" s="11"/>
      <c r="C486" s="11" t="s">
        <v>9</v>
      </c>
      <c r="D486" s="4"/>
      <c r="E486" s="4" t="s">
        <v>182</v>
      </c>
      <c r="F486" s="5">
        <v>1</v>
      </c>
      <c r="G486" s="6">
        <v>0</v>
      </c>
      <c r="H486" s="7" t="s">
        <v>224</v>
      </c>
      <c r="I486" s="7"/>
      <c r="J486" s="4"/>
      <c r="K486" s="4" t="s">
        <v>208</v>
      </c>
      <c r="L486" s="5">
        <v>2</v>
      </c>
      <c r="M486" s="6">
        <v>1</v>
      </c>
      <c r="N486" s="7" t="str">
        <f t="shared" si="384"/>
        <v/>
      </c>
      <c r="O486" s="7"/>
      <c r="P486" s="36" t="s">
        <v>25</v>
      </c>
      <c r="Q486" s="35"/>
      <c r="T486" s="121" t="str">
        <f t="shared" si="385"/>
        <v/>
      </c>
      <c r="U486" s="118">
        <f t="shared" si="386"/>
        <v>0</v>
      </c>
      <c r="V486" s="117">
        <f t="shared" si="387"/>
        <v>0</v>
      </c>
      <c r="W486" s="117">
        <f t="shared" si="388"/>
        <v>1</v>
      </c>
      <c r="X486" s="117">
        <f t="shared" si="389"/>
        <v>1</v>
      </c>
      <c r="Y486" s="117">
        <f t="shared" si="390"/>
        <v>0</v>
      </c>
      <c r="Z486" s="117">
        <f t="shared" si="391"/>
        <v>0</v>
      </c>
      <c r="AA486" s="117">
        <f t="shared" si="392"/>
        <v>0</v>
      </c>
      <c r="AC486" s="121" t="str">
        <f t="shared" si="393"/>
        <v/>
      </c>
      <c r="AD486" s="118">
        <f t="shared" si="394"/>
        <v>0</v>
      </c>
      <c r="AE486" s="117">
        <f t="shared" si="395"/>
        <v>0</v>
      </c>
      <c r="AF486" s="117">
        <f t="shared" si="396"/>
        <v>1</v>
      </c>
      <c r="AG486" s="117">
        <f t="shared" si="397"/>
        <v>1</v>
      </c>
      <c r="AH486" s="117">
        <f t="shared" si="398"/>
        <v>0</v>
      </c>
      <c r="AI486" s="117">
        <f t="shared" si="399"/>
        <v>0</v>
      </c>
      <c r="AJ486" s="117">
        <f t="shared" si="400"/>
        <v>0</v>
      </c>
    </row>
    <row r="487" spans="2:36" ht="16.5" customHeight="1">
      <c r="B487" s="11"/>
      <c r="C487" s="11"/>
      <c r="D487" s="8"/>
      <c r="E487" s="9" t="s">
        <v>183</v>
      </c>
      <c r="F487" s="5">
        <v>2</v>
      </c>
      <c r="G487" s="6">
        <v>0</v>
      </c>
      <c r="H487" s="7" t="s">
        <v>224</v>
      </c>
      <c r="I487" s="10"/>
      <c r="J487" s="8"/>
      <c r="K487" s="9" t="s">
        <v>209</v>
      </c>
      <c r="L487" s="5">
        <v>3</v>
      </c>
      <c r="M487" s="6">
        <v>3</v>
      </c>
      <c r="N487" s="7" t="str">
        <f t="shared" si="384"/>
        <v/>
      </c>
      <c r="O487" s="10"/>
      <c r="P487" s="36"/>
      <c r="Q487" s="35"/>
      <c r="T487" s="121" t="str">
        <f t="shared" si="385"/>
        <v/>
      </c>
      <c r="U487" s="118">
        <f t="shared" si="386"/>
        <v>0</v>
      </c>
      <c r="V487" s="117">
        <f t="shared" si="387"/>
        <v>0</v>
      </c>
      <c r="W487" s="117">
        <f t="shared" si="388"/>
        <v>1</v>
      </c>
      <c r="X487" s="117">
        <f t="shared" si="389"/>
        <v>2</v>
      </c>
      <c r="Y487" s="117">
        <f t="shared" si="390"/>
        <v>0</v>
      </c>
      <c r="Z487" s="117">
        <f t="shared" si="391"/>
        <v>0</v>
      </c>
      <c r="AA487" s="117">
        <f t="shared" si="392"/>
        <v>0</v>
      </c>
      <c r="AC487" s="121" t="str">
        <f t="shared" si="393"/>
        <v/>
      </c>
      <c r="AD487" s="118">
        <f t="shared" si="394"/>
        <v>0</v>
      </c>
      <c r="AE487" s="117">
        <f t="shared" si="395"/>
        <v>0</v>
      </c>
      <c r="AF487" s="117">
        <f t="shared" si="396"/>
        <v>0</v>
      </c>
      <c r="AG487" s="117">
        <f t="shared" si="397"/>
        <v>0</v>
      </c>
      <c r="AH487" s="117">
        <f t="shared" si="398"/>
        <v>3</v>
      </c>
      <c r="AI487" s="117">
        <f t="shared" si="399"/>
        <v>1</v>
      </c>
      <c r="AJ487" s="117">
        <f t="shared" si="400"/>
        <v>0</v>
      </c>
    </row>
    <row r="488" spans="2:36" ht="16.5" customHeight="1">
      <c r="B488" s="11"/>
      <c r="C488" s="11"/>
      <c r="D488" s="4"/>
      <c r="E488" s="4" t="s">
        <v>184</v>
      </c>
      <c r="F488" s="5">
        <v>1</v>
      </c>
      <c r="G488" s="6">
        <v>0</v>
      </c>
      <c r="H488" s="7" t="s">
        <v>224</v>
      </c>
      <c r="I488" s="7"/>
      <c r="J488" s="4"/>
      <c r="K488" s="4" t="s">
        <v>210</v>
      </c>
      <c r="L488" s="5">
        <v>1</v>
      </c>
      <c r="M488" s="6">
        <v>1</v>
      </c>
      <c r="N488" s="7" t="str">
        <f t="shared" si="384"/>
        <v/>
      </c>
      <c r="O488" s="7"/>
      <c r="P488" s="36"/>
      <c r="Q488" s="35"/>
      <c r="T488" s="121" t="str">
        <f t="shared" si="385"/>
        <v/>
      </c>
      <c r="U488" s="118">
        <f t="shared" si="386"/>
        <v>0</v>
      </c>
      <c r="V488" s="117">
        <f t="shared" si="387"/>
        <v>0</v>
      </c>
      <c r="W488" s="117">
        <f t="shared" si="388"/>
        <v>1</v>
      </c>
      <c r="X488" s="117">
        <f t="shared" si="389"/>
        <v>1</v>
      </c>
      <c r="Y488" s="117">
        <f t="shared" si="390"/>
        <v>0</v>
      </c>
      <c r="Z488" s="117">
        <f t="shared" si="391"/>
        <v>0</v>
      </c>
      <c r="AA488" s="117">
        <f t="shared" si="392"/>
        <v>0</v>
      </c>
      <c r="AC488" s="121" t="str">
        <f t="shared" si="393"/>
        <v/>
      </c>
      <c r="AD488" s="118">
        <f t="shared" si="394"/>
        <v>0</v>
      </c>
      <c r="AE488" s="117">
        <f t="shared" si="395"/>
        <v>0</v>
      </c>
      <c r="AF488" s="117">
        <f t="shared" si="396"/>
        <v>0</v>
      </c>
      <c r="AG488" s="117">
        <f t="shared" si="397"/>
        <v>0</v>
      </c>
      <c r="AH488" s="117">
        <f t="shared" si="398"/>
        <v>3</v>
      </c>
      <c r="AI488" s="117">
        <f t="shared" si="399"/>
        <v>1</v>
      </c>
      <c r="AJ488" s="117">
        <f t="shared" si="400"/>
        <v>0</v>
      </c>
    </row>
    <row r="489" spans="2:36" ht="16.5" customHeight="1">
      <c r="B489" s="11"/>
      <c r="C489" s="11"/>
      <c r="D489" s="8"/>
      <c r="E489" s="9" t="s">
        <v>222</v>
      </c>
      <c r="F489" s="5">
        <v>1</v>
      </c>
      <c r="G489" s="6">
        <v>2</v>
      </c>
      <c r="H489" s="7" t="s">
        <v>224</v>
      </c>
      <c r="I489" s="10"/>
      <c r="J489" s="8"/>
      <c r="K489" s="9" t="s">
        <v>211</v>
      </c>
      <c r="L489" s="5">
        <v>1</v>
      </c>
      <c r="M489" s="6">
        <v>0</v>
      </c>
      <c r="N489" s="7" t="str">
        <f t="shared" si="384"/>
        <v/>
      </c>
      <c r="O489" s="10"/>
      <c r="P489" s="36"/>
      <c r="Q489" s="35"/>
      <c r="T489" s="121" t="str">
        <f t="shared" si="385"/>
        <v/>
      </c>
      <c r="U489" s="118">
        <f t="shared" si="386"/>
        <v>0</v>
      </c>
      <c r="V489" s="117">
        <f t="shared" si="387"/>
        <v>0</v>
      </c>
      <c r="W489" s="117">
        <f t="shared" si="388"/>
        <v>2</v>
      </c>
      <c r="X489" s="117">
        <f t="shared" si="389"/>
        <v>-1</v>
      </c>
      <c r="Y489" s="117">
        <f t="shared" si="390"/>
        <v>0</v>
      </c>
      <c r="Z489" s="117">
        <f t="shared" si="391"/>
        <v>0</v>
      </c>
      <c r="AA489" s="117">
        <f t="shared" si="392"/>
        <v>0</v>
      </c>
      <c r="AC489" s="121" t="str">
        <f t="shared" si="393"/>
        <v/>
      </c>
      <c r="AD489" s="118">
        <f t="shared" si="394"/>
        <v>0</v>
      </c>
      <c r="AE489" s="117">
        <f t="shared" si="395"/>
        <v>0</v>
      </c>
      <c r="AF489" s="117">
        <f t="shared" si="396"/>
        <v>1</v>
      </c>
      <c r="AG489" s="117">
        <f t="shared" si="397"/>
        <v>1</v>
      </c>
      <c r="AH489" s="117">
        <f t="shared" si="398"/>
        <v>0</v>
      </c>
      <c r="AI489" s="117">
        <f t="shared" si="399"/>
        <v>0</v>
      </c>
      <c r="AJ489" s="117">
        <f t="shared" si="400"/>
        <v>0</v>
      </c>
    </row>
    <row r="490" spans="2:36" ht="16.5" customHeight="1">
      <c r="B490" s="11"/>
      <c r="C490" s="11"/>
      <c r="D490" s="4"/>
      <c r="E490" s="4" t="s">
        <v>185</v>
      </c>
      <c r="F490" s="5">
        <v>1</v>
      </c>
      <c r="G490" s="6">
        <v>0</v>
      </c>
      <c r="H490" s="7" t="s">
        <v>224</v>
      </c>
      <c r="I490" s="7"/>
      <c r="J490" s="4"/>
      <c r="K490" s="4" t="s">
        <v>212</v>
      </c>
      <c r="L490" s="5">
        <v>0</v>
      </c>
      <c r="M490" s="6">
        <v>0</v>
      </c>
      <c r="N490" s="7" t="str">
        <f t="shared" si="384"/>
        <v/>
      </c>
      <c r="O490" s="7"/>
      <c r="P490" s="36"/>
      <c r="Q490" s="35"/>
      <c r="T490" s="121" t="str">
        <f t="shared" si="385"/>
        <v/>
      </c>
      <c r="U490" s="118">
        <f t="shared" si="386"/>
        <v>0</v>
      </c>
      <c r="V490" s="117">
        <f t="shared" si="387"/>
        <v>0</v>
      </c>
      <c r="W490" s="117">
        <f t="shared" si="388"/>
        <v>1</v>
      </c>
      <c r="X490" s="117">
        <f t="shared" si="389"/>
        <v>1</v>
      </c>
      <c r="Y490" s="117">
        <f t="shared" si="390"/>
        <v>0</v>
      </c>
      <c r="Z490" s="117">
        <f t="shared" si="391"/>
        <v>0</v>
      </c>
      <c r="AA490" s="117">
        <f t="shared" si="392"/>
        <v>0</v>
      </c>
      <c r="AC490" s="121" t="str">
        <f t="shared" si="393"/>
        <v/>
      </c>
      <c r="AD490" s="118">
        <f t="shared" si="394"/>
        <v>0</v>
      </c>
      <c r="AE490" s="117">
        <f t="shared" si="395"/>
        <v>0</v>
      </c>
      <c r="AF490" s="117">
        <f t="shared" si="396"/>
        <v>0</v>
      </c>
      <c r="AG490" s="117">
        <f t="shared" si="397"/>
        <v>0</v>
      </c>
      <c r="AH490" s="117">
        <f t="shared" si="398"/>
        <v>3</v>
      </c>
      <c r="AI490" s="117">
        <f t="shared" si="399"/>
        <v>1</v>
      </c>
      <c r="AJ490" s="117">
        <f t="shared" si="400"/>
        <v>1</v>
      </c>
    </row>
    <row r="491" spans="2:36" ht="16.5" customHeight="1">
      <c r="B491" s="11"/>
      <c r="C491" s="11"/>
      <c r="D491" s="8"/>
      <c r="E491" s="9" t="s">
        <v>186</v>
      </c>
      <c r="F491" s="5">
        <v>1</v>
      </c>
      <c r="G491" s="6">
        <v>0</v>
      </c>
      <c r="H491" s="7" t="s">
        <v>224</v>
      </c>
      <c r="I491" s="10"/>
      <c r="J491" s="8"/>
      <c r="K491" s="9" t="s">
        <v>213</v>
      </c>
      <c r="L491" s="5">
        <v>2</v>
      </c>
      <c r="M491" s="6">
        <v>0</v>
      </c>
      <c r="N491" s="7" t="str">
        <f t="shared" si="384"/>
        <v/>
      </c>
      <c r="O491" s="10"/>
      <c r="P491" s="36"/>
      <c r="Q491" s="35"/>
      <c r="T491" s="121" t="str">
        <f t="shared" si="385"/>
        <v/>
      </c>
      <c r="U491" s="118">
        <f t="shared" si="386"/>
        <v>0</v>
      </c>
      <c r="V491" s="117">
        <f t="shared" si="387"/>
        <v>0</v>
      </c>
      <c r="W491" s="117">
        <f t="shared" si="388"/>
        <v>1</v>
      </c>
      <c r="X491" s="117">
        <f t="shared" si="389"/>
        <v>1</v>
      </c>
      <c r="Y491" s="117">
        <f t="shared" si="390"/>
        <v>0</v>
      </c>
      <c r="Z491" s="117">
        <f t="shared" si="391"/>
        <v>0</v>
      </c>
      <c r="AA491" s="117">
        <f t="shared" si="392"/>
        <v>0</v>
      </c>
      <c r="AC491" s="121" t="str">
        <f t="shared" si="393"/>
        <v/>
      </c>
      <c r="AD491" s="118">
        <f t="shared" si="394"/>
        <v>0</v>
      </c>
      <c r="AE491" s="117">
        <f t="shared" si="395"/>
        <v>0</v>
      </c>
      <c r="AF491" s="117">
        <f t="shared" si="396"/>
        <v>1</v>
      </c>
      <c r="AG491" s="117">
        <f t="shared" si="397"/>
        <v>2</v>
      </c>
      <c r="AH491" s="117">
        <f t="shared" si="398"/>
        <v>0</v>
      </c>
      <c r="AI491" s="117">
        <f t="shared" si="399"/>
        <v>0</v>
      </c>
      <c r="AJ491" s="117">
        <f t="shared" si="400"/>
        <v>0</v>
      </c>
    </row>
    <row r="492" spans="2:36" ht="16.5" customHeight="1">
      <c r="B492" s="11"/>
      <c r="C492" s="11"/>
      <c r="D492" s="4"/>
      <c r="E492" s="4" t="s">
        <v>187</v>
      </c>
      <c r="F492" s="5">
        <v>0</v>
      </c>
      <c r="G492" s="6">
        <v>0</v>
      </c>
      <c r="H492" s="7" t="s">
        <v>224</v>
      </c>
      <c r="I492" s="7"/>
      <c r="J492" s="4"/>
      <c r="K492" s="4" t="s">
        <v>214</v>
      </c>
      <c r="L492" s="5">
        <v>1</v>
      </c>
      <c r="M492" s="6">
        <v>1</v>
      </c>
      <c r="N492" s="7" t="str">
        <f t="shared" si="384"/>
        <v/>
      </c>
      <c r="O492" s="7"/>
      <c r="P492" s="36"/>
      <c r="Q492" s="35"/>
      <c r="T492" s="121" t="str">
        <f t="shared" si="385"/>
        <v/>
      </c>
      <c r="U492" s="118">
        <f t="shared" si="386"/>
        <v>0</v>
      </c>
      <c r="V492" s="117">
        <f t="shared" si="387"/>
        <v>0</v>
      </c>
      <c r="W492" s="117">
        <f t="shared" si="388"/>
        <v>0</v>
      </c>
      <c r="X492" s="117">
        <f t="shared" si="389"/>
        <v>0</v>
      </c>
      <c r="Y492" s="117">
        <f t="shared" si="390"/>
        <v>3</v>
      </c>
      <c r="Z492" s="117">
        <f t="shared" si="391"/>
        <v>1</v>
      </c>
      <c r="AA492" s="117">
        <f t="shared" si="392"/>
        <v>1</v>
      </c>
      <c r="AC492" s="121" t="str">
        <f t="shared" si="393"/>
        <v/>
      </c>
      <c r="AD492" s="118">
        <f t="shared" si="394"/>
        <v>0</v>
      </c>
      <c r="AE492" s="117">
        <f t="shared" si="395"/>
        <v>0</v>
      </c>
      <c r="AF492" s="117">
        <f t="shared" si="396"/>
        <v>0</v>
      </c>
      <c r="AG492" s="117">
        <f t="shared" si="397"/>
        <v>0</v>
      </c>
      <c r="AH492" s="117">
        <f t="shared" si="398"/>
        <v>3</v>
      </c>
      <c r="AI492" s="117">
        <f t="shared" si="399"/>
        <v>1</v>
      </c>
      <c r="AJ492" s="117">
        <f t="shared" si="400"/>
        <v>0</v>
      </c>
    </row>
    <row r="493" spans="2:36" ht="16.5" customHeight="1">
      <c r="B493" s="15"/>
      <c r="C493" s="15" t="s">
        <v>10</v>
      </c>
      <c r="D493" s="8"/>
      <c r="E493" s="9" t="s">
        <v>188</v>
      </c>
      <c r="F493" s="5">
        <v>1</v>
      </c>
      <c r="G493" s="6">
        <v>2</v>
      </c>
      <c r="H493" s="7" t="s">
        <v>224</v>
      </c>
      <c r="I493" s="10"/>
      <c r="J493" s="8"/>
      <c r="K493" s="9" t="s">
        <v>215</v>
      </c>
      <c r="L493" s="5">
        <v>2</v>
      </c>
      <c r="M493" s="6">
        <v>0</v>
      </c>
      <c r="N493" s="7" t="str">
        <f t="shared" si="384"/>
        <v/>
      </c>
      <c r="O493" s="10"/>
      <c r="P493" s="39" t="s">
        <v>26</v>
      </c>
      <c r="Q493" s="38"/>
      <c r="T493" s="121" t="str">
        <f t="shared" si="385"/>
        <v/>
      </c>
      <c r="U493" s="118">
        <f t="shared" si="386"/>
        <v>0</v>
      </c>
      <c r="V493" s="117">
        <f t="shared" si="387"/>
        <v>0</v>
      </c>
      <c r="W493" s="117">
        <f t="shared" si="388"/>
        <v>2</v>
      </c>
      <c r="X493" s="117">
        <f t="shared" si="389"/>
        <v>-1</v>
      </c>
      <c r="Y493" s="117">
        <f t="shared" si="390"/>
        <v>0</v>
      </c>
      <c r="Z493" s="117">
        <f t="shared" si="391"/>
        <v>0</v>
      </c>
      <c r="AA493" s="117">
        <f t="shared" si="392"/>
        <v>0</v>
      </c>
      <c r="AC493" s="121" t="str">
        <f t="shared" si="393"/>
        <v/>
      </c>
      <c r="AD493" s="118">
        <f t="shared" si="394"/>
        <v>0</v>
      </c>
      <c r="AE493" s="117">
        <f t="shared" si="395"/>
        <v>0</v>
      </c>
      <c r="AF493" s="117">
        <f t="shared" si="396"/>
        <v>1</v>
      </c>
      <c r="AG493" s="117">
        <f t="shared" si="397"/>
        <v>2</v>
      </c>
      <c r="AH493" s="117">
        <f t="shared" si="398"/>
        <v>0</v>
      </c>
      <c r="AI493" s="117">
        <f t="shared" si="399"/>
        <v>0</v>
      </c>
      <c r="AJ493" s="117">
        <f t="shared" si="400"/>
        <v>0</v>
      </c>
    </row>
    <row r="494" spans="2:36" ht="16.5" customHeight="1">
      <c r="B494" s="15"/>
      <c r="C494" s="15"/>
      <c r="D494" s="4"/>
      <c r="E494" s="4" t="s">
        <v>189</v>
      </c>
      <c r="F494" s="5">
        <v>0</v>
      </c>
      <c r="G494" s="6">
        <v>0</v>
      </c>
      <c r="H494" s="7" t="s">
        <v>224</v>
      </c>
      <c r="I494" s="7"/>
      <c r="J494" s="4"/>
      <c r="K494" s="4" t="s">
        <v>216</v>
      </c>
      <c r="L494" s="5">
        <v>2</v>
      </c>
      <c r="M494" s="6">
        <v>1</v>
      </c>
      <c r="N494" s="7" t="str">
        <f t="shared" si="384"/>
        <v/>
      </c>
      <c r="O494" s="7"/>
      <c r="P494" s="39"/>
      <c r="Q494" s="38"/>
      <c r="T494" s="121" t="str">
        <f t="shared" si="385"/>
        <v/>
      </c>
      <c r="U494" s="118">
        <f t="shared" si="386"/>
        <v>0</v>
      </c>
      <c r="V494" s="117">
        <f t="shared" si="387"/>
        <v>0</v>
      </c>
      <c r="W494" s="117">
        <f t="shared" si="388"/>
        <v>0</v>
      </c>
      <c r="X494" s="117">
        <f t="shared" si="389"/>
        <v>0</v>
      </c>
      <c r="Y494" s="117">
        <f t="shared" si="390"/>
        <v>3</v>
      </c>
      <c r="Z494" s="117">
        <f t="shared" si="391"/>
        <v>1</v>
      </c>
      <c r="AA494" s="117">
        <f t="shared" si="392"/>
        <v>1</v>
      </c>
      <c r="AC494" s="121" t="str">
        <f t="shared" si="393"/>
        <v/>
      </c>
      <c r="AD494" s="118">
        <f t="shared" si="394"/>
        <v>0</v>
      </c>
      <c r="AE494" s="117">
        <f t="shared" si="395"/>
        <v>0</v>
      </c>
      <c r="AF494" s="117">
        <f t="shared" si="396"/>
        <v>1</v>
      </c>
      <c r="AG494" s="117">
        <f t="shared" si="397"/>
        <v>1</v>
      </c>
      <c r="AH494" s="117">
        <f t="shared" si="398"/>
        <v>0</v>
      </c>
      <c r="AI494" s="117">
        <f t="shared" si="399"/>
        <v>0</v>
      </c>
      <c r="AJ494" s="117">
        <f t="shared" si="400"/>
        <v>0</v>
      </c>
    </row>
    <row r="495" spans="2:36" ht="16.5" customHeight="1">
      <c r="B495" s="15"/>
      <c r="C495" s="15"/>
      <c r="D495" s="8"/>
      <c r="E495" s="9" t="s">
        <v>190</v>
      </c>
      <c r="F495" s="5">
        <v>2</v>
      </c>
      <c r="G495" s="6">
        <v>2</v>
      </c>
      <c r="H495" s="7" t="s">
        <v>224</v>
      </c>
      <c r="I495" s="10"/>
      <c r="J495" s="8"/>
      <c r="K495" s="9" t="s">
        <v>217</v>
      </c>
      <c r="L495" s="5">
        <v>2</v>
      </c>
      <c r="M495" s="6">
        <v>0</v>
      </c>
      <c r="N495" s="7" t="str">
        <f t="shared" si="384"/>
        <v/>
      </c>
      <c r="O495" s="10"/>
      <c r="P495" s="39"/>
      <c r="Q495" s="38"/>
      <c r="T495" s="121" t="str">
        <f t="shared" si="385"/>
        <v/>
      </c>
      <c r="U495" s="118">
        <f t="shared" si="386"/>
        <v>0</v>
      </c>
      <c r="V495" s="117">
        <f t="shared" si="387"/>
        <v>0</v>
      </c>
      <c r="W495" s="117">
        <f t="shared" si="388"/>
        <v>0</v>
      </c>
      <c r="X495" s="117">
        <f t="shared" si="389"/>
        <v>0</v>
      </c>
      <c r="Y495" s="117">
        <f t="shared" si="390"/>
        <v>3</v>
      </c>
      <c r="Z495" s="117">
        <f t="shared" si="391"/>
        <v>1</v>
      </c>
      <c r="AA495" s="117">
        <f t="shared" si="392"/>
        <v>0</v>
      </c>
      <c r="AC495" s="121" t="str">
        <f t="shared" si="393"/>
        <v/>
      </c>
      <c r="AD495" s="118">
        <f t="shared" si="394"/>
        <v>0</v>
      </c>
      <c r="AE495" s="117">
        <f t="shared" si="395"/>
        <v>0</v>
      </c>
      <c r="AF495" s="117">
        <f t="shared" si="396"/>
        <v>1</v>
      </c>
      <c r="AG495" s="117">
        <f t="shared" si="397"/>
        <v>2</v>
      </c>
      <c r="AH495" s="117">
        <f t="shared" si="398"/>
        <v>0</v>
      </c>
      <c r="AI495" s="117">
        <f t="shared" si="399"/>
        <v>0</v>
      </c>
      <c r="AJ495" s="117">
        <f t="shared" si="400"/>
        <v>0</v>
      </c>
    </row>
    <row r="496" spans="2:36" ht="16.5" customHeight="1">
      <c r="B496" s="15"/>
      <c r="C496" s="15"/>
      <c r="D496" s="4"/>
      <c r="E496" s="4" t="s">
        <v>191</v>
      </c>
      <c r="F496" s="5">
        <v>1</v>
      </c>
      <c r="G496" s="6">
        <v>1</v>
      </c>
      <c r="H496" s="7" t="s">
        <v>224</v>
      </c>
      <c r="I496" s="7"/>
      <c r="J496" s="4"/>
      <c r="K496" s="4" t="s">
        <v>218</v>
      </c>
      <c r="L496" s="5">
        <v>2</v>
      </c>
      <c r="M496" s="6">
        <v>1</v>
      </c>
      <c r="N496" s="7" t="str">
        <f t="shared" si="384"/>
        <v/>
      </c>
      <c r="O496" s="7"/>
      <c r="P496" s="39"/>
      <c r="Q496" s="38"/>
      <c r="T496" s="121" t="str">
        <f t="shared" si="385"/>
        <v/>
      </c>
      <c r="U496" s="118">
        <f t="shared" si="386"/>
        <v>0</v>
      </c>
      <c r="V496" s="117">
        <f t="shared" si="387"/>
        <v>0</v>
      </c>
      <c r="W496" s="117">
        <f t="shared" si="388"/>
        <v>0</v>
      </c>
      <c r="X496" s="117">
        <f t="shared" si="389"/>
        <v>0</v>
      </c>
      <c r="Y496" s="117">
        <f t="shared" si="390"/>
        <v>3</v>
      </c>
      <c r="Z496" s="117">
        <f t="shared" si="391"/>
        <v>1</v>
      </c>
      <c r="AA496" s="117">
        <f t="shared" si="392"/>
        <v>0</v>
      </c>
      <c r="AC496" s="121" t="str">
        <f t="shared" si="393"/>
        <v/>
      </c>
      <c r="AD496" s="118">
        <f t="shared" si="394"/>
        <v>0</v>
      </c>
      <c r="AE496" s="117">
        <f t="shared" si="395"/>
        <v>0</v>
      </c>
      <c r="AF496" s="117">
        <f t="shared" si="396"/>
        <v>1</v>
      </c>
      <c r="AG496" s="117">
        <f t="shared" si="397"/>
        <v>1</v>
      </c>
      <c r="AH496" s="117">
        <f t="shared" si="398"/>
        <v>0</v>
      </c>
      <c r="AI496" s="117">
        <f t="shared" si="399"/>
        <v>0</v>
      </c>
      <c r="AJ496" s="117">
        <f t="shared" si="400"/>
        <v>0</v>
      </c>
    </row>
    <row r="497" spans="2:36" ht="16.5" customHeight="1">
      <c r="B497" s="15"/>
      <c r="C497" s="15"/>
      <c r="D497" s="8"/>
      <c r="E497" s="9" t="s">
        <v>192</v>
      </c>
      <c r="F497" s="5">
        <v>2</v>
      </c>
      <c r="G497" s="6">
        <v>0</v>
      </c>
      <c r="H497" s="7" t="s">
        <v>224</v>
      </c>
      <c r="I497" s="10"/>
      <c r="J497" s="8"/>
      <c r="K497" s="9" t="s">
        <v>219</v>
      </c>
      <c r="L497" s="5">
        <v>1</v>
      </c>
      <c r="M497" s="6">
        <v>0</v>
      </c>
      <c r="N497" s="7" t="str">
        <f t="shared" si="384"/>
        <v/>
      </c>
      <c r="O497" s="10"/>
      <c r="P497" s="39"/>
      <c r="Q497" s="38"/>
      <c r="T497" s="121" t="str">
        <f t="shared" si="385"/>
        <v/>
      </c>
      <c r="U497" s="118">
        <f t="shared" si="386"/>
        <v>0</v>
      </c>
      <c r="V497" s="117">
        <f t="shared" si="387"/>
        <v>0</v>
      </c>
      <c r="W497" s="117">
        <f t="shared" si="388"/>
        <v>1</v>
      </c>
      <c r="X497" s="117">
        <f t="shared" si="389"/>
        <v>2</v>
      </c>
      <c r="Y497" s="117">
        <f t="shared" si="390"/>
        <v>0</v>
      </c>
      <c r="Z497" s="117">
        <f t="shared" si="391"/>
        <v>0</v>
      </c>
      <c r="AA497" s="117">
        <f t="shared" si="392"/>
        <v>0</v>
      </c>
      <c r="AC497" s="121" t="str">
        <f t="shared" si="393"/>
        <v/>
      </c>
      <c r="AD497" s="118">
        <f t="shared" si="394"/>
        <v>0</v>
      </c>
      <c r="AE497" s="117">
        <f t="shared" si="395"/>
        <v>0</v>
      </c>
      <c r="AF497" s="117">
        <f t="shared" si="396"/>
        <v>1</v>
      </c>
      <c r="AG497" s="117">
        <f t="shared" si="397"/>
        <v>1</v>
      </c>
      <c r="AH497" s="117">
        <f t="shared" si="398"/>
        <v>0</v>
      </c>
      <c r="AI497" s="117">
        <f t="shared" si="399"/>
        <v>0</v>
      </c>
      <c r="AJ497" s="117">
        <f t="shared" si="400"/>
        <v>0</v>
      </c>
    </row>
    <row r="498" spans="2:36" ht="16.5" customHeight="1">
      <c r="B498" s="15"/>
      <c r="C498" s="15"/>
      <c r="D498" s="4"/>
      <c r="E498" s="4" t="s">
        <v>193</v>
      </c>
      <c r="F498" s="5">
        <v>1</v>
      </c>
      <c r="G498" s="6">
        <v>0</v>
      </c>
      <c r="H498" s="7" t="s">
        <v>224</v>
      </c>
      <c r="I498" s="7"/>
      <c r="J498" s="4"/>
      <c r="K498" s="4" t="s">
        <v>220</v>
      </c>
      <c r="L498" s="5">
        <v>1</v>
      </c>
      <c r="M498" s="6">
        <v>1</v>
      </c>
      <c r="N498" s="7" t="str">
        <f t="shared" si="384"/>
        <v/>
      </c>
      <c r="O498" s="7"/>
      <c r="P498" s="39"/>
      <c r="Q498" s="38"/>
      <c r="T498" s="121" t="str">
        <f t="shared" si="385"/>
        <v/>
      </c>
      <c r="U498" s="118">
        <f t="shared" si="386"/>
        <v>0</v>
      </c>
      <c r="V498" s="117">
        <f t="shared" si="387"/>
        <v>0</v>
      </c>
      <c r="W498" s="117">
        <f t="shared" si="388"/>
        <v>1</v>
      </c>
      <c r="X498" s="117">
        <f t="shared" si="389"/>
        <v>1</v>
      </c>
      <c r="Y498" s="117">
        <f t="shared" si="390"/>
        <v>0</v>
      </c>
      <c r="Z498" s="117">
        <f t="shared" si="391"/>
        <v>0</v>
      </c>
      <c r="AA498" s="117">
        <f t="shared" si="392"/>
        <v>0</v>
      </c>
      <c r="AC498" s="121" t="str">
        <f t="shared" si="393"/>
        <v/>
      </c>
      <c r="AD498" s="118">
        <f t="shared" si="394"/>
        <v>0</v>
      </c>
      <c r="AE498" s="117">
        <f t="shared" si="395"/>
        <v>0</v>
      </c>
      <c r="AF498" s="117">
        <f t="shared" si="396"/>
        <v>0</v>
      </c>
      <c r="AG498" s="117">
        <f t="shared" si="397"/>
        <v>0</v>
      </c>
      <c r="AH498" s="117">
        <f t="shared" si="398"/>
        <v>3</v>
      </c>
      <c r="AI498" s="117">
        <f t="shared" si="399"/>
        <v>1</v>
      </c>
      <c r="AJ498" s="117">
        <f t="shared" si="400"/>
        <v>0</v>
      </c>
    </row>
    <row r="499" spans="2:36" ht="16.5" customHeight="1">
      <c r="B499" s="15"/>
      <c r="C499" s="15"/>
      <c r="D499" s="8"/>
      <c r="E499" s="9" t="s">
        <v>194</v>
      </c>
      <c r="F499" s="5">
        <v>1</v>
      </c>
      <c r="G499" s="6">
        <v>0</v>
      </c>
      <c r="H499" s="7" t="s">
        <v>224</v>
      </c>
      <c r="I499" s="10"/>
      <c r="J499" s="8"/>
      <c r="K499" s="9" t="s">
        <v>221</v>
      </c>
      <c r="L499" s="5">
        <v>2</v>
      </c>
      <c r="M499" s="6">
        <v>0</v>
      </c>
      <c r="N499" s="7" t="str">
        <f t="shared" si="384"/>
        <v/>
      </c>
      <c r="O499" s="10"/>
      <c r="P499" s="39"/>
      <c r="Q499" s="38"/>
      <c r="T499" s="121" t="str">
        <f t="shared" si="385"/>
        <v/>
      </c>
      <c r="U499" s="118">
        <f t="shared" si="386"/>
        <v>0</v>
      </c>
      <c r="V499" s="117">
        <f t="shared" si="387"/>
        <v>0</v>
      </c>
      <c r="W499" s="117">
        <f t="shared" si="388"/>
        <v>1</v>
      </c>
      <c r="X499" s="117">
        <f t="shared" si="389"/>
        <v>1</v>
      </c>
      <c r="Y499" s="117">
        <f t="shared" si="390"/>
        <v>0</v>
      </c>
      <c r="Z499" s="117">
        <f t="shared" si="391"/>
        <v>0</v>
      </c>
      <c r="AA499" s="117">
        <f t="shared" si="392"/>
        <v>0</v>
      </c>
      <c r="AC499" s="121" t="str">
        <f t="shared" si="393"/>
        <v/>
      </c>
      <c r="AD499" s="118">
        <f t="shared" si="394"/>
        <v>0</v>
      </c>
      <c r="AE499" s="117">
        <f t="shared" si="395"/>
        <v>0</v>
      </c>
      <c r="AF499" s="117">
        <f t="shared" si="396"/>
        <v>1</v>
      </c>
      <c r="AG499" s="117">
        <f t="shared" si="397"/>
        <v>2</v>
      </c>
      <c r="AH499" s="117">
        <f t="shared" si="398"/>
        <v>0</v>
      </c>
      <c r="AI499" s="117">
        <f t="shared" si="399"/>
        <v>0</v>
      </c>
      <c r="AJ499" s="117">
        <f t="shared" si="400"/>
        <v>0</v>
      </c>
    </row>
    <row r="500" spans="2:36" ht="16.5" customHeight="1">
      <c r="K500" s="3"/>
    </row>
    <row r="501" spans="2:36" ht="23.25">
      <c r="B501" s="33" t="s">
        <v>132</v>
      </c>
      <c r="D501" s="52"/>
      <c r="E501" s="55" t="s">
        <v>19</v>
      </c>
      <c r="F501" s="56"/>
      <c r="G501" s="57"/>
      <c r="H501" s="57"/>
      <c r="I501" s="56"/>
      <c r="J501" s="82"/>
      <c r="K501" s="82" t="s">
        <v>81</v>
      </c>
      <c r="M501" s="91"/>
      <c r="N501" s="92"/>
      <c r="O501" s="92"/>
      <c r="P501" s="93"/>
      <c r="Q501" s="92"/>
      <c r="R501" s="92"/>
    </row>
    <row r="502" spans="2:36" ht="16.5" customHeight="1">
      <c r="C502" s="1"/>
      <c r="D502" s="1"/>
      <c r="E502" s="1"/>
      <c r="H502" s="1"/>
      <c r="I502" s="1"/>
      <c r="J502" s="1"/>
      <c r="P502" s="1"/>
    </row>
    <row r="503" spans="2:36" ht="16.5" customHeight="1">
      <c r="B503" s="12"/>
      <c r="C503" s="12" t="s">
        <v>7</v>
      </c>
      <c r="D503" s="4"/>
      <c r="E503" s="4" t="s">
        <v>32</v>
      </c>
      <c r="F503" s="5">
        <v>2</v>
      </c>
      <c r="G503" s="6">
        <v>1</v>
      </c>
      <c r="H503" s="7" t="s">
        <v>224</v>
      </c>
      <c r="I503" s="7"/>
      <c r="J503" s="4"/>
      <c r="K503" s="4" t="s">
        <v>195</v>
      </c>
      <c r="L503" s="5">
        <v>2</v>
      </c>
      <c r="M503" s="6">
        <v>1</v>
      </c>
      <c r="N503" s="7" t="str">
        <f>AC503</f>
        <v/>
      </c>
      <c r="O503" s="7"/>
      <c r="P503" s="24" t="s">
        <v>13</v>
      </c>
      <c r="Q503" s="13"/>
      <c r="T503" s="121" t="str">
        <f>IF($G$501="","",SUM(Y503:AA503))</f>
        <v/>
      </c>
      <c r="U503" s="118">
        <f t="shared" ref="U503" si="401">IF(V503&gt;0,1,IF(V503=0,0,2))</f>
        <v>0</v>
      </c>
      <c r="V503" s="117">
        <f>$G$501-$H$501</f>
        <v>0</v>
      </c>
      <c r="W503" s="117">
        <f t="shared" ref="W503" si="402">IF(X503&gt;0,1,IF(X503=0,0,2))</f>
        <v>1</v>
      </c>
      <c r="X503" s="117">
        <f>F503-G503</f>
        <v>1</v>
      </c>
      <c r="Y503" s="117">
        <f t="shared" ref="Y503" si="403">IF(U503=W503,3,0)</f>
        <v>0</v>
      </c>
      <c r="Z503" s="117">
        <f t="shared" ref="Z503" si="404">IF(V503=X503,1,0)</f>
        <v>0</v>
      </c>
      <c r="AA503" s="117">
        <f>IF(Z503=1,IF($G$501=F503,1,0),0)</f>
        <v>0</v>
      </c>
      <c r="AC503" s="121" t="str">
        <f>IF($G$501="","",SUM(AH503:AJ503))</f>
        <v/>
      </c>
      <c r="AD503" s="118">
        <f t="shared" ref="AD503" si="405">IF(AE503&gt;0,1,IF(AE503=0,0,2))</f>
        <v>0</v>
      </c>
      <c r="AE503" s="117">
        <f>$G$501-$H$501</f>
        <v>0</v>
      </c>
      <c r="AF503" s="117">
        <f t="shared" ref="AF503" si="406">IF(AG503&gt;0,1,IF(AG503=0,0,2))</f>
        <v>1</v>
      </c>
      <c r="AG503" s="117">
        <f>L503-M503</f>
        <v>1</v>
      </c>
      <c r="AH503" s="117">
        <f t="shared" ref="AH503" si="407">IF(AD503=AF503,3,0)</f>
        <v>0</v>
      </c>
      <c r="AI503" s="117">
        <f t="shared" ref="AI503" si="408">IF(AE503=AG503,1,0)</f>
        <v>0</v>
      </c>
      <c r="AJ503" s="117">
        <f>IF(AI503=1,IF($G$501=L503,1,0),0)</f>
        <v>0</v>
      </c>
    </row>
    <row r="504" spans="2:36" ht="16.5" customHeight="1">
      <c r="B504" s="12"/>
      <c r="C504" s="12"/>
      <c r="D504" s="8"/>
      <c r="E504" s="9" t="s">
        <v>170</v>
      </c>
      <c r="F504" s="5">
        <v>1</v>
      </c>
      <c r="G504" s="6">
        <v>1</v>
      </c>
      <c r="H504" s="7" t="s">
        <v>224</v>
      </c>
      <c r="I504" s="10"/>
      <c r="J504" s="8"/>
      <c r="K504" s="9" t="s">
        <v>196</v>
      </c>
      <c r="L504" s="5">
        <v>2</v>
      </c>
      <c r="M504" s="6">
        <v>1</v>
      </c>
      <c r="N504" s="7" t="str">
        <f t="shared" ref="N504:N530" si="409">AC504</f>
        <v/>
      </c>
      <c r="O504" s="10"/>
      <c r="P504" s="24"/>
      <c r="Q504" s="13"/>
      <c r="T504" s="121" t="str">
        <f t="shared" ref="T504:T530" si="410">IF($G$501="","",SUM(Y504:AA504))</f>
        <v/>
      </c>
      <c r="U504" s="118">
        <f t="shared" ref="U504:U530" si="411">IF(V504&gt;0,1,IF(V504=0,0,2))</f>
        <v>0</v>
      </c>
      <c r="V504" s="117">
        <f t="shared" ref="V504:V530" si="412">$G$501-$H$501</f>
        <v>0</v>
      </c>
      <c r="W504" s="117">
        <f t="shared" ref="W504:W530" si="413">IF(X504&gt;0,1,IF(X504=0,0,2))</f>
        <v>0</v>
      </c>
      <c r="X504" s="117">
        <f t="shared" ref="X504:X530" si="414">F504-G504</f>
        <v>0</v>
      </c>
      <c r="Y504" s="117">
        <f t="shared" ref="Y504:Y530" si="415">IF(U504=W504,3,0)</f>
        <v>3</v>
      </c>
      <c r="Z504" s="117">
        <f t="shared" ref="Z504:Z530" si="416">IF(V504=X504,1,0)</f>
        <v>1</v>
      </c>
      <c r="AA504" s="117">
        <f t="shared" ref="AA504:AA530" si="417">IF(Z504=1,IF($G$501=F504,1,0),0)</f>
        <v>0</v>
      </c>
      <c r="AC504" s="121" t="str">
        <f t="shared" ref="AC504:AC530" si="418">IF($G$501="","",SUM(AH504:AJ504))</f>
        <v/>
      </c>
      <c r="AD504" s="118">
        <f t="shared" ref="AD504:AD530" si="419">IF(AE504&gt;0,1,IF(AE504=0,0,2))</f>
        <v>0</v>
      </c>
      <c r="AE504" s="117">
        <f t="shared" ref="AE504:AE530" si="420">$G$501-$H$501</f>
        <v>0</v>
      </c>
      <c r="AF504" s="117">
        <f t="shared" ref="AF504:AF530" si="421">IF(AG504&gt;0,1,IF(AG504=0,0,2))</f>
        <v>1</v>
      </c>
      <c r="AG504" s="117">
        <f t="shared" ref="AG504:AG530" si="422">L504-M504</f>
        <v>1</v>
      </c>
      <c r="AH504" s="117">
        <f t="shared" ref="AH504:AH530" si="423">IF(AD504=AF504,3,0)</f>
        <v>0</v>
      </c>
      <c r="AI504" s="117">
        <f t="shared" ref="AI504:AI530" si="424">IF(AE504=AG504,1,0)</f>
        <v>0</v>
      </c>
      <c r="AJ504" s="117">
        <f t="shared" ref="AJ504:AJ530" si="425">IF(AI504=1,IF($G$501=L504,1,0),0)</f>
        <v>0</v>
      </c>
    </row>
    <row r="505" spans="2:36" ht="16.5" customHeight="1">
      <c r="B505" s="12"/>
      <c r="C505" s="12"/>
      <c r="D505" s="4"/>
      <c r="E505" s="4" t="s">
        <v>171</v>
      </c>
      <c r="F505" s="5">
        <v>2</v>
      </c>
      <c r="G505" s="6">
        <v>0</v>
      </c>
      <c r="H505" s="7" t="s">
        <v>224</v>
      </c>
      <c r="I505" s="7"/>
      <c r="J505" s="4"/>
      <c r="K505" s="4" t="s">
        <v>197</v>
      </c>
      <c r="L505" s="5">
        <v>3</v>
      </c>
      <c r="M505" s="6">
        <v>2</v>
      </c>
      <c r="N505" s="7" t="str">
        <f t="shared" si="409"/>
        <v/>
      </c>
      <c r="O505" s="7"/>
      <c r="P505" s="24"/>
      <c r="Q505" s="13"/>
      <c r="T505" s="121" t="str">
        <f t="shared" si="410"/>
        <v/>
      </c>
      <c r="U505" s="118">
        <f t="shared" si="411"/>
        <v>0</v>
      </c>
      <c r="V505" s="117">
        <f t="shared" si="412"/>
        <v>0</v>
      </c>
      <c r="W505" s="117">
        <f t="shared" si="413"/>
        <v>1</v>
      </c>
      <c r="X505" s="117">
        <f t="shared" si="414"/>
        <v>2</v>
      </c>
      <c r="Y505" s="117">
        <f t="shared" si="415"/>
        <v>0</v>
      </c>
      <c r="Z505" s="117">
        <f t="shared" si="416"/>
        <v>0</v>
      </c>
      <c r="AA505" s="117">
        <f t="shared" si="417"/>
        <v>0</v>
      </c>
      <c r="AC505" s="121" t="str">
        <f t="shared" si="418"/>
        <v/>
      </c>
      <c r="AD505" s="118">
        <f t="shared" si="419"/>
        <v>0</v>
      </c>
      <c r="AE505" s="117">
        <f t="shared" si="420"/>
        <v>0</v>
      </c>
      <c r="AF505" s="117">
        <f t="shared" si="421"/>
        <v>1</v>
      </c>
      <c r="AG505" s="117">
        <f t="shared" si="422"/>
        <v>1</v>
      </c>
      <c r="AH505" s="117">
        <f t="shared" si="423"/>
        <v>0</v>
      </c>
      <c r="AI505" s="117">
        <f t="shared" si="424"/>
        <v>0</v>
      </c>
      <c r="AJ505" s="117">
        <f t="shared" si="425"/>
        <v>0</v>
      </c>
    </row>
    <row r="506" spans="2:36" ht="16.5" customHeight="1">
      <c r="B506" s="12"/>
      <c r="C506" s="12"/>
      <c r="D506" s="8"/>
      <c r="E506" s="9" t="s">
        <v>172</v>
      </c>
      <c r="F506" s="5">
        <v>3</v>
      </c>
      <c r="G506" s="6">
        <v>0</v>
      </c>
      <c r="H506" s="7" t="s">
        <v>224</v>
      </c>
      <c r="I506" s="10"/>
      <c r="J506" s="8"/>
      <c r="K506" s="9" t="s">
        <v>198</v>
      </c>
      <c r="L506" s="5">
        <v>1</v>
      </c>
      <c r="M506" s="6">
        <v>0</v>
      </c>
      <c r="N506" s="7" t="str">
        <f t="shared" si="409"/>
        <v/>
      </c>
      <c r="O506" s="10"/>
      <c r="P506" s="24"/>
      <c r="Q506" s="13"/>
      <c r="T506" s="121" t="str">
        <f t="shared" si="410"/>
        <v/>
      </c>
      <c r="U506" s="118">
        <f t="shared" si="411"/>
        <v>0</v>
      </c>
      <c r="V506" s="117">
        <f t="shared" si="412"/>
        <v>0</v>
      </c>
      <c r="W506" s="117">
        <f t="shared" si="413"/>
        <v>1</v>
      </c>
      <c r="X506" s="117">
        <f t="shared" si="414"/>
        <v>3</v>
      </c>
      <c r="Y506" s="117">
        <f t="shared" si="415"/>
        <v>0</v>
      </c>
      <c r="Z506" s="117">
        <f t="shared" si="416"/>
        <v>0</v>
      </c>
      <c r="AA506" s="117">
        <f t="shared" si="417"/>
        <v>0</v>
      </c>
      <c r="AC506" s="121" t="str">
        <f t="shared" si="418"/>
        <v/>
      </c>
      <c r="AD506" s="118">
        <f t="shared" si="419"/>
        <v>0</v>
      </c>
      <c r="AE506" s="117">
        <f t="shared" si="420"/>
        <v>0</v>
      </c>
      <c r="AF506" s="117">
        <f t="shared" si="421"/>
        <v>1</v>
      </c>
      <c r="AG506" s="117">
        <f t="shared" si="422"/>
        <v>1</v>
      </c>
      <c r="AH506" s="117">
        <f t="shared" si="423"/>
        <v>0</v>
      </c>
      <c r="AI506" s="117">
        <f t="shared" si="424"/>
        <v>0</v>
      </c>
      <c r="AJ506" s="117">
        <f t="shared" si="425"/>
        <v>0</v>
      </c>
    </row>
    <row r="507" spans="2:36" ht="16.5" customHeight="1">
      <c r="B507" s="12"/>
      <c r="C507" s="12"/>
      <c r="D507" s="4"/>
      <c r="E507" s="4" t="s">
        <v>173</v>
      </c>
      <c r="F507" s="5">
        <v>3</v>
      </c>
      <c r="G507" s="6">
        <v>1</v>
      </c>
      <c r="H507" s="7" t="s">
        <v>224</v>
      </c>
      <c r="I507" s="7"/>
      <c r="J507" s="4"/>
      <c r="K507" s="4" t="s">
        <v>199</v>
      </c>
      <c r="L507" s="5">
        <v>2</v>
      </c>
      <c r="M507" s="6">
        <v>1</v>
      </c>
      <c r="N507" s="7" t="str">
        <f t="shared" si="409"/>
        <v/>
      </c>
      <c r="O507" s="7"/>
      <c r="P507" s="24"/>
      <c r="Q507" s="13"/>
      <c r="T507" s="121" t="str">
        <f t="shared" si="410"/>
        <v/>
      </c>
      <c r="U507" s="118">
        <f t="shared" si="411"/>
        <v>0</v>
      </c>
      <c r="V507" s="117">
        <f t="shared" si="412"/>
        <v>0</v>
      </c>
      <c r="W507" s="117">
        <f t="shared" si="413"/>
        <v>1</v>
      </c>
      <c r="X507" s="117">
        <f t="shared" si="414"/>
        <v>2</v>
      </c>
      <c r="Y507" s="117">
        <f t="shared" si="415"/>
        <v>0</v>
      </c>
      <c r="Z507" s="117">
        <f t="shared" si="416"/>
        <v>0</v>
      </c>
      <c r="AA507" s="117">
        <f t="shared" si="417"/>
        <v>0</v>
      </c>
      <c r="AC507" s="121" t="str">
        <f t="shared" si="418"/>
        <v/>
      </c>
      <c r="AD507" s="118">
        <f t="shared" si="419"/>
        <v>0</v>
      </c>
      <c r="AE507" s="117">
        <f t="shared" si="420"/>
        <v>0</v>
      </c>
      <c r="AF507" s="117">
        <f t="shared" si="421"/>
        <v>1</v>
      </c>
      <c r="AG507" s="117">
        <f t="shared" si="422"/>
        <v>1</v>
      </c>
      <c r="AH507" s="117">
        <f t="shared" si="423"/>
        <v>0</v>
      </c>
      <c r="AI507" s="117">
        <f t="shared" si="424"/>
        <v>0</v>
      </c>
      <c r="AJ507" s="117">
        <f t="shared" si="425"/>
        <v>0</v>
      </c>
    </row>
    <row r="508" spans="2:36" ht="16.5" customHeight="1">
      <c r="B508" s="12"/>
      <c r="C508" s="12"/>
      <c r="D508" s="8"/>
      <c r="E508" s="9" t="s">
        <v>174</v>
      </c>
      <c r="F508" s="5">
        <v>2</v>
      </c>
      <c r="G508" s="6">
        <v>0</v>
      </c>
      <c r="H508" s="7" t="s">
        <v>224</v>
      </c>
      <c r="I508" s="10"/>
      <c r="J508" s="8"/>
      <c r="K508" s="9" t="s">
        <v>200</v>
      </c>
      <c r="L508" s="5">
        <v>2</v>
      </c>
      <c r="M508" s="6">
        <v>0</v>
      </c>
      <c r="N508" s="7" t="str">
        <f t="shared" si="409"/>
        <v/>
      </c>
      <c r="O508" s="10"/>
      <c r="P508" s="24"/>
      <c r="Q508" s="13"/>
      <c r="T508" s="121" t="str">
        <f t="shared" si="410"/>
        <v/>
      </c>
      <c r="U508" s="118">
        <f t="shared" si="411"/>
        <v>0</v>
      </c>
      <c r="V508" s="117">
        <f t="shared" si="412"/>
        <v>0</v>
      </c>
      <c r="W508" s="117">
        <f t="shared" si="413"/>
        <v>1</v>
      </c>
      <c r="X508" s="117">
        <f t="shared" si="414"/>
        <v>2</v>
      </c>
      <c r="Y508" s="117">
        <f t="shared" si="415"/>
        <v>0</v>
      </c>
      <c r="Z508" s="117">
        <f t="shared" si="416"/>
        <v>0</v>
      </c>
      <c r="AA508" s="117">
        <f t="shared" si="417"/>
        <v>0</v>
      </c>
      <c r="AC508" s="121" t="str">
        <f t="shared" si="418"/>
        <v/>
      </c>
      <c r="AD508" s="118">
        <f t="shared" si="419"/>
        <v>0</v>
      </c>
      <c r="AE508" s="117">
        <f t="shared" si="420"/>
        <v>0</v>
      </c>
      <c r="AF508" s="117">
        <f t="shared" si="421"/>
        <v>1</v>
      </c>
      <c r="AG508" s="117">
        <f t="shared" si="422"/>
        <v>2</v>
      </c>
      <c r="AH508" s="117">
        <f t="shared" si="423"/>
        <v>0</v>
      </c>
      <c r="AI508" s="117">
        <f t="shared" si="424"/>
        <v>0</v>
      </c>
      <c r="AJ508" s="117">
        <f t="shared" si="425"/>
        <v>0</v>
      </c>
    </row>
    <row r="509" spans="2:36" ht="16.5" customHeight="1">
      <c r="B509" s="12"/>
      <c r="C509" s="12"/>
      <c r="D509" s="4"/>
      <c r="E509" s="4" t="s">
        <v>175</v>
      </c>
      <c r="F509" s="5">
        <v>2</v>
      </c>
      <c r="G509" s="6">
        <v>1</v>
      </c>
      <c r="H509" s="7" t="s">
        <v>224</v>
      </c>
      <c r="I509" s="7"/>
      <c r="J509" s="4"/>
      <c r="K509" s="4" t="s">
        <v>201</v>
      </c>
      <c r="L509" s="5">
        <v>3</v>
      </c>
      <c r="M509" s="6">
        <v>1</v>
      </c>
      <c r="N509" s="7" t="str">
        <f t="shared" si="409"/>
        <v/>
      </c>
      <c r="O509" s="7"/>
      <c r="P509" s="24"/>
      <c r="Q509" s="13"/>
      <c r="T509" s="121" t="str">
        <f t="shared" si="410"/>
        <v/>
      </c>
      <c r="U509" s="118">
        <f t="shared" si="411"/>
        <v>0</v>
      </c>
      <c r="V509" s="117">
        <f t="shared" si="412"/>
        <v>0</v>
      </c>
      <c r="W509" s="117">
        <f t="shared" si="413"/>
        <v>1</v>
      </c>
      <c r="X509" s="117">
        <f t="shared" si="414"/>
        <v>1</v>
      </c>
      <c r="Y509" s="117">
        <f t="shared" si="415"/>
        <v>0</v>
      </c>
      <c r="Z509" s="117">
        <f t="shared" si="416"/>
        <v>0</v>
      </c>
      <c r="AA509" s="117">
        <f t="shared" si="417"/>
        <v>0</v>
      </c>
      <c r="AC509" s="121" t="str">
        <f t="shared" si="418"/>
        <v/>
      </c>
      <c r="AD509" s="118">
        <f t="shared" si="419"/>
        <v>0</v>
      </c>
      <c r="AE509" s="117">
        <f t="shared" si="420"/>
        <v>0</v>
      </c>
      <c r="AF509" s="117">
        <f t="shared" si="421"/>
        <v>1</v>
      </c>
      <c r="AG509" s="117">
        <f t="shared" si="422"/>
        <v>2</v>
      </c>
      <c r="AH509" s="117">
        <f t="shared" si="423"/>
        <v>0</v>
      </c>
      <c r="AI509" s="117">
        <f t="shared" si="424"/>
        <v>0</v>
      </c>
      <c r="AJ509" s="117">
        <f t="shared" si="425"/>
        <v>0</v>
      </c>
    </row>
    <row r="510" spans="2:36" ht="16.5" customHeight="1">
      <c r="B510" s="14"/>
      <c r="C510" s="14" t="s">
        <v>8</v>
      </c>
      <c r="D510" s="8"/>
      <c r="E510" s="9" t="s">
        <v>33</v>
      </c>
      <c r="F510" s="5">
        <v>1</v>
      </c>
      <c r="G510" s="6">
        <v>1</v>
      </c>
      <c r="H510" s="7" t="s">
        <v>224</v>
      </c>
      <c r="I510" s="10"/>
      <c r="J510" s="8"/>
      <c r="K510" s="9" t="s">
        <v>225</v>
      </c>
      <c r="L510" s="5">
        <v>1</v>
      </c>
      <c r="M510" s="6">
        <v>1</v>
      </c>
      <c r="N510" s="7" t="str">
        <f t="shared" si="409"/>
        <v/>
      </c>
      <c r="O510" s="10"/>
      <c r="P510" s="31" t="s">
        <v>16</v>
      </c>
      <c r="Q510" s="30"/>
      <c r="T510" s="121" t="str">
        <f t="shared" si="410"/>
        <v/>
      </c>
      <c r="U510" s="118">
        <f t="shared" si="411"/>
        <v>0</v>
      </c>
      <c r="V510" s="117">
        <f t="shared" si="412"/>
        <v>0</v>
      </c>
      <c r="W510" s="117">
        <f t="shared" si="413"/>
        <v>0</v>
      </c>
      <c r="X510" s="117">
        <f t="shared" si="414"/>
        <v>0</v>
      </c>
      <c r="Y510" s="117">
        <f t="shared" si="415"/>
        <v>3</v>
      </c>
      <c r="Z510" s="117">
        <f t="shared" si="416"/>
        <v>1</v>
      </c>
      <c r="AA510" s="117">
        <f t="shared" si="417"/>
        <v>0</v>
      </c>
      <c r="AC510" s="121" t="str">
        <f t="shared" si="418"/>
        <v/>
      </c>
      <c r="AD510" s="118">
        <f t="shared" si="419"/>
        <v>0</v>
      </c>
      <c r="AE510" s="117">
        <f t="shared" si="420"/>
        <v>0</v>
      </c>
      <c r="AF510" s="117">
        <f t="shared" si="421"/>
        <v>0</v>
      </c>
      <c r="AG510" s="117">
        <f t="shared" si="422"/>
        <v>0</v>
      </c>
      <c r="AH510" s="117">
        <f t="shared" si="423"/>
        <v>3</v>
      </c>
      <c r="AI510" s="117">
        <f t="shared" si="424"/>
        <v>1</v>
      </c>
      <c r="AJ510" s="117">
        <f t="shared" si="425"/>
        <v>0</v>
      </c>
    </row>
    <row r="511" spans="2:36" ht="16.5" customHeight="1">
      <c r="B511" s="14"/>
      <c r="C511" s="14"/>
      <c r="D511" s="4"/>
      <c r="E511" s="4" t="s">
        <v>176</v>
      </c>
      <c r="F511" s="5">
        <v>3</v>
      </c>
      <c r="G511" s="6">
        <v>1</v>
      </c>
      <c r="H511" s="7" t="s">
        <v>224</v>
      </c>
      <c r="I511" s="7"/>
      <c r="J511" s="4"/>
      <c r="K511" s="4" t="s">
        <v>203</v>
      </c>
      <c r="L511" s="5">
        <v>3</v>
      </c>
      <c r="M511" s="6">
        <v>1</v>
      </c>
      <c r="N511" s="7" t="str">
        <f t="shared" si="409"/>
        <v/>
      </c>
      <c r="O511" s="7"/>
      <c r="P511" s="31"/>
      <c r="Q511" s="30"/>
      <c r="T511" s="121" t="str">
        <f t="shared" si="410"/>
        <v/>
      </c>
      <c r="U511" s="118">
        <f t="shared" si="411"/>
        <v>0</v>
      </c>
      <c r="V511" s="117">
        <f t="shared" si="412"/>
        <v>0</v>
      </c>
      <c r="W511" s="117">
        <f t="shared" si="413"/>
        <v>1</v>
      </c>
      <c r="X511" s="117">
        <f t="shared" si="414"/>
        <v>2</v>
      </c>
      <c r="Y511" s="117">
        <f t="shared" si="415"/>
        <v>0</v>
      </c>
      <c r="Z511" s="117">
        <f t="shared" si="416"/>
        <v>0</v>
      </c>
      <c r="AA511" s="117">
        <f t="shared" si="417"/>
        <v>0</v>
      </c>
      <c r="AC511" s="121" t="str">
        <f t="shared" si="418"/>
        <v/>
      </c>
      <c r="AD511" s="118">
        <f t="shared" si="419"/>
        <v>0</v>
      </c>
      <c r="AE511" s="117">
        <f t="shared" si="420"/>
        <v>0</v>
      </c>
      <c r="AF511" s="117">
        <f t="shared" si="421"/>
        <v>1</v>
      </c>
      <c r="AG511" s="117">
        <f t="shared" si="422"/>
        <v>2</v>
      </c>
      <c r="AH511" s="117">
        <f t="shared" si="423"/>
        <v>0</v>
      </c>
      <c r="AI511" s="117">
        <f t="shared" si="424"/>
        <v>0</v>
      </c>
      <c r="AJ511" s="117">
        <f t="shared" si="425"/>
        <v>0</v>
      </c>
    </row>
    <row r="512" spans="2:36" ht="16.5" customHeight="1">
      <c r="B512" s="14"/>
      <c r="C512" s="14"/>
      <c r="D512" s="8"/>
      <c r="E512" s="9" t="s">
        <v>177</v>
      </c>
      <c r="F512" s="5">
        <v>3</v>
      </c>
      <c r="G512" s="6">
        <v>1</v>
      </c>
      <c r="H512" s="7" t="s">
        <v>224</v>
      </c>
      <c r="I512" s="10"/>
      <c r="J512" s="8"/>
      <c r="K512" s="9" t="s">
        <v>204</v>
      </c>
      <c r="L512" s="5">
        <v>2</v>
      </c>
      <c r="M512" s="6">
        <v>0</v>
      </c>
      <c r="N512" s="7" t="str">
        <f t="shared" si="409"/>
        <v/>
      </c>
      <c r="O512" s="10"/>
      <c r="P512" s="31"/>
      <c r="Q512" s="30"/>
      <c r="T512" s="121" t="str">
        <f t="shared" si="410"/>
        <v/>
      </c>
      <c r="U512" s="118">
        <f t="shared" si="411"/>
        <v>0</v>
      </c>
      <c r="V512" s="117">
        <f t="shared" si="412"/>
        <v>0</v>
      </c>
      <c r="W512" s="117">
        <f t="shared" si="413"/>
        <v>1</v>
      </c>
      <c r="X512" s="117">
        <f t="shared" si="414"/>
        <v>2</v>
      </c>
      <c r="Y512" s="117">
        <f t="shared" si="415"/>
        <v>0</v>
      </c>
      <c r="Z512" s="117">
        <f t="shared" si="416"/>
        <v>0</v>
      </c>
      <c r="AA512" s="117">
        <f t="shared" si="417"/>
        <v>0</v>
      </c>
      <c r="AC512" s="121" t="str">
        <f t="shared" si="418"/>
        <v/>
      </c>
      <c r="AD512" s="118">
        <f t="shared" si="419"/>
        <v>0</v>
      </c>
      <c r="AE512" s="117">
        <f t="shared" si="420"/>
        <v>0</v>
      </c>
      <c r="AF512" s="117">
        <f t="shared" si="421"/>
        <v>1</v>
      </c>
      <c r="AG512" s="117">
        <f t="shared" si="422"/>
        <v>2</v>
      </c>
      <c r="AH512" s="117">
        <f t="shared" si="423"/>
        <v>0</v>
      </c>
      <c r="AI512" s="117">
        <f t="shared" si="424"/>
        <v>0</v>
      </c>
      <c r="AJ512" s="117">
        <f t="shared" si="425"/>
        <v>0</v>
      </c>
    </row>
    <row r="513" spans="2:36" ht="16.5" customHeight="1">
      <c r="B513" s="14"/>
      <c r="C513" s="14"/>
      <c r="D513" s="4"/>
      <c r="E513" s="4" t="s">
        <v>178</v>
      </c>
      <c r="F513" s="5">
        <v>2</v>
      </c>
      <c r="G513" s="6">
        <v>0</v>
      </c>
      <c r="H513" s="7" t="s">
        <v>224</v>
      </c>
      <c r="I513" s="7"/>
      <c r="J513" s="4"/>
      <c r="K513" s="4" t="s">
        <v>223</v>
      </c>
      <c r="L513" s="5">
        <v>3</v>
      </c>
      <c r="M513" s="6">
        <v>1</v>
      </c>
      <c r="N513" s="7" t="str">
        <f t="shared" si="409"/>
        <v/>
      </c>
      <c r="O513" s="7"/>
      <c r="P513" s="31"/>
      <c r="Q513" s="30"/>
      <c r="T513" s="121" t="str">
        <f t="shared" si="410"/>
        <v/>
      </c>
      <c r="U513" s="118">
        <f t="shared" si="411"/>
        <v>0</v>
      </c>
      <c r="V513" s="117">
        <f t="shared" si="412"/>
        <v>0</v>
      </c>
      <c r="W513" s="117">
        <f t="shared" si="413"/>
        <v>1</v>
      </c>
      <c r="X513" s="117">
        <f t="shared" si="414"/>
        <v>2</v>
      </c>
      <c r="Y513" s="117">
        <f t="shared" si="415"/>
        <v>0</v>
      </c>
      <c r="Z513" s="117">
        <f t="shared" si="416"/>
        <v>0</v>
      </c>
      <c r="AA513" s="117">
        <f t="shared" si="417"/>
        <v>0</v>
      </c>
      <c r="AC513" s="121" t="str">
        <f t="shared" si="418"/>
        <v/>
      </c>
      <c r="AD513" s="118">
        <f t="shared" si="419"/>
        <v>0</v>
      </c>
      <c r="AE513" s="117">
        <f t="shared" si="420"/>
        <v>0</v>
      </c>
      <c r="AF513" s="117">
        <f t="shared" si="421"/>
        <v>1</v>
      </c>
      <c r="AG513" s="117">
        <f t="shared" si="422"/>
        <v>2</v>
      </c>
      <c r="AH513" s="117">
        <f t="shared" si="423"/>
        <v>0</v>
      </c>
      <c r="AI513" s="117">
        <f t="shared" si="424"/>
        <v>0</v>
      </c>
      <c r="AJ513" s="117">
        <f t="shared" si="425"/>
        <v>0</v>
      </c>
    </row>
    <row r="514" spans="2:36" ht="16.5" customHeight="1">
      <c r="B514" s="14"/>
      <c r="C514" s="14"/>
      <c r="D514" s="8"/>
      <c r="E514" s="9" t="s">
        <v>179</v>
      </c>
      <c r="F514" s="5">
        <v>2</v>
      </c>
      <c r="G514" s="6">
        <v>2</v>
      </c>
      <c r="H514" s="7" t="s">
        <v>224</v>
      </c>
      <c r="I514" s="10"/>
      <c r="J514" s="8"/>
      <c r="K514" s="9" t="s">
        <v>205</v>
      </c>
      <c r="L514" s="5">
        <v>2</v>
      </c>
      <c r="M514" s="6">
        <v>0</v>
      </c>
      <c r="N514" s="7" t="str">
        <f t="shared" si="409"/>
        <v/>
      </c>
      <c r="O514" s="10"/>
      <c r="P514" s="31"/>
      <c r="Q514" s="30"/>
      <c r="T514" s="121" t="str">
        <f t="shared" si="410"/>
        <v/>
      </c>
      <c r="U514" s="118">
        <f t="shared" si="411"/>
        <v>0</v>
      </c>
      <c r="V514" s="117">
        <f t="shared" si="412"/>
        <v>0</v>
      </c>
      <c r="W514" s="117">
        <f t="shared" si="413"/>
        <v>0</v>
      </c>
      <c r="X514" s="117">
        <f t="shared" si="414"/>
        <v>0</v>
      </c>
      <c r="Y514" s="117">
        <f t="shared" si="415"/>
        <v>3</v>
      </c>
      <c r="Z514" s="117">
        <f t="shared" si="416"/>
        <v>1</v>
      </c>
      <c r="AA514" s="117">
        <f t="shared" si="417"/>
        <v>0</v>
      </c>
      <c r="AC514" s="121" t="str">
        <f t="shared" si="418"/>
        <v/>
      </c>
      <c r="AD514" s="118">
        <f t="shared" si="419"/>
        <v>0</v>
      </c>
      <c r="AE514" s="117">
        <f t="shared" si="420"/>
        <v>0</v>
      </c>
      <c r="AF514" s="117">
        <f t="shared" si="421"/>
        <v>1</v>
      </c>
      <c r="AG514" s="117">
        <f t="shared" si="422"/>
        <v>2</v>
      </c>
      <c r="AH514" s="117">
        <f t="shared" si="423"/>
        <v>0</v>
      </c>
      <c r="AI514" s="117">
        <f t="shared" si="424"/>
        <v>0</v>
      </c>
      <c r="AJ514" s="117">
        <f t="shared" si="425"/>
        <v>0</v>
      </c>
    </row>
    <row r="515" spans="2:36" ht="16.5" customHeight="1">
      <c r="B515" s="14"/>
      <c r="C515" s="14"/>
      <c r="D515" s="4"/>
      <c r="E515" s="4" t="s">
        <v>180</v>
      </c>
      <c r="F515" s="5">
        <v>2</v>
      </c>
      <c r="G515" s="6">
        <v>2</v>
      </c>
      <c r="H515" s="7" t="s">
        <v>224</v>
      </c>
      <c r="I515" s="7"/>
      <c r="J515" s="4"/>
      <c r="K515" s="4" t="s">
        <v>206</v>
      </c>
      <c r="L515" s="5">
        <v>3</v>
      </c>
      <c r="M515" s="6">
        <v>0</v>
      </c>
      <c r="N515" s="7" t="str">
        <f t="shared" si="409"/>
        <v/>
      </c>
      <c r="O515" s="7"/>
      <c r="P515" s="31"/>
      <c r="Q515" s="30"/>
      <c r="T515" s="121" t="str">
        <f t="shared" si="410"/>
        <v/>
      </c>
      <c r="U515" s="118">
        <f t="shared" si="411"/>
        <v>0</v>
      </c>
      <c r="V515" s="117">
        <f t="shared" si="412"/>
        <v>0</v>
      </c>
      <c r="W515" s="117">
        <f t="shared" si="413"/>
        <v>0</v>
      </c>
      <c r="X515" s="117">
        <f t="shared" si="414"/>
        <v>0</v>
      </c>
      <c r="Y515" s="117">
        <f t="shared" si="415"/>
        <v>3</v>
      </c>
      <c r="Z515" s="117">
        <f t="shared" si="416"/>
        <v>1</v>
      </c>
      <c r="AA515" s="117">
        <f t="shared" si="417"/>
        <v>0</v>
      </c>
      <c r="AC515" s="121" t="str">
        <f t="shared" si="418"/>
        <v/>
      </c>
      <c r="AD515" s="118">
        <f t="shared" si="419"/>
        <v>0</v>
      </c>
      <c r="AE515" s="117">
        <f t="shared" si="420"/>
        <v>0</v>
      </c>
      <c r="AF515" s="117">
        <f t="shared" si="421"/>
        <v>1</v>
      </c>
      <c r="AG515" s="117">
        <f t="shared" si="422"/>
        <v>3</v>
      </c>
      <c r="AH515" s="117">
        <f t="shared" si="423"/>
        <v>0</v>
      </c>
      <c r="AI515" s="117">
        <f t="shared" si="424"/>
        <v>0</v>
      </c>
      <c r="AJ515" s="117">
        <f t="shared" si="425"/>
        <v>0</v>
      </c>
    </row>
    <row r="516" spans="2:36" ht="16.5" customHeight="1">
      <c r="B516" s="14"/>
      <c r="C516" s="14"/>
      <c r="D516" s="8"/>
      <c r="E516" s="9" t="s">
        <v>181</v>
      </c>
      <c r="F516" s="5">
        <v>2</v>
      </c>
      <c r="G516" s="6">
        <v>1</v>
      </c>
      <c r="H516" s="7" t="s">
        <v>224</v>
      </c>
      <c r="I516" s="10"/>
      <c r="J516" s="8"/>
      <c r="K516" s="9" t="s">
        <v>207</v>
      </c>
      <c r="L516" s="5">
        <v>3</v>
      </c>
      <c r="M516" s="6">
        <v>1</v>
      </c>
      <c r="N516" s="7" t="str">
        <f t="shared" si="409"/>
        <v/>
      </c>
      <c r="O516" s="10"/>
      <c r="P516" s="31"/>
      <c r="Q516" s="30"/>
      <c r="T516" s="121" t="str">
        <f t="shared" si="410"/>
        <v/>
      </c>
      <c r="U516" s="118">
        <f t="shared" si="411"/>
        <v>0</v>
      </c>
      <c r="V516" s="117">
        <f t="shared" si="412"/>
        <v>0</v>
      </c>
      <c r="W516" s="117">
        <f t="shared" si="413"/>
        <v>1</v>
      </c>
      <c r="X516" s="117">
        <f t="shared" si="414"/>
        <v>1</v>
      </c>
      <c r="Y516" s="117">
        <f t="shared" si="415"/>
        <v>0</v>
      </c>
      <c r="Z516" s="117">
        <f t="shared" si="416"/>
        <v>0</v>
      </c>
      <c r="AA516" s="117">
        <f t="shared" si="417"/>
        <v>0</v>
      </c>
      <c r="AC516" s="121" t="str">
        <f t="shared" si="418"/>
        <v/>
      </c>
      <c r="AD516" s="118">
        <f t="shared" si="419"/>
        <v>0</v>
      </c>
      <c r="AE516" s="117">
        <f t="shared" si="420"/>
        <v>0</v>
      </c>
      <c r="AF516" s="117">
        <f t="shared" si="421"/>
        <v>1</v>
      </c>
      <c r="AG516" s="117">
        <f t="shared" si="422"/>
        <v>2</v>
      </c>
      <c r="AH516" s="117">
        <f t="shared" si="423"/>
        <v>0</v>
      </c>
      <c r="AI516" s="117">
        <f t="shared" si="424"/>
        <v>0</v>
      </c>
      <c r="AJ516" s="117">
        <f t="shared" si="425"/>
        <v>0</v>
      </c>
    </row>
    <row r="517" spans="2:36" ht="16.5" customHeight="1">
      <c r="B517" s="11"/>
      <c r="C517" s="11" t="s">
        <v>9</v>
      </c>
      <c r="D517" s="4"/>
      <c r="E517" s="4" t="s">
        <v>182</v>
      </c>
      <c r="F517" s="5">
        <v>1</v>
      </c>
      <c r="G517" s="6">
        <v>1</v>
      </c>
      <c r="H517" s="7" t="s">
        <v>224</v>
      </c>
      <c r="I517" s="7"/>
      <c r="J517" s="4"/>
      <c r="K517" s="4" t="s">
        <v>208</v>
      </c>
      <c r="L517" s="5">
        <v>1</v>
      </c>
      <c r="M517" s="6">
        <v>2</v>
      </c>
      <c r="N517" s="7" t="str">
        <f t="shared" si="409"/>
        <v/>
      </c>
      <c r="O517" s="7"/>
      <c r="P517" s="36" t="s">
        <v>25</v>
      </c>
      <c r="Q517" s="35"/>
      <c r="T517" s="121" t="str">
        <f t="shared" si="410"/>
        <v/>
      </c>
      <c r="U517" s="118">
        <f t="shared" si="411"/>
        <v>0</v>
      </c>
      <c r="V517" s="117">
        <f t="shared" si="412"/>
        <v>0</v>
      </c>
      <c r="W517" s="117">
        <f t="shared" si="413"/>
        <v>0</v>
      </c>
      <c r="X517" s="117">
        <f t="shared" si="414"/>
        <v>0</v>
      </c>
      <c r="Y517" s="117">
        <f t="shared" si="415"/>
        <v>3</v>
      </c>
      <c r="Z517" s="117">
        <f t="shared" si="416"/>
        <v>1</v>
      </c>
      <c r="AA517" s="117">
        <f t="shared" si="417"/>
        <v>0</v>
      </c>
      <c r="AC517" s="121" t="str">
        <f t="shared" si="418"/>
        <v/>
      </c>
      <c r="AD517" s="118">
        <f t="shared" si="419"/>
        <v>0</v>
      </c>
      <c r="AE517" s="117">
        <f t="shared" si="420"/>
        <v>0</v>
      </c>
      <c r="AF517" s="117">
        <f t="shared" si="421"/>
        <v>2</v>
      </c>
      <c r="AG517" s="117">
        <f t="shared" si="422"/>
        <v>-1</v>
      </c>
      <c r="AH517" s="117">
        <f t="shared" si="423"/>
        <v>0</v>
      </c>
      <c r="AI517" s="117">
        <f t="shared" si="424"/>
        <v>0</v>
      </c>
      <c r="AJ517" s="117">
        <f t="shared" si="425"/>
        <v>0</v>
      </c>
    </row>
    <row r="518" spans="2:36" ht="16.5" customHeight="1">
      <c r="B518" s="11"/>
      <c r="C518" s="11"/>
      <c r="D518" s="8"/>
      <c r="E518" s="9" t="s">
        <v>183</v>
      </c>
      <c r="F518" s="5">
        <v>2</v>
      </c>
      <c r="G518" s="6">
        <v>0</v>
      </c>
      <c r="H518" s="7" t="s">
        <v>224</v>
      </c>
      <c r="I518" s="10"/>
      <c r="J518" s="8"/>
      <c r="K518" s="9" t="s">
        <v>209</v>
      </c>
      <c r="L518" s="5">
        <v>2</v>
      </c>
      <c r="M518" s="6">
        <v>2</v>
      </c>
      <c r="N518" s="7" t="str">
        <f t="shared" si="409"/>
        <v/>
      </c>
      <c r="O518" s="10"/>
      <c r="P518" s="36"/>
      <c r="Q518" s="35"/>
      <c r="T518" s="121" t="str">
        <f t="shared" si="410"/>
        <v/>
      </c>
      <c r="U518" s="118">
        <f t="shared" si="411"/>
        <v>0</v>
      </c>
      <c r="V518" s="117">
        <f t="shared" si="412"/>
        <v>0</v>
      </c>
      <c r="W518" s="117">
        <f t="shared" si="413"/>
        <v>1</v>
      </c>
      <c r="X518" s="117">
        <f t="shared" si="414"/>
        <v>2</v>
      </c>
      <c r="Y518" s="117">
        <f t="shared" si="415"/>
        <v>0</v>
      </c>
      <c r="Z518" s="117">
        <f t="shared" si="416"/>
        <v>0</v>
      </c>
      <c r="AA518" s="117">
        <f t="shared" si="417"/>
        <v>0</v>
      </c>
      <c r="AC518" s="121" t="str">
        <f t="shared" si="418"/>
        <v/>
      </c>
      <c r="AD518" s="118">
        <f t="shared" si="419"/>
        <v>0</v>
      </c>
      <c r="AE518" s="117">
        <f t="shared" si="420"/>
        <v>0</v>
      </c>
      <c r="AF518" s="117">
        <f t="shared" si="421"/>
        <v>0</v>
      </c>
      <c r="AG518" s="117">
        <f t="shared" si="422"/>
        <v>0</v>
      </c>
      <c r="AH518" s="117">
        <f t="shared" si="423"/>
        <v>3</v>
      </c>
      <c r="AI518" s="117">
        <f t="shared" si="424"/>
        <v>1</v>
      </c>
      <c r="AJ518" s="117">
        <f t="shared" si="425"/>
        <v>0</v>
      </c>
    </row>
    <row r="519" spans="2:36" ht="16.5" customHeight="1">
      <c r="B519" s="11"/>
      <c r="C519" s="11"/>
      <c r="D519" s="4"/>
      <c r="E519" s="4" t="s">
        <v>184</v>
      </c>
      <c r="F519" s="5">
        <v>2</v>
      </c>
      <c r="G519" s="6">
        <v>1</v>
      </c>
      <c r="H519" s="7" t="s">
        <v>224</v>
      </c>
      <c r="I519" s="7"/>
      <c r="J519" s="4"/>
      <c r="K519" s="4" t="s">
        <v>210</v>
      </c>
      <c r="L519" s="5">
        <v>2</v>
      </c>
      <c r="M519" s="6">
        <v>1</v>
      </c>
      <c r="N519" s="7" t="str">
        <f t="shared" si="409"/>
        <v/>
      </c>
      <c r="O519" s="7"/>
      <c r="P519" s="36"/>
      <c r="Q519" s="35"/>
      <c r="T519" s="121" t="str">
        <f t="shared" si="410"/>
        <v/>
      </c>
      <c r="U519" s="118">
        <f t="shared" si="411"/>
        <v>0</v>
      </c>
      <c r="V519" s="117">
        <f t="shared" si="412"/>
        <v>0</v>
      </c>
      <c r="W519" s="117">
        <f t="shared" si="413"/>
        <v>1</v>
      </c>
      <c r="X519" s="117">
        <f t="shared" si="414"/>
        <v>1</v>
      </c>
      <c r="Y519" s="117">
        <f t="shared" si="415"/>
        <v>0</v>
      </c>
      <c r="Z519" s="117">
        <f t="shared" si="416"/>
        <v>0</v>
      </c>
      <c r="AA519" s="117">
        <f t="shared" si="417"/>
        <v>0</v>
      </c>
      <c r="AC519" s="121" t="str">
        <f t="shared" si="418"/>
        <v/>
      </c>
      <c r="AD519" s="118">
        <f t="shared" si="419"/>
        <v>0</v>
      </c>
      <c r="AE519" s="117">
        <f t="shared" si="420"/>
        <v>0</v>
      </c>
      <c r="AF519" s="117">
        <f t="shared" si="421"/>
        <v>1</v>
      </c>
      <c r="AG519" s="117">
        <f t="shared" si="422"/>
        <v>1</v>
      </c>
      <c r="AH519" s="117">
        <f t="shared" si="423"/>
        <v>0</v>
      </c>
      <c r="AI519" s="117">
        <f t="shared" si="424"/>
        <v>0</v>
      </c>
      <c r="AJ519" s="117">
        <f t="shared" si="425"/>
        <v>0</v>
      </c>
    </row>
    <row r="520" spans="2:36" ht="16.5" customHeight="1">
      <c r="B520" s="11"/>
      <c r="C520" s="11"/>
      <c r="D520" s="8"/>
      <c r="E520" s="9" t="s">
        <v>222</v>
      </c>
      <c r="F520" s="5">
        <v>3</v>
      </c>
      <c r="G520" s="6">
        <v>0</v>
      </c>
      <c r="H520" s="7" t="s">
        <v>224</v>
      </c>
      <c r="I520" s="10"/>
      <c r="J520" s="8"/>
      <c r="K520" s="9" t="s">
        <v>211</v>
      </c>
      <c r="L520" s="5">
        <v>3</v>
      </c>
      <c r="M520" s="6">
        <v>1</v>
      </c>
      <c r="N520" s="7" t="str">
        <f t="shared" si="409"/>
        <v/>
      </c>
      <c r="O520" s="10"/>
      <c r="P520" s="36"/>
      <c r="Q520" s="35"/>
      <c r="T520" s="121" t="str">
        <f t="shared" si="410"/>
        <v/>
      </c>
      <c r="U520" s="118">
        <f t="shared" si="411"/>
        <v>0</v>
      </c>
      <c r="V520" s="117">
        <f t="shared" si="412"/>
        <v>0</v>
      </c>
      <c r="W520" s="117">
        <f t="shared" si="413"/>
        <v>1</v>
      </c>
      <c r="X520" s="117">
        <f t="shared" si="414"/>
        <v>3</v>
      </c>
      <c r="Y520" s="117">
        <f t="shared" si="415"/>
        <v>0</v>
      </c>
      <c r="Z520" s="117">
        <f t="shared" si="416"/>
        <v>0</v>
      </c>
      <c r="AA520" s="117">
        <f t="shared" si="417"/>
        <v>0</v>
      </c>
      <c r="AC520" s="121" t="str">
        <f t="shared" si="418"/>
        <v/>
      </c>
      <c r="AD520" s="118">
        <f t="shared" si="419"/>
        <v>0</v>
      </c>
      <c r="AE520" s="117">
        <f t="shared" si="420"/>
        <v>0</v>
      </c>
      <c r="AF520" s="117">
        <f t="shared" si="421"/>
        <v>1</v>
      </c>
      <c r="AG520" s="117">
        <f t="shared" si="422"/>
        <v>2</v>
      </c>
      <c r="AH520" s="117">
        <f t="shared" si="423"/>
        <v>0</v>
      </c>
      <c r="AI520" s="117">
        <f t="shared" si="424"/>
        <v>0</v>
      </c>
      <c r="AJ520" s="117">
        <f t="shared" si="425"/>
        <v>0</v>
      </c>
    </row>
    <row r="521" spans="2:36" ht="16.5" customHeight="1">
      <c r="B521" s="11"/>
      <c r="C521" s="11"/>
      <c r="D521" s="4"/>
      <c r="E521" s="4" t="s">
        <v>185</v>
      </c>
      <c r="F521" s="5">
        <v>2</v>
      </c>
      <c r="G521" s="6">
        <v>1</v>
      </c>
      <c r="H521" s="7" t="s">
        <v>224</v>
      </c>
      <c r="I521" s="7"/>
      <c r="J521" s="4"/>
      <c r="K521" s="4" t="s">
        <v>212</v>
      </c>
      <c r="L521" s="5">
        <v>2</v>
      </c>
      <c r="M521" s="6">
        <v>2</v>
      </c>
      <c r="N521" s="7" t="str">
        <f t="shared" si="409"/>
        <v/>
      </c>
      <c r="O521" s="7"/>
      <c r="P521" s="36"/>
      <c r="Q521" s="35"/>
      <c r="T521" s="121" t="str">
        <f t="shared" si="410"/>
        <v/>
      </c>
      <c r="U521" s="118">
        <f t="shared" si="411"/>
        <v>0</v>
      </c>
      <c r="V521" s="117">
        <f t="shared" si="412"/>
        <v>0</v>
      </c>
      <c r="W521" s="117">
        <f t="shared" si="413"/>
        <v>1</v>
      </c>
      <c r="X521" s="117">
        <f t="shared" si="414"/>
        <v>1</v>
      </c>
      <c r="Y521" s="117">
        <f t="shared" si="415"/>
        <v>0</v>
      </c>
      <c r="Z521" s="117">
        <f t="shared" si="416"/>
        <v>0</v>
      </c>
      <c r="AA521" s="117">
        <f t="shared" si="417"/>
        <v>0</v>
      </c>
      <c r="AC521" s="121" t="str">
        <f t="shared" si="418"/>
        <v/>
      </c>
      <c r="AD521" s="118">
        <f t="shared" si="419"/>
        <v>0</v>
      </c>
      <c r="AE521" s="117">
        <f t="shared" si="420"/>
        <v>0</v>
      </c>
      <c r="AF521" s="117">
        <f t="shared" si="421"/>
        <v>0</v>
      </c>
      <c r="AG521" s="117">
        <f t="shared" si="422"/>
        <v>0</v>
      </c>
      <c r="AH521" s="117">
        <f t="shared" si="423"/>
        <v>3</v>
      </c>
      <c r="AI521" s="117">
        <f t="shared" si="424"/>
        <v>1</v>
      </c>
      <c r="AJ521" s="117">
        <f t="shared" si="425"/>
        <v>0</v>
      </c>
    </row>
    <row r="522" spans="2:36" ht="16.5" customHeight="1">
      <c r="B522" s="11"/>
      <c r="C522" s="11"/>
      <c r="D522" s="8"/>
      <c r="E522" s="9" t="s">
        <v>186</v>
      </c>
      <c r="F522" s="5">
        <v>3</v>
      </c>
      <c r="G522" s="6">
        <v>1</v>
      </c>
      <c r="H522" s="7" t="s">
        <v>224</v>
      </c>
      <c r="I522" s="10"/>
      <c r="J522" s="8"/>
      <c r="K522" s="9" t="s">
        <v>213</v>
      </c>
      <c r="L522" s="5">
        <v>2</v>
      </c>
      <c r="M522" s="6">
        <v>2</v>
      </c>
      <c r="N522" s="7" t="str">
        <f t="shared" si="409"/>
        <v/>
      </c>
      <c r="O522" s="10"/>
      <c r="P522" s="36"/>
      <c r="Q522" s="35"/>
      <c r="T522" s="121" t="str">
        <f t="shared" si="410"/>
        <v/>
      </c>
      <c r="U522" s="118">
        <f t="shared" si="411"/>
        <v>0</v>
      </c>
      <c r="V522" s="117">
        <f t="shared" si="412"/>
        <v>0</v>
      </c>
      <c r="W522" s="117">
        <f t="shared" si="413"/>
        <v>1</v>
      </c>
      <c r="X522" s="117">
        <f t="shared" si="414"/>
        <v>2</v>
      </c>
      <c r="Y522" s="117">
        <f t="shared" si="415"/>
        <v>0</v>
      </c>
      <c r="Z522" s="117">
        <f t="shared" si="416"/>
        <v>0</v>
      </c>
      <c r="AA522" s="117">
        <f t="shared" si="417"/>
        <v>0</v>
      </c>
      <c r="AC522" s="121" t="str">
        <f t="shared" si="418"/>
        <v/>
      </c>
      <c r="AD522" s="118">
        <f t="shared" si="419"/>
        <v>0</v>
      </c>
      <c r="AE522" s="117">
        <f t="shared" si="420"/>
        <v>0</v>
      </c>
      <c r="AF522" s="117">
        <f t="shared" si="421"/>
        <v>0</v>
      </c>
      <c r="AG522" s="117">
        <f t="shared" si="422"/>
        <v>0</v>
      </c>
      <c r="AH522" s="117">
        <f t="shared" si="423"/>
        <v>3</v>
      </c>
      <c r="AI522" s="117">
        <f t="shared" si="424"/>
        <v>1</v>
      </c>
      <c r="AJ522" s="117">
        <f t="shared" si="425"/>
        <v>0</v>
      </c>
    </row>
    <row r="523" spans="2:36" ht="16.5" customHeight="1">
      <c r="B523" s="11"/>
      <c r="C523" s="11"/>
      <c r="D523" s="4"/>
      <c r="E523" s="4" t="s">
        <v>187</v>
      </c>
      <c r="F523" s="5">
        <v>3</v>
      </c>
      <c r="G523" s="6">
        <v>1</v>
      </c>
      <c r="H523" s="7" t="s">
        <v>224</v>
      </c>
      <c r="I523" s="7"/>
      <c r="J523" s="4"/>
      <c r="K523" s="4" t="s">
        <v>214</v>
      </c>
      <c r="L523" s="5">
        <v>2</v>
      </c>
      <c r="M523" s="6">
        <v>1</v>
      </c>
      <c r="N523" s="7" t="str">
        <f t="shared" si="409"/>
        <v/>
      </c>
      <c r="O523" s="7"/>
      <c r="P523" s="36"/>
      <c r="Q523" s="35"/>
      <c r="T523" s="121" t="str">
        <f t="shared" si="410"/>
        <v/>
      </c>
      <c r="U523" s="118">
        <f t="shared" si="411"/>
        <v>0</v>
      </c>
      <c r="V523" s="117">
        <f t="shared" si="412"/>
        <v>0</v>
      </c>
      <c r="W523" s="117">
        <f t="shared" si="413"/>
        <v>1</v>
      </c>
      <c r="X523" s="117">
        <f t="shared" si="414"/>
        <v>2</v>
      </c>
      <c r="Y523" s="117">
        <f t="shared" si="415"/>
        <v>0</v>
      </c>
      <c r="Z523" s="117">
        <f t="shared" si="416"/>
        <v>0</v>
      </c>
      <c r="AA523" s="117">
        <f t="shared" si="417"/>
        <v>0</v>
      </c>
      <c r="AC523" s="121" t="str">
        <f t="shared" si="418"/>
        <v/>
      </c>
      <c r="AD523" s="118">
        <f t="shared" si="419"/>
        <v>0</v>
      </c>
      <c r="AE523" s="117">
        <f t="shared" si="420"/>
        <v>0</v>
      </c>
      <c r="AF523" s="117">
        <f t="shared" si="421"/>
        <v>1</v>
      </c>
      <c r="AG523" s="117">
        <f t="shared" si="422"/>
        <v>1</v>
      </c>
      <c r="AH523" s="117">
        <f t="shared" si="423"/>
        <v>0</v>
      </c>
      <c r="AI523" s="117">
        <f t="shared" si="424"/>
        <v>0</v>
      </c>
      <c r="AJ523" s="117">
        <f t="shared" si="425"/>
        <v>0</v>
      </c>
    </row>
    <row r="524" spans="2:36" ht="16.5" customHeight="1">
      <c r="B524" s="15"/>
      <c r="C524" s="15" t="s">
        <v>10</v>
      </c>
      <c r="D524" s="8"/>
      <c r="E524" s="9" t="s">
        <v>188</v>
      </c>
      <c r="F524" s="5">
        <v>2</v>
      </c>
      <c r="G524" s="6">
        <v>1</v>
      </c>
      <c r="H524" s="7" t="s">
        <v>224</v>
      </c>
      <c r="I524" s="10"/>
      <c r="J524" s="8"/>
      <c r="K524" s="9" t="s">
        <v>215</v>
      </c>
      <c r="L524" s="5">
        <v>2</v>
      </c>
      <c r="M524" s="6">
        <v>1</v>
      </c>
      <c r="N524" s="7" t="str">
        <f t="shared" si="409"/>
        <v/>
      </c>
      <c r="O524" s="10"/>
      <c r="P524" s="39" t="s">
        <v>26</v>
      </c>
      <c r="Q524" s="38"/>
      <c r="T524" s="121" t="str">
        <f t="shared" si="410"/>
        <v/>
      </c>
      <c r="U524" s="118">
        <f t="shared" si="411"/>
        <v>0</v>
      </c>
      <c r="V524" s="117">
        <f t="shared" si="412"/>
        <v>0</v>
      </c>
      <c r="W524" s="117">
        <f t="shared" si="413"/>
        <v>1</v>
      </c>
      <c r="X524" s="117">
        <f t="shared" si="414"/>
        <v>1</v>
      </c>
      <c r="Y524" s="117">
        <f t="shared" si="415"/>
        <v>0</v>
      </c>
      <c r="Z524" s="117">
        <f t="shared" si="416"/>
        <v>0</v>
      </c>
      <c r="AA524" s="117">
        <f t="shared" si="417"/>
        <v>0</v>
      </c>
      <c r="AC524" s="121" t="str">
        <f t="shared" si="418"/>
        <v/>
      </c>
      <c r="AD524" s="118">
        <f t="shared" si="419"/>
        <v>0</v>
      </c>
      <c r="AE524" s="117">
        <f t="shared" si="420"/>
        <v>0</v>
      </c>
      <c r="AF524" s="117">
        <f t="shared" si="421"/>
        <v>1</v>
      </c>
      <c r="AG524" s="117">
        <f t="shared" si="422"/>
        <v>1</v>
      </c>
      <c r="AH524" s="117">
        <f t="shared" si="423"/>
        <v>0</v>
      </c>
      <c r="AI524" s="117">
        <f t="shared" si="424"/>
        <v>0</v>
      </c>
      <c r="AJ524" s="117">
        <f t="shared" si="425"/>
        <v>0</v>
      </c>
    </row>
    <row r="525" spans="2:36" ht="16.5" customHeight="1">
      <c r="B525" s="15"/>
      <c r="C525" s="15"/>
      <c r="D525" s="4"/>
      <c r="E525" s="4" t="s">
        <v>189</v>
      </c>
      <c r="F525" s="5">
        <v>2</v>
      </c>
      <c r="G525" s="6">
        <v>2</v>
      </c>
      <c r="H525" s="7" t="s">
        <v>224</v>
      </c>
      <c r="I525" s="7"/>
      <c r="J525" s="4"/>
      <c r="K525" s="4" t="s">
        <v>216</v>
      </c>
      <c r="L525" s="5">
        <v>2</v>
      </c>
      <c r="M525" s="6">
        <v>1</v>
      </c>
      <c r="N525" s="7" t="str">
        <f t="shared" si="409"/>
        <v/>
      </c>
      <c r="O525" s="7"/>
      <c r="P525" s="39"/>
      <c r="Q525" s="38"/>
      <c r="T525" s="121" t="str">
        <f t="shared" si="410"/>
        <v/>
      </c>
      <c r="U525" s="118">
        <f t="shared" si="411"/>
        <v>0</v>
      </c>
      <c r="V525" s="117">
        <f t="shared" si="412"/>
        <v>0</v>
      </c>
      <c r="W525" s="117">
        <f t="shared" si="413"/>
        <v>0</v>
      </c>
      <c r="X525" s="117">
        <f t="shared" si="414"/>
        <v>0</v>
      </c>
      <c r="Y525" s="117">
        <f t="shared" si="415"/>
        <v>3</v>
      </c>
      <c r="Z525" s="117">
        <f t="shared" si="416"/>
        <v>1</v>
      </c>
      <c r="AA525" s="117">
        <f t="shared" si="417"/>
        <v>0</v>
      </c>
      <c r="AC525" s="121" t="str">
        <f t="shared" si="418"/>
        <v/>
      </c>
      <c r="AD525" s="118">
        <f t="shared" si="419"/>
        <v>0</v>
      </c>
      <c r="AE525" s="117">
        <f t="shared" si="420"/>
        <v>0</v>
      </c>
      <c r="AF525" s="117">
        <f t="shared" si="421"/>
        <v>1</v>
      </c>
      <c r="AG525" s="117">
        <f t="shared" si="422"/>
        <v>1</v>
      </c>
      <c r="AH525" s="117">
        <f t="shared" si="423"/>
        <v>0</v>
      </c>
      <c r="AI525" s="117">
        <f t="shared" si="424"/>
        <v>0</v>
      </c>
      <c r="AJ525" s="117">
        <f t="shared" si="425"/>
        <v>0</v>
      </c>
    </row>
    <row r="526" spans="2:36" ht="16.5" customHeight="1">
      <c r="B526" s="15"/>
      <c r="C526" s="15"/>
      <c r="D526" s="8"/>
      <c r="E526" s="9" t="s">
        <v>190</v>
      </c>
      <c r="F526" s="5">
        <v>3</v>
      </c>
      <c r="G526" s="6">
        <v>0</v>
      </c>
      <c r="H526" s="7" t="s">
        <v>224</v>
      </c>
      <c r="I526" s="10"/>
      <c r="J526" s="8"/>
      <c r="K526" s="9" t="s">
        <v>217</v>
      </c>
      <c r="L526" s="5">
        <v>2</v>
      </c>
      <c r="M526" s="6">
        <v>1</v>
      </c>
      <c r="N526" s="7" t="str">
        <f t="shared" si="409"/>
        <v/>
      </c>
      <c r="O526" s="10"/>
      <c r="P526" s="39"/>
      <c r="Q526" s="38"/>
      <c r="T526" s="121" t="str">
        <f t="shared" si="410"/>
        <v/>
      </c>
      <c r="U526" s="118">
        <f t="shared" si="411"/>
        <v>0</v>
      </c>
      <c r="V526" s="117">
        <f t="shared" si="412"/>
        <v>0</v>
      </c>
      <c r="W526" s="117">
        <f t="shared" si="413"/>
        <v>1</v>
      </c>
      <c r="X526" s="117">
        <f t="shared" si="414"/>
        <v>3</v>
      </c>
      <c r="Y526" s="117">
        <f t="shared" si="415"/>
        <v>0</v>
      </c>
      <c r="Z526" s="117">
        <f t="shared" si="416"/>
        <v>0</v>
      </c>
      <c r="AA526" s="117">
        <f t="shared" si="417"/>
        <v>0</v>
      </c>
      <c r="AC526" s="121" t="str">
        <f t="shared" si="418"/>
        <v/>
      </c>
      <c r="AD526" s="118">
        <f t="shared" si="419"/>
        <v>0</v>
      </c>
      <c r="AE526" s="117">
        <f t="shared" si="420"/>
        <v>0</v>
      </c>
      <c r="AF526" s="117">
        <f t="shared" si="421"/>
        <v>1</v>
      </c>
      <c r="AG526" s="117">
        <f t="shared" si="422"/>
        <v>1</v>
      </c>
      <c r="AH526" s="117">
        <f t="shared" si="423"/>
        <v>0</v>
      </c>
      <c r="AI526" s="117">
        <f t="shared" si="424"/>
        <v>0</v>
      </c>
      <c r="AJ526" s="117">
        <f t="shared" si="425"/>
        <v>0</v>
      </c>
    </row>
    <row r="527" spans="2:36" ht="16.5" customHeight="1">
      <c r="B527" s="15"/>
      <c r="C527" s="15"/>
      <c r="D527" s="4"/>
      <c r="E527" s="4" t="s">
        <v>191</v>
      </c>
      <c r="F527" s="5">
        <v>1</v>
      </c>
      <c r="G527" s="6">
        <v>0</v>
      </c>
      <c r="H527" s="7" t="s">
        <v>224</v>
      </c>
      <c r="I527" s="7"/>
      <c r="J527" s="4"/>
      <c r="K527" s="4" t="s">
        <v>218</v>
      </c>
      <c r="L527" s="5">
        <v>3</v>
      </c>
      <c r="M527" s="6">
        <v>1</v>
      </c>
      <c r="N527" s="7" t="str">
        <f t="shared" si="409"/>
        <v/>
      </c>
      <c r="O527" s="7"/>
      <c r="P527" s="39"/>
      <c r="Q527" s="38"/>
      <c r="T527" s="121" t="str">
        <f t="shared" si="410"/>
        <v/>
      </c>
      <c r="U527" s="118">
        <f t="shared" si="411"/>
        <v>0</v>
      </c>
      <c r="V527" s="117">
        <f t="shared" si="412"/>
        <v>0</v>
      </c>
      <c r="W527" s="117">
        <f t="shared" si="413"/>
        <v>1</v>
      </c>
      <c r="X527" s="117">
        <f t="shared" si="414"/>
        <v>1</v>
      </c>
      <c r="Y527" s="117">
        <f t="shared" si="415"/>
        <v>0</v>
      </c>
      <c r="Z527" s="117">
        <f t="shared" si="416"/>
        <v>0</v>
      </c>
      <c r="AA527" s="117">
        <f t="shared" si="417"/>
        <v>0</v>
      </c>
      <c r="AC527" s="121" t="str">
        <f t="shared" si="418"/>
        <v/>
      </c>
      <c r="AD527" s="118">
        <f t="shared" si="419"/>
        <v>0</v>
      </c>
      <c r="AE527" s="117">
        <f t="shared" si="420"/>
        <v>0</v>
      </c>
      <c r="AF527" s="117">
        <f t="shared" si="421"/>
        <v>1</v>
      </c>
      <c r="AG527" s="117">
        <f t="shared" si="422"/>
        <v>2</v>
      </c>
      <c r="AH527" s="117">
        <f t="shared" si="423"/>
        <v>0</v>
      </c>
      <c r="AI527" s="117">
        <f t="shared" si="424"/>
        <v>0</v>
      </c>
      <c r="AJ527" s="117">
        <f t="shared" si="425"/>
        <v>0</v>
      </c>
    </row>
    <row r="528" spans="2:36" ht="16.5" customHeight="1">
      <c r="B528" s="15"/>
      <c r="C528" s="15"/>
      <c r="D528" s="8"/>
      <c r="E528" s="9" t="s">
        <v>192</v>
      </c>
      <c r="F528" s="5">
        <v>2</v>
      </c>
      <c r="G528" s="6">
        <v>0</v>
      </c>
      <c r="H528" s="7" t="s">
        <v>224</v>
      </c>
      <c r="I528" s="10"/>
      <c r="J528" s="8"/>
      <c r="K528" s="9" t="s">
        <v>219</v>
      </c>
      <c r="L528" s="5">
        <v>2</v>
      </c>
      <c r="M528" s="6">
        <v>1</v>
      </c>
      <c r="N528" s="7" t="str">
        <f t="shared" si="409"/>
        <v/>
      </c>
      <c r="O528" s="10"/>
      <c r="P528" s="39"/>
      <c r="Q528" s="38"/>
      <c r="T528" s="121" t="str">
        <f t="shared" si="410"/>
        <v/>
      </c>
      <c r="U528" s="118">
        <f t="shared" si="411"/>
        <v>0</v>
      </c>
      <c r="V528" s="117">
        <f t="shared" si="412"/>
        <v>0</v>
      </c>
      <c r="W528" s="117">
        <f t="shared" si="413"/>
        <v>1</v>
      </c>
      <c r="X528" s="117">
        <f t="shared" si="414"/>
        <v>2</v>
      </c>
      <c r="Y528" s="117">
        <f t="shared" si="415"/>
        <v>0</v>
      </c>
      <c r="Z528" s="117">
        <f t="shared" si="416"/>
        <v>0</v>
      </c>
      <c r="AA528" s="117">
        <f t="shared" si="417"/>
        <v>0</v>
      </c>
      <c r="AC528" s="121" t="str">
        <f t="shared" si="418"/>
        <v/>
      </c>
      <c r="AD528" s="118">
        <f t="shared" si="419"/>
        <v>0</v>
      </c>
      <c r="AE528" s="117">
        <f t="shared" si="420"/>
        <v>0</v>
      </c>
      <c r="AF528" s="117">
        <f t="shared" si="421"/>
        <v>1</v>
      </c>
      <c r="AG528" s="117">
        <f t="shared" si="422"/>
        <v>1</v>
      </c>
      <c r="AH528" s="117">
        <f t="shared" si="423"/>
        <v>0</v>
      </c>
      <c r="AI528" s="117">
        <f t="shared" si="424"/>
        <v>0</v>
      </c>
      <c r="AJ528" s="117">
        <f t="shared" si="425"/>
        <v>0</v>
      </c>
    </row>
    <row r="529" spans="2:36" ht="16.5" customHeight="1">
      <c r="B529" s="15"/>
      <c r="C529" s="15"/>
      <c r="D529" s="4"/>
      <c r="E529" s="4" t="s">
        <v>193</v>
      </c>
      <c r="F529" s="5">
        <v>2</v>
      </c>
      <c r="G529" s="6">
        <v>1</v>
      </c>
      <c r="H529" s="7" t="s">
        <v>224</v>
      </c>
      <c r="I529" s="7"/>
      <c r="J529" s="4"/>
      <c r="K529" s="4" t="s">
        <v>220</v>
      </c>
      <c r="L529" s="5">
        <v>2</v>
      </c>
      <c r="M529" s="6">
        <v>1</v>
      </c>
      <c r="N529" s="7" t="str">
        <f t="shared" si="409"/>
        <v/>
      </c>
      <c r="O529" s="7"/>
      <c r="P529" s="39"/>
      <c r="Q529" s="38"/>
      <c r="T529" s="121" t="str">
        <f t="shared" si="410"/>
        <v/>
      </c>
      <c r="U529" s="118">
        <f t="shared" si="411"/>
        <v>0</v>
      </c>
      <c r="V529" s="117">
        <f t="shared" si="412"/>
        <v>0</v>
      </c>
      <c r="W529" s="117">
        <f t="shared" si="413"/>
        <v>1</v>
      </c>
      <c r="X529" s="117">
        <f t="shared" si="414"/>
        <v>1</v>
      </c>
      <c r="Y529" s="117">
        <f t="shared" si="415"/>
        <v>0</v>
      </c>
      <c r="Z529" s="117">
        <f t="shared" si="416"/>
        <v>0</v>
      </c>
      <c r="AA529" s="117">
        <f t="shared" si="417"/>
        <v>0</v>
      </c>
      <c r="AC529" s="121" t="str">
        <f t="shared" si="418"/>
        <v/>
      </c>
      <c r="AD529" s="118">
        <f t="shared" si="419"/>
        <v>0</v>
      </c>
      <c r="AE529" s="117">
        <f t="shared" si="420"/>
        <v>0</v>
      </c>
      <c r="AF529" s="117">
        <f t="shared" si="421"/>
        <v>1</v>
      </c>
      <c r="AG529" s="117">
        <f t="shared" si="422"/>
        <v>1</v>
      </c>
      <c r="AH529" s="117">
        <f t="shared" si="423"/>
        <v>0</v>
      </c>
      <c r="AI529" s="117">
        <f t="shared" si="424"/>
        <v>0</v>
      </c>
      <c r="AJ529" s="117">
        <f t="shared" si="425"/>
        <v>0</v>
      </c>
    </row>
    <row r="530" spans="2:36" ht="16.5" customHeight="1">
      <c r="B530" s="15"/>
      <c r="C530" s="15"/>
      <c r="D530" s="8"/>
      <c r="E530" s="9" t="s">
        <v>194</v>
      </c>
      <c r="F530" s="5">
        <v>2</v>
      </c>
      <c r="G530" s="6">
        <v>1</v>
      </c>
      <c r="H530" s="7" t="s">
        <v>224</v>
      </c>
      <c r="I530" s="10"/>
      <c r="J530" s="8"/>
      <c r="K530" s="9" t="s">
        <v>221</v>
      </c>
      <c r="L530" s="5">
        <v>2</v>
      </c>
      <c r="M530" s="6">
        <v>1</v>
      </c>
      <c r="N530" s="7" t="str">
        <f t="shared" si="409"/>
        <v/>
      </c>
      <c r="O530" s="10"/>
      <c r="P530" s="39"/>
      <c r="Q530" s="38"/>
      <c r="T530" s="121" t="str">
        <f t="shared" si="410"/>
        <v/>
      </c>
      <c r="U530" s="118">
        <f t="shared" si="411"/>
        <v>0</v>
      </c>
      <c r="V530" s="117">
        <f t="shared" si="412"/>
        <v>0</v>
      </c>
      <c r="W530" s="117">
        <f t="shared" si="413"/>
        <v>1</v>
      </c>
      <c r="X530" s="117">
        <f t="shared" si="414"/>
        <v>1</v>
      </c>
      <c r="Y530" s="117">
        <f t="shared" si="415"/>
        <v>0</v>
      </c>
      <c r="Z530" s="117">
        <f t="shared" si="416"/>
        <v>0</v>
      </c>
      <c r="AA530" s="117">
        <f t="shared" si="417"/>
        <v>0</v>
      </c>
      <c r="AC530" s="121" t="str">
        <f t="shared" si="418"/>
        <v/>
      </c>
      <c r="AD530" s="118">
        <f t="shared" si="419"/>
        <v>0</v>
      </c>
      <c r="AE530" s="117">
        <f t="shared" si="420"/>
        <v>0</v>
      </c>
      <c r="AF530" s="117">
        <f t="shared" si="421"/>
        <v>1</v>
      </c>
      <c r="AG530" s="117">
        <f t="shared" si="422"/>
        <v>1</v>
      </c>
      <c r="AH530" s="117">
        <f t="shared" si="423"/>
        <v>0</v>
      </c>
      <c r="AI530" s="117">
        <f t="shared" si="424"/>
        <v>0</v>
      </c>
      <c r="AJ530" s="117">
        <f t="shared" si="425"/>
        <v>0</v>
      </c>
    </row>
    <row r="531" spans="2:36" ht="16.5" customHeight="1">
      <c r="K531" s="3"/>
    </row>
    <row r="532" spans="2:36" ht="23.25">
      <c r="B532" s="33" t="s">
        <v>133</v>
      </c>
      <c r="D532" s="52"/>
      <c r="E532" s="55" t="s">
        <v>82</v>
      </c>
      <c r="F532" s="56"/>
      <c r="G532" s="57"/>
      <c r="H532" s="57"/>
      <c r="I532" s="56"/>
      <c r="J532" s="82"/>
      <c r="K532" s="82" t="s">
        <v>83</v>
      </c>
      <c r="M532" s="91"/>
      <c r="N532" s="92"/>
      <c r="O532" s="92"/>
      <c r="P532" s="93"/>
      <c r="Q532" s="92"/>
      <c r="R532" s="92"/>
    </row>
    <row r="533" spans="2:36" ht="16.5" customHeight="1">
      <c r="C533" s="1"/>
      <c r="D533" s="1"/>
      <c r="E533" s="1"/>
      <c r="H533" s="1"/>
      <c r="I533" s="1"/>
      <c r="J533" s="1"/>
      <c r="P533" s="1"/>
    </row>
    <row r="534" spans="2:36" ht="16.5" customHeight="1">
      <c r="B534" s="12"/>
      <c r="C534" s="12" t="s">
        <v>7</v>
      </c>
      <c r="D534" s="4"/>
      <c r="E534" s="4" t="s">
        <v>32</v>
      </c>
      <c r="F534" s="5">
        <v>0</v>
      </c>
      <c r="G534" s="6">
        <v>2</v>
      </c>
      <c r="H534" s="7" t="s">
        <v>224</v>
      </c>
      <c r="I534" s="7"/>
      <c r="J534" s="4"/>
      <c r="K534" s="4" t="s">
        <v>195</v>
      </c>
      <c r="L534" s="5">
        <v>0</v>
      </c>
      <c r="M534" s="6">
        <v>3</v>
      </c>
      <c r="N534" s="7" t="str">
        <f>AC534</f>
        <v/>
      </c>
      <c r="O534" s="7"/>
      <c r="P534" s="24" t="s">
        <v>13</v>
      </c>
      <c r="Q534" s="13"/>
      <c r="T534" s="121" t="str">
        <f>IF($G$532="","",SUM(Y534:AA534))</f>
        <v/>
      </c>
      <c r="U534" s="118">
        <f t="shared" ref="U534" si="426">IF(V534&gt;0,1,IF(V534=0,0,2))</f>
        <v>0</v>
      </c>
      <c r="V534" s="117">
        <f>$G$532-$H$532</f>
        <v>0</v>
      </c>
      <c r="W534" s="117">
        <f t="shared" ref="W534" si="427">IF(X534&gt;0,1,IF(X534=0,0,2))</f>
        <v>2</v>
      </c>
      <c r="X534" s="117">
        <f>F534-G534</f>
        <v>-2</v>
      </c>
      <c r="Y534" s="117">
        <f t="shared" ref="Y534" si="428">IF(U534=W534,3,0)</f>
        <v>0</v>
      </c>
      <c r="Z534" s="117">
        <f t="shared" ref="Z534" si="429">IF(V534=X534,1,0)</f>
        <v>0</v>
      </c>
      <c r="AA534" s="117">
        <f>IF(Z534=1,IF($G$532=F534,1,0),0)</f>
        <v>0</v>
      </c>
      <c r="AC534" s="121" t="str">
        <f>IF($G$532="","",SUM(AH534:AJ534))</f>
        <v/>
      </c>
      <c r="AD534" s="118">
        <f t="shared" ref="AD534" si="430">IF(AE534&gt;0,1,IF(AE534=0,0,2))</f>
        <v>0</v>
      </c>
      <c r="AE534" s="117">
        <f>$G$532-$H$532</f>
        <v>0</v>
      </c>
      <c r="AF534" s="117">
        <f t="shared" ref="AF534" si="431">IF(AG534&gt;0,1,IF(AG534=0,0,2))</f>
        <v>2</v>
      </c>
      <c r="AG534" s="117">
        <f>L534-M534</f>
        <v>-3</v>
      </c>
      <c r="AH534" s="117">
        <f t="shared" ref="AH534" si="432">IF(AD534=AF534,3,0)</f>
        <v>0</v>
      </c>
      <c r="AI534" s="117">
        <f t="shared" ref="AI534" si="433">IF(AE534=AG534,1,0)</f>
        <v>0</v>
      </c>
      <c r="AJ534" s="117">
        <f>IF(AI534=1,IF($G$532=L534,1,0),0)</f>
        <v>0</v>
      </c>
    </row>
    <row r="535" spans="2:36" ht="16.5" customHeight="1">
      <c r="B535" s="12"/>
      <c r="C535" s="12"/>
      <c r="D535" s="8"/>
      <c r="E535" s="9" t="s">
        <v>170</v>
      </c>
      <c r="F535" s="5">
        <v>0</v>
      </c>
      <c r="G535" s="6">
        <v>2</v>
      </c>
      <c r="H535" s="7" t="s">
        <v>224</v>
      </c>
      <c r="I535" s="10"/>
      <c r="J535" s="8"/>
      <c r="K535" s="9" t="s">
        <v>196</v>
      </c>
      <c r="L535" s="5">
        <v>0</v>
      </c>
      <c r="M535" s="6">
        <v>2</v>
      </c>
      <c r="N535" s="7" t="str">
        <f t="shared" ref="N535:N561" si="434">AC535</f>
        <v/>
      </c>
      <c r="O535" s="10"/>
      <c r="P535" s="24"/>
      <c r="Q535" s="13"/>
      <c r="T535" s="121" t="str">
        <f t="shared" ref="T535:T561" si="435">IF($G$532="","",SUM(Y535:AA535))</f>
        <v/>
      </c>
      <c r="U535" s="118">
        <f t="shared" ref="U535:U561" si="436">IF(V535&gt;0,1,IF(V535=0,0,2))</f>
        <v>0</v>
      </c>
      <c r="V535" s="117">
        <f t="shared" ref="V535:V561" si="437">$G$532-$H$532</f>
        <v>0</v>
      </c>
      <c r="W535" s="117">
        <f t="shared" ref="W535:W561" si="438">IF(X535&gt;0,1,IF(X535=0,0,2))</f>
        <v>2</v>
      </c>
      <c r="X535" s="117">
        <f t="shared" ref="X535:X561" si="439">F535-G535</f>
        <v>-2</v>
      </c>
      <c r="Y535" s="117">
        <f t="shared" ref="Y535:Y561" si="440">IF(U535=W535,3,0)</f>
        <v>0</v>
      </c>
      <c r="Z535" s="117">
        <f t="shared" ref="Z535:Z561" si="441">IF(V535=X535,1,0)</f>
        <v>0</v>
      </c>
      <c r="AA535" s="117">
        <f t="shared" ref="AA535:AA561" si="442">IF(Z535=1,IF($G$532=F535,1,0),0)</f>
        <v>0</v>
      </c>
      <c r="AC535" s="121" t="str">
        <f t="shared" ref="AC535:AC561" si="443">IF($G$532="","",SUM(AH535:AJ535))</f>
        <v/>
      </c>
      <c r="AD535" s="118">
        <f t="shared" ref="AD535:AD561" si="444">IF(AE535&gt;0,1,IF(AE535=0,0,2))</f>
        <v>0</v>
      </c>
      <c r="AE535" s="117">
        <f t="shared" ref="AE535:AE561" si="445">$G$532-$H$532</f>
        <v>0</v>
      </c>
      <c r="AF535" s="117">
        <f t="shared" ref="AF535:AF561" si="446">IF(AG535&gt;0,1,IF(AG535=0,0,2))</f>
        <v>2</v>
      </c>
      <c r="AG535" s="117">
        <f t="shared" ref="AG535:AG561" si="447">L535-M535</f>
        <v>-2</v>
      </c>
      <c r="AH535" s="117">
        <f t="shared" ref="AH535:AH561" si="448">IF(AD535=AF535,3,0)</f>
        <v>0</v>
      </c>
      <c r="AI535" s="117">
        <f t="shared" ref="AI535:AI561" si="449">IF(AE535=AG535,1,0)</f>
        <v>0</v>
      </c>
      <c r="AJ535" s="117">
        <f t="shared" ref="AJ535:AJ561" si="450">IF(AI535=1,IF($G$532=L535,1,0),0)</f>
        <v>0</v>
      </c>
    </row>
    <row r="536" spans="2:36" ht="16.5" customHeight="1">
      <c r="B536" s="12"/>
      <c r="C536" s="12"/>
      <c r="D536" s="4"/>
      <c r="E536" s="4" t="s">
        <v>171</v>
      </c>
      <c r="F536" s="5">
        <v>0</v>
      </c>
      <c r="G536" s="6">
        <v>3</v>
      </c>
      <c r="H536" s="7" t="s">
        <v>224</v>
      </c>
      <c r="I536" s="7"/>
      <c r="J536" s="4"/>
      <c r="K536" s="4" t="s">
        <v>197</v>
      </c>
      <c r="L536" s="5">
        <v>0</v>
      </c>
      <c r="M536" s="6">
        <v>3</v>
      </c>
      <c r="N536" s="7" t="str">
        <f t="shared" si="434"/>
        <v/>
      </c>
      <c r="O536" s="7"/>
      <c r="P536" s="24"/>
      <c r="Q536" s="13"/>
      <c r="T536" s="121" t="str">
        <f t="shared" si="435"/>
        <v/>
      </c>
      <c r="U536" s="118">
        <f t="shared" si="436"/>
        <v>0</v>
      </c>
      <c r="V536" s="117">
        <f t="shared" si="437"/>
        <v>0</v>
      </c>
      <c r="W536" s="117">
        <f t="shared" si="438"/>
        <v>2</v>
      </c>
      <c r="X536" s="117">
        <f t="shared" si="439"/>
        <v>-3</v>
      </c>
      <c r="Y536" s="117">
        <f t="shared" si="440"/>
        <v>0</v>
      </c>
      <c r="Z536" s="117">
        <f t="shared" si="441"/>
        <v>0</v>
      </c>
      <c r="AA536" s="117">
        <f t="shared" si="442"/>
        <v>0</v>
      </c>
      <c r="AC536" s="121" t="str">
        <f t="shared" si="443"/>
        <v/>
      </c>
      <c r="AD536" s="118">
        <f t="shared" si="444"/>
        <v>0</v>
      </c>
      <c r="AE536" s="117">
        <f t="shared" si="445"/>
        <v>0</v>
      </c>
      <c r="AF536" s="117">
        <f t="shared" si="446"/>
        <v>2</v>
      </c>
      <c r="AG536" s="117">
        <f t="shared" si="447"/>
        <v>-3</v>
      </c>
      <c r="AH536" s="117">
        <f t="shared" si="448"/>
        <v>0</v>
      </c>
      <c r="AI536" s="117">
        <f t="shared" si="449"/>
        <v>0</v>
      </c>
      <c r="AJ536" s="117">
        <f t="shared" si="450"/>
        <v>0</v>
      </c>
    </row>
    <row r="537" spans="2:36" ht="16.5" customHeight="1">
      <c r="B537" s="12"/>
      <c r="C537" s="12"/>
      <c r="D537" s="8"/>
      <c r="E537" s="9" t="s">
        <v>172</v>
      </c>
      <c r="F537" s="5">
        <v>0</v>
      </c>
      <c r="G537" s="6">
        <v>2</v>
      </c>
      <c r="H537" s="7" t="s">
        <v>224</v>
      </c>
      <c r="I537" s="10"/>
      <c r="J537" s="8"/>
      <c r="K537" s="9" t="s">
        <v>198</v>
      </c>
      <c r="L537" s="5">
        <v>0</v>
      </c>
      <c r="M537" s="6">
        <v>2</v>
      </c>
      <c r="N537" s="7" t="str">
        <f t="shared" si="434"/>
        <v/>
      </c>
      <c r="O537" s="10"/>
      <c r="P537" s="24"/>
      <c r="Q537" s="13"/>
      <c r="T537" s="121" t="str">
        <f t="shared" si="435"/>
        <v/>
      </c>
      <c r="U537" s="118">
        <f t="shared" si="436"/>
        <v>0</v>
      </c>
      <c r="V537" s="117">
        <f t="shared" si="437"/>
        <v>0</v>
      </c>
      <c r="W537" s="117">
        <f t="shared" si="438"/>
        <v>2</v>
      </c>
      <c r="X537" s="117">
        <f t="shared" si="439"/>
        <v>-2</v>
      </c>
      <c r="Y537" s="117">
        <f t="shared" si="440"/>
        <v>0</v>
      </c>
      <c r="Z537" s="117">
        <f t="shared" si="441"/>
        <v>0</v>
      </c>
      <c r="AA537" s="117">
        <f t="shared" si="442"/>
        <v>0</v>
      </c>
      <c r="AC537" s="121" t="str">
        <f t="shared" si="443"/>
        <v/>
      </c>
      <c r="AD537" s="118">
        <f t="shared" si="444"/>
        <v>0</v>
      </c>
      <c r="AE537" s="117">
        <f t="shared" si="445"/>
        <v>0</v>
      </c>
      <c r="AF537" s="117">
        <f t="shared" si="446"/>
        <v>2</v>
      </c>
      <c r="AG537" s="117">
        <f t="shared" si="447"/>
        <v>-2</v>
      </c>
      <c r="AH537" s="117">
        <f t="shared" si="448"/>
        <v>0</v>
      </c>
      <c r="AI537" s="117">
        <f t="shared" si="449"/>
        <v>0</v>
      </c>
      <c r="AJ537" s="117">
        <f t="shared" si="450"/>
        <v>0</v>
      </c>
    </row>
    <row r="538" spans="2:36" ht="16.5" customHeight="1">
      <c r="B538" s="12"/>
      <c r="C538" s="12"/>
      <c r="D538" s="4"/>
      <c r="E538" s="4" t="s">
        <v>173</v>
      </c>
      <c r="F538" s="5">
        <v>0</v>
      </c>
      <c r="G538" s="6">
        <v>3</v>
      </c>
      <c r="H538" s="7" t="s">
        <v>224</v>
      </c>
      <c r="I538" s="7"/>
      <c r="J538" s="4"/>
      <c r="K538" s="4" t="s">
        <v>199</v>
      </c>
      <c r="L538" s="5">
        <v>0</v>
      </c>
      <c r="M538" s="6">
        <v>2</v>
      </c>
      <c r="N538" s="7" t="str">
        <f t="shared" si="434"/>
        <v/>
      </c>
      <c r="O538" s="7"/>
      <c r="P538" s="24"/>
      <c r="Q538" s="13"/>
      <c r="T538" s="121" t="str">
        <f t="shared" si="435"/>
        <v/>
      </c>
      <c r="U538" s="118">
        <f t="shared" si="436"/>
        <v>0</v>
      </c>
      <c r="V538" s="117">
        <f t="shared" si="437"/>
        <v>0</v>
      </c>
      <c r="W538" s="117">
        <f t="shared" si="438"/>
        <v>2</v>
      </c>
      <c r="X538" s="117">
        <f t="shared" si="439"/>
        <v>-3</v>
      </c>
      <c r="Y538" s="117">
        <f t="shared" si="440"/>
        <v>0</v>
      </c>
      <c r="Z538" s="117">
        <f t="shared" si="441"/>
        <v>0</v>
      </c>
      <c r="AA538" s="117">
        <f t="shared" si="442"/>
        <v>0</v>
      </c>
      <c r="AC538" s="121" t="str">
        <f t="shared" si="443"/>
        <v/>
      </c>
      <c r="AD538" s="118">
        <f t="shared" si="444"/>
        <v>0</v>
      </c>
      <c r="AE538" s="117">
        <f t="shared" si="445"/>
        <v>0</v>
      </c>
      <c r="AF538" s="117">
        <f t="shared" si="446"/>
        <v>2</v>
      </c>
      <c r="AG538" s="117">
        <f t="shared" si="447"/>
        <v>-2</v>
      </c>
      <c r="AH538" s="117">
        <f t="shared" si="448"/>
        <v>0</v>
      </c>
      <c r="AI538" s="117">
        <f t="shared" si="449"/>
        <v>0</v>
      </c>
      <c r="AJ538" s="117">
        <f t="shared" si="450"/>
        <v>0</v>
      </c>
    </row>
    <row r="539" spans="2:36" ht="16.5" customHeight="1">
      <c r="B539" s="12"/>
      <c r="C539" s="12"/>
      <c r="D539" s="8"/>
      <c r="E539" s="9" t="s">
        <v>174</v>
      </c>
      <c r="F539" s="5">
        <v>0</v>
      </c>
      <c r="G539" s="6">
        <v>2</v>
      </c>
      <c r="H539" s="7" t="s">
        <v>224</v>
      </c>
      <c r="I539" s="10"/>
      <c r="J539" s="8"/>
      <c r="K539" s="9" t="s">
        <v>200</v>
      </c>
      <c r="L539" s="5">
        <v>0</v>
      </c>
      <c r="M539" s="6">
        <v>2</v>
      </c>
      <c r="N539" s="7" t="str">
        <f t="shared" si="434"/>
        <v/>
      </c>
      <c r="O539" s="10"/>
      <c r="P539" s="24"/>
      <c r="Q539" s="13"/>
      <c r="T539" s="121" t="str">
        <f t="shared" si="435"/>
        <v/>
      </c>
      <c r="U539" s="118">
        <f t="shared" si="436"/>
        <v>0</v>
      </c>
      <c r="V539" s="117">
        <f t="shared" si="437"/>
        <v>0</v>
      </c>
      <c r="W539" s="117">
        <f t="shared" si="438"/>
        <v>2</v>
      </c>
      <c r="X539" s="117">
        <f t="shared" si="439"/>
        <v>-2</v>
      </c>
      <c r="Y539" s="117">
        <f t="shared" si="440"/>
        <v>0</v>
      </c>
      <c r="Z539" s="117">
        <f t="shared" si="441"/>
        <v>0</v>
      </c>
      <c r="AA539" s="117">
        <f t="shared" si="442"/>
        <v>0</v>
      </c>
      <c r="AC539" s="121" t="str">
        <f t="shared" si="443"/>
        <v/>
      </c>
      <c r="AD539" s="118">
        <f t="shared" si="444"/>
        <v>0</v>
      </c>
      <c r="AE539" s="117">
        <f t="shared" si="445"/>
        <v>0</v>
      </c>
      <c r="AF539" s="117">
        <f t="shared" si="446"/>
        <v>2</v>
      </c>
      <c r="AG539" s="117">
        <f t="shared" si="447"/>
        <v>-2</v>
      </c>
      <c r="AH539" s="117">
        <f t="shared" si="448"/>
        <v>0</v>
      </c>
      <c r="AI539" s="117">
        <f t="shared" si="449"/>
        <v>0</v>
      </c>
      <c r="AJ539" s="117">
        <f t="shared" si="450"/>
        <v>0</v>
      </c>
    </row>
    <row r="540" spans="2:36" ht="16.5" customHeight="1">
      <c r="B540" s="12"/>
      <c r="C540" s="12"/>
      <c r="D540" s="4"/>
      <c r="E540" s="4" t="s">
        <v>175</v>
      </c>
      <c r="F540" s="5">
        <v>0</v>
      </c>
      <c r="G540" s="6">
        <v>5</v>
      </c>
      <c r="H540" s="7" t="s">
        <v>224</v>
      </c>
      <c r="I540" s="7"/>
      <c r="J540" s="4"/>
      <c r="K540" s="4" t="s">
        <v>201</v>
      </c>
      <c r="L540" s="5">
        <v>0</v>
      </c>
      <c r="M540" s="6">
        <v>4</v>
      </c>
      <c r="N540" s="7" t="str">
        <f t="shared" si="434"/>
        <v/>
      </c>
      <c r="O540" s="7"/>
      <c r="P540" s="24"/>
      <c r="Q540" s="13"/>
      <c r="T540" s="121" t="str">
        <f t="shared" si="435"/>
        <v/>
      </c>
      <c r="U540" s="118">
        <f t="shared" si="436"/>
        <v>0</v>
      </c>
      <c r="V540" s="117">
        <f t="shared" si="437"/>
        <v>0</v>
      </c>
      <c r="W540" s="117">
        <f t="shared" si="438"/>
        <v>2</v>
      </c>
      <c r="X540" s="117">
        <f t="shared" si="439"/>
        <v>-5</v>
      </c>
      <c r="Y540" s="117">
        <f t="shared" si="440"/>
        <v>0</v>
      </c>
      <c r="Z540" s="117">
        <f t="shared" si="441"/>
        <v>0</v>
      </c>
      <c r="AA540" s="117">
        <f t="shared" si="442"/>
        <v>0</v>
      </c>
      <c r="AC540" s="121" t="str">
        <f t="shared" si="443"/>
        <v/>
      </c>
      <c r="AD540" s="118">
        <f t="shared" si="444"/>
        <v>0</v>
      </c>
      <c r="AE540" s="117">
        <f t="shared" si="445"/>
        <v>0</v>
      </c>
      <c r="AF540" s="117">
        <f t="shared" si="446"/>
        <v>2</v>
      </c>
      <c r="AG540" s="117">
        <f t="shared" si="447"/>
        <v>-4</v>
      </c>
      <c r="AH540" s="117">
        <f t="shared" si="448"/>
        <v>0</v>
      </c>
      <c r="AI540" s="117">
        <f t="shared" si="449"/>
        <v>0</v>
      </c>
      <c r="AJ540" s="117">
        <f t="shared" si="450"/>
        <v>0</v>
      </c>
    </row>
    <row r="541" spans="2:36" ht="16.5" customHeight="1">
      <c r="B541" s="14"/>
      <c r="C541" s="14" t="s">
        <v>8</v>
      </c>
      <c r="D541" s="8"/>
      <c r="E541" s="9" t="s">
        <v>33</v>
      </c>
      <c r="F541" s="5">
        <v>1</v>
      </c>
      <c r="G541" s="6">
        <v>3</v>
      </c>
      <c r="H541" s="7" t="s">
        <v>224</v>
      </c>
      <c r="I541" s="10"/>
      <c r="J541" s="8"/>
      <c r="K541" s="9" t="s">
        <v>225</v>
      </c>
      <c r="L541" s="5">
        <v>0</v>
      </c>
      <c r="M541" s="6">
        <v>2</v>
      </c>
      <c r="N541" s="7" t="str">
        <f t="shared" si="434"/>
        <v/>
      </c>
      <c r="O541" s="10"/>
      <c r="P541" s="31" t="s">
        <v>16</v>
      </c>
      <c r="Q541" s="30"/>
      <c r="T541" s="121" t="str">
        <f t="shared" si="435"/>
        <v/>
      </c>
      <c r="U541" s="118">
        <f t="shared" si="436"/>
        <v>0</v>
      </c>
      <c r="V541" s="117">
        <f t="shared" si="437"/>
        <v>0</v>
      </c>
      <c r="W541" s="117">
        <f t="shared" si="438"/>
        <v>2</v>
      </c>
      <c r="X541" s="117">
        <f t="shared" si="439"/>
        <v>-2</v>
      </c>
      <c r="Y541" s="117">
        <f t="shared" si="440"/>
        <v>0</v>
      </c>
      <c r="Z541" s="117">
        <f t="shared" si="441"/>
        <v>0</v>
      </c>
      <c r="AA541" s="117">
        <f t="shared" si="442"/>
        <v>0</v>
      </c>
      <c r="AC541" s="121" t="str">
        <f t="shared" si="443"/>
        <v/>
      </c>
      <c r="AD541" s="118">
        <f t="shared" si="444"/>
        <v>0</v>
      </c>
      <c r="AE541" s="117">
        <f t="shared" si="445"/>
        <v>0</v>
      </c>
      <c r="AF541" s="117">
        <f t="shared" si="446"/>
        <v>2</v>
      </c>
      <c r="AG541" s="117">
        <f t="shared" si="447"/>
        <v>-2</v>
      </c>
      <c r="AH541" s="117">
        <f t="shared" si="448"/>
        <v>0</v>
      </c>
      <c r="AI541" s="117">
        <f t="shared" si="449"/>
        <v>0</v>
      </c>
      <c r="AJ541" s="117">
        <f t="shared" si="450"/>
        <v>0</v>
      </c>
    </row>
    <row r="542" spans="2:36" ht="16.5" customHeight="1">
      <c r="B542" s="14"/>
      <c r="C542" s="14"/>
      <c r="D542" s="4"/>
      <c r="E542" s="4" t="s">
        <v>176</v>
      </c>
      <c r="F542" s="5">
        <v>0</v>
      </c>
      <c r="G542" s="6">
        <v>3</v>
      </c>
      <c r="H542" s="7" t="s">
        <v>224</v>
      </c>
      <c r="I542" s="7"/>
      <c r="J542" s="4"/>
      <c r="K542" s="4" t="s">
        <v>203</v>
      </c>
      <c r="L542" s="5">
        <v>0</v>
      </c>
      <c r="M542" s="6">
        <v>3</v>
      </c>
      <c r="N542" s="7" t="str">
        <f t="shared" si="434"/>
        <v/>
      </c>
      <c r="O542" s="7"/>
      <c r="P542" s="31"/>
      <c r="Q542" s="30"/>
      <c r="T542" s="121" t="str">
        <f t="shared" si="435"/>
        <v/>
      </c>
      <c r="U542" s="118">
        <f t="shared" si="436"/>
        <v>0</v>
      </c>
      <c r="V542" s="117">
        <f t="shared" si="437"/>
        <v>0</v>
      </c>
      <c r="W542" s="117">
        <f t="shared" si="438"/>
        <v>2</v>
      </c>
      <c r="X542" s="117">
        <f t="shared" si="439"/>
        <v>-3</v>
      </c>
      <c r="Y542" s="117">
        <f t="shared" si="440"/>
        <v>0</v>
      </c>
      <c r="Z542" s="117">
        <f t="shared" si="441"/>
        <v>0</v>
      </c>
      <c r="AA542" s="117">
        <f t="shared" si="442"/>
        <v>0</v>
      </c>
      <c r="AC542" s="121" t="str">
        <f t="shared" si="443"/>
        <v/>
      </c>
      <c r="AD542" s="118">
        <f t="shared" si="444"/>
        <v>0</v>
      </c>
      <c r="AE542" s="117">
        <f t="shared" si="445"/>
        <v>0</v>
      </c>
      <c r="AF542" s="117">
        <f t="shared" si="446"/>
        <v>2</v>
      </c>
      <c r="AG542" s="117">
        <f t="shared" si="447"/>
        <v>-3</v>
      </c>
      <c r="AH542" s="117">
        <f t="shared" si="448"/>
        <v>0</v>
      </c>
      <c r="AI542" s="117">
        <f t="shared" si="449"/>
        <v>0</v>
      </c>
      <c r="AJ542" s="117">
        <f t="shared" si="450"/>
        <v>0</v>
      </c>
    </row>
    <row r="543" spans="2:36" ht="16.5" customHeight="1">
      <c r="B543" s="14"/>
      <c r="C543" s="14"/>
      <c r="D543" s="8"/>
      <c r="E543" s="9" t="s">
        <v>177</v>
      </c>
      <c r="F543" s="5">
        <v>1</v>
      </c>
      <c r="G543" s="6">
        <v>2</v>
      </c>
      <c r="H543" s="7" t="s">
        <v>224</v>
      </c>
      <c r="I543" s="10"/>
      <c r="J543" s="8"/>
      <c r="K543" s="9" t="s">
        <v>204</v>
      </c>
      <c r="L543" s="5">
        <v>0</v>
      </c>
      <c r="M543" s="6">
        <v>3</v>
      </c>
      <c r="N543" s="7" t="str">
        <f t="shared" si="434"/>
        <v/>
      </c>
      <c r="O543" s="10"/>
      <c r="P543" s="31"/>
      <c r="Q543" s="30"/>
      <c r="T543" s="121" t="str">
        <f t="shared" si="435"/>
        <v/>
      </c>
      <c r="U543" s="118">
        <f t="shared" si="436"/>
        <v>0</v>
      </c>
      <c r="V543" s="117">
        <f t="shared" si="437"/>
        <v>0</v>
      </c>
      <c r="W543" s="117">
        <f t="shared" si="438"/>
        <v>2</v>
      </c>
      <c r="X543" s="117">
        <f t="shared" si="439"/>
        <v>-1</v>
      </c>
      <c r="Y543" s="117">
        <f t="shared" si="440"/>
        <v>0</v>
      </c>
      <c r="Z543" s="117">
        <f t="shared" si="441"/>
        <v>0</v>
      </c>
      <c r="AA543" s="117">
        <f t="shared" si="442"/>
        <v>0</v>
      </c>
      <c r="AC543" s="121" t="str">
        <f t="shared" si="443"/>
        <v/>
      </c>
      <c r="AD543" s="118">
        <f t="shared" si="444"/>
        <v>0</v>
      </c>
      <c r="AE543" s="117">
        <f t="shared" si="445"/>
        <v>0</v>
      </c>
      <c r="AF543" s="117">
        <f t="shared" si="446"/>
        <v>2</v>
      </c>
      <c r="AG543" s="117">
        <f t="shared" si="447"/>
        <v>-3</v>
      </c>
      <c r="AH543" s="117">
        <f t="shared" si="448"/>
        <v>0</v>
      </c>
      <c r="AI543" s="117">
        <f t="shared" si="449"/>
        <v>0</v>
      </c>
      <c r="AJ543" s="117">
        <f t="shared" si="450"/>
        <v>0</v>
      </c>
    </row>
    <row r="544" spans="2:36" ht="16.5" customHeight="1">
      <c r="B544" s="14"/>
      <c r="C544" s="14"/>
      <c r="D544" s="4"/>
      <c r="E544" s="4" t="s">
        <v>178</v>
      </c>
      <c r="F544" s="5">
        <v>0</v>
      </c>
      <c r="G544" s="6">
        <v>2</v>
      </c>
      <c r="H544" s="7" t="s">
        <v>224</v>
      </c>
      <c r="I544" s="7"/>
      <c r="J544" s="4"/>
      <c r="K544" s="4" t="s">
        <v>223</v>
      </c>
      <c r="L544" s="5">
        <v>0</v>
      </c>
      <c r="M544" s="6">
        <v>2</v>
      </c>
      <c r="N544" s="7" t="str">
        <f t="shared" si="434"/>
        <v/>
      </c>
      <c r="O544" s="7"/>
      <c r="P544" s="31"/>
      <c r="Q544" s="30"/>
      <c r="T544" s="121" t="str">
        <f t="shared" si="435"/>
        <v/>
      </c>
      <c r="U544" s="118">
        <f t="shared" si="436"/>
        <v>0</v>
      </c>
      <c r="V544" s="117">
        <f t="shared" si="437"/>
        <v>0</v>
      </c>
      <c r="W544" s="117">
        <f t="shared" si="438"/>
        <v>2</v>
      </c>
      <c r="X544" s="117">
        <f t="shared" si="439"/>
        <v>-2</v>
      </c>
      <c r="Y544" s="117">
        <f t="shared" si="440"/>
        <v>0</v>
      </c>
      <c r="Z544" s="117">
        <f t="shared" si="441"/>
        <v>0</v>
      </c>
      <c r="AA544" s="117">
        <f t="shared" si="442"/>
        <v>0</v>
      </c>
      <c r="AC544" s="121" t="str">
        <f t="shared" si="443"/>
        <v/>
      </c>
      <c r="AD544" s="118">
        <f t="shared" si="444"/>
        <v>0</v>
      </c>
      <c r="AE544" s="117">
        <f t="shared" si="445"/>
        <v>0</v>
      </c>
      <c r="AF544" s="117">
        <f t="shared" si="446"/>
        <v>2</v>
      </c>
      <c r="AG544" s="117">
        <f t="shared" si="447"/>
        <v>-2</v>
      </c>
      <c r="AH544" s="117">
        <f t="shared" si="448"/>
        <v>0</v>
      </c>
      <c r="AI544" s="117">
        <f t="shared" si="449"/>
        <v>0</v>
      </c>
      <c r="AJ544" s="117">
        <f t="shared" si="450"/>
        <v>0</v>
      </c>
    </row>
    <row r="545" spans="2:36" ht="16.5" customHeight="1">
      <c r="B545" s="14"/>
      <c r="C545" s="14"/>
      <c r="D545" s="8"/>
      <c r="E545" s="9" t="s">
        <v>179</v>
      </c>
      <c r="F545" s="5">
        <v>0</v>
      </c>
      <c r="G545" s="6">
        <v>2</v>
      </c>
      <c r="H545" s="7" t="s">
        <v>224</v>
      </c>
      <c r="I545" s="10"/>
      <c r="J545" s="8"/>
      <c r="K545" s="9" t="s">
        <v>205</v>
      </c>
      <c r="L545" s="5">
        <v>0</v>
      </c>
      <c r="M545" s="6">
        <v>3</v>
      </c>
      <c r="N545" s="7" t="str">
        <f t="shared" si="434"/>
        <v/>
      </c>
      <c r="O545" s="10"/>
      <c r="P545" s="31"/>
      <c r="Q545" s="30"/>
      <c r="T545" s="121" t="str">
        <f t="shared" si="435"/>
        <v/>
      </c>
      <c r="U545" s="118">
        <f t="shared" si="436"/>
        <v>0</v>
      </c>
      <c r="V545" s="117">
        <f t="shared" si="437"/>
        <v>0</v>
      </c>
      <c r="W545" s="117">
        <f t="shared" si="438"/>
        <v>2</v>
      </c>
      <c r="X545" s="117">
        <f t="shared" si="439"/>
        <v>-2</v>
      </c>
      <c r="Y545" s="117">
        <f t="shared" si="440"/>
        <v>0</v>
      </c>
      <c r="Z545" s="117">
        <f t="shared" si="441"/>
        <v>0</v>
      </c>
      <c r="AA545" s="117">
        <f t="shared" si="442"/>
        <v>0</v>
      </c>
      <c r="AC545" s="121" t="str">
        <f t="shared" si="443"/>
        <v/>
      </c>
      <c r="AD545" s="118">
        <f t="shared" si="444"/>
        <v>0</v>
      </c>
      <c r="AE545" s="117">
        <f t="shared" si="445"/>
        <v>0</v>
      </c>
      <c r="AF545" s="117">
        <f t="shared" si="446"/>
        <v>2</v>
      </c>
      <c r="AG545" s="117">
        <f t="shared" si="447"/>
        <v>-3</v>
      </c>
      <c r="AH545" s="117">
        <f t="shared" si="448"/>
        <v>0</v>
      </c>
      <c r="AI545" s="117">
        <f t="shared" si="449"/>
        <v>0</v>
      </c>
      <c r="AJ545" s="117">
        <f t="shared" si="450"/>
        <v>0</v>
      </c>
    </row>
    <row r="546" spans="2:36" ht="16.5" customHeight="1">
      <c r="B546" s="14"/>
      <c r="C546" s="14"/>
      <c r="D546" s="4"/>
      <c r="E546" s="4" t="s">
        <v>180</v>
      </c>
      <c r="F546" s="5">
        <v>0</v>
      </c>
      <c r="G546" s="6">
        <v>2</v>
      </c>
      <c r="H546" s="7" t="s">
        <v>224</v>
      </c>
      <c r="I546" s="7"/>
      <c r="J546" s="4"/>
      <c r="K546" s="4" t="s">
        <v>206</v>
      </c>
      <c r="L546" s="5">
        <v>1</v>
      </c>
      <c r="M546" s="6">
        <v>2</v>
      </c>
      <c r="N546" s="7" t="str">
        <f t="shared" si="434"/>
        <v/>
      </c>
      <c r="O546" s="7"/>
      <c r="P546" s="31"/>
      <c r="Q546" s="30"/>
      <c r="T546" s="121" t="str">
        <f t="shared" si="435"/>
        <v/>
      </c>
      <c r="U546" s="118">
        <f t="shared" si="436"/>
        <v>0</v>
      </c>
      <c r="V546" s="117">
        <f t="shared" si="437"/>
        <v>0</v>
      </c>
      <c r="W546" s="117">
        <f t="shared" si="438"/>
        <v>2</v>
      </c>
      <c r="X546" s="117">
        <f t="shared" si="439"/>
        <v>-2</v>
      </c>
      <c r="Y546" s="117">
        <f t="shared" si="440"/>
        <v>0</v>
      </c>
      <c r="Z546" s="117">
        <f t="shared" si="441"/>
        <v>0</v>
      </c>
      <c r="AA546" s="117">
        <f t="shared" si="442"/>
        <v>0</v>
      </c>
      <c r="AC546" s="121" t="str">
        <f t="shared" si="443"/>
        <v/>
      </c>
      <c r="AD546" s="118">
        <f t="shared" si="444"/>
        <v>0</v>
      </c>
      <c r="AE546" s="117">
        <f t="shared" si="445"/>
        <v>0</v>
      </c>
      <c r="AF546" s="117">
        <f t="shared" si="446"/>
        <v>2</v>
      </c>
      <c r="AG546" s="117">
        <f t="shared" si="447"/>
        <v>-1</v>
      </c>
      <c r="AH546" s="117">
        <f t="shared" si="448"/>
        <v>0</v>
      </c>
      <c r="AI546" s="117">
        <f t="shared" si="449"/>
        <v>0</v>
      </c>
      <c r="AJ546" s="117">
        <f t="shared" si="450"/>
        <v>0</v>
      </c>
    </row>
    <row r="547" spans="2:36" ht="16.5" customHeight="1">
      <c r="B547" s="14"/>
      <c r="C547" s="14"/>
      <c r="D547" s="8"/>
      <c r="E547" s="9" t="s">
        <v>181</v>
      </c>
      <c r="F547" s="5">
        <v>0</v>
      </c>
      <c r="G547" s="6">
        <v>2</v>
      </c>
      <c r="H547" s="7" t="s">
        <v>224</v>
      </c>
      <c r="I547" s="10"/>
      <c r="J547" s="8"/>
      <c r="K547" s="9" t="s">
        <v>207</v>
      </c>
      <c r="L547" s="5">
        <v>0</v>
      </c>
      <c r="M547" s="6">
        <v>0</v>
      </c>
      <c r="N547" s="7" t="str">
        <f t="shared" si="434"/>
        <v/>
      </c>
      <c r="O547" s="10"/>
      <c r="P547" s="31"/>
      <c r="Q547" s="30"/>
      <c r="T547" s="121" t="str">
        <f t="shared" si="435"/>
        <v/>
      </c>
      <c r="U547" s="118">
        <f t="shared" si="436"/>
        <v>0</v>
      </c>
      <c r="V547" s="117">
        <f t="shared" si="437"/>
        <v>0</v>
      </c>
      <c r="W547" s="117">
        <f t="shared" si="438"/>
        <v>2</v>
      </c>
      <c r="X547" s="117">
        <f t="shared" si="439"/>
        <v>-2</v>
      </c>
      <c r="Y547" s="117">
        <f t="shared" si="440"/>
        <v>0</v>
      </c>
      <c r="Z547" s="117">
        <f t="shared" si="441"/>
        <v>0</v>
      </c>
      <c r="AA547" s="117">
        <f t="shared" si="442"/>
        <v>0</v>
      </c>
      <c r="AC547" s="121" t="str">
        <f t="shared" si="443"/>
        <v/>
      </c>
      <c r="AD547" s="118">
        <f t="shared" si="444"/>
        <v>0</v>
      </c>
      <c r="AE547" s="117">
        <f t="shared" si="445"/>
        <v>0</v>
      </c>
      <c r="AF547" s="117">
        <f t="shared" si="446"/>
        <v>0</v>
      </c>
      <c r="AG547" s="117">
        <f t="shared" si="447"/>
        <v>0</v>
      </c>
      <c r="AH547" s="117">
        <f t="shared" si="448"/>
        <v>3</v>
      </c>
      <c r="AI547" s="117">
        <f t="shared" si="449"/>
        <v>1</v>
      </c>
      <c r="AJ547" s="117">
        <f t="shared" si="450"/>
        <v>1</v>
      </c>
    </row>
    <row r="548" spans="2:36" ht="16.5" customHeight="1">
      <c r="B548" s="11"/>
      <c r="C548" s="11" t="s">
        <v>9</v>
      </c>
      <c r="D548" s="4"/>
      <c r="E548" s="4" t="s">
        <v>182</v>
      </c>
      <c r="F548" s="5">
        <v>0</v>
      </c>
      <c r="G548" s="6">
        <v>2</v>
      </c>
      <c r="H548" s="7" t="s">
        <v>224</v>
      </c>
      <c r="I548" s="7"/>
      <c r="J548" s="4"/>
      <c r="K548" s="4" t="s">
        <v>208</v>
      </c>
      <c r="L548" s="5">
        <v>0</v>
      </c>
      <c r="M548" s="6">
        <v>3</v>
      </c>
      <c r="N548" s="7" t="str">
        <f t="shared" si="434"/>
        <v/>
      </c>
      <c r="O548" s="7"/>
      <c r="P548" s="36" t="s">
        <v>25</v>
      </c>
      <c r="Q548" s="35"/>
      <c r="T548" s="121" t="str">
        <f t="shared" si="435"/>
        <v/>
      </c>
      <c r="U548" s="118">
        <f t="shared" si="436"/>
        <v>0</v>
      </c>
      <c r="V548" s="117">
        <f t="shared" si="437"/>
        <v>0</v>
      </c>
      <c r="W548" s="117">
        <f t="shared" si="438"/>
        <v>2</v>
      </c>
      <c r="X548" s="117">
        <f t="shared" si="439"/>
        <v>-2</v>
      </c>
      <c r="Y548" s="117">
        <f t="shared" si="440"/>
        <v>0</v>
      </c>
      <c r="Z548" s="117">
        <f t="shared" si="441"/>
        <v>0</v>
      </c>
      <c r="AA548" s="117">
        <f t="shared" si="442"/>
        <v>0</v>
      </c>
      <c r="AC548" s="121" t="str">
        <f t="shared" si="443"/>
        <v/>
      </c>
      <c r="AD548" s="118">
        <f t="shared" si="444"/>
        <v>0</v>
      </c>
      <c r="AE548" s="117">
        <f t="shared" si="445"/>
        <v>0</v>
      </c>
      <c r="AF548" s="117">
        <f t="shared" si="446"/>
        <v>2</v>
      </c>
      <c r="AG548" s="117">
        <f t="shared" si="447"/>
        <v>-3</v>
      </c>
      <c r="AH548" s="117">
        <f t="shared" si="448"/>
        <v>0</v>
      </c>
      <c r="AI548" s="117">
        <f t="shared" si="449"/>
        <v>0</v>
      </c>
      <c r="AJ548" s="117">
        <f t="shared" si="450"/>
        <v>0</v>
      </c>
    </row>
    <row r="549" spans="2:36" ht="16.5" customHeight="1">
      <c r="B549" s="11"/>
      <c r="C549" s="11"/>
      <c r="D549" s="8"/>
      <c r="E549" s="9" t="s">
        <v>183</v>
      </c>
      <c r="F549" s="5">
        <v>1</v>
      </c>
      <c r="G549" s="6">
        <v>2</v>
      </c>
      <c r="H549" s="7" t="s">
        <v>224</v>
      </c>
      <c r="I549" s="10"/>
      <c r="J549" s="8"/>
      <c r="K549" s="9" t="s">
        <v>209</v>
      </c>
      <c r="L549" s="5">
        <v>1</v>
      </c>
      <c r="M549" s="6">
        <v>1</v>
      </c>
      <c r="N549" s="7" t="str">
        <f t="shared" si="434"/>
        <v/>
      </c>
      <c r="O549" s="10"/>
      <c r="P549" s="36"/>
      <c r="Q549" s="35"/>
      <c r="T549" s="121" t="str">
        <f t="shared" si="435"/>
        <v/>
      </c>
      <c r="U549" s="118">
        <f t="shared" si="436"/>
        <v>0</v>
      </c>
      <c r="V549" s="117">
        <f t="shared" si="437"/>
        <v>0</v>
      </c>
      <c r="W549" s="117">
        <f t="shared" si="438"/>
        <v>2</v>
      </c>
      <c r="X549" s="117">
        <f t="shared" si="439"/>
        <v>-1</v>
      </c>
      <c r="Y549" s="117">
        <f t="shared" si="440"/>
        <v>0</v>
      </c>
      <c r="Z549" s="117">
        <f t="shared" si="441"/>
        <v>0</v>
      </c>
      <c r="AA549" s="117">
        <f t="shared" si="442"/>
        <v>0</v>
      </c>
      <c r="AC549" s="121" t="str">
        <f t="shared" si="443"/>
        <v/>
      </c>
      <c r="AD549" s="118">
        <f t="shared" si="444"/>
        <v>0</v>
      </c>
      <c r="AE549" s="117">
        <f t="shared" si="445"/>
        <v>0</v>
      </c>
      <c r="AF549" s="117">
        <f t="shared" si="446"/>
        <v>0</v>
      </c>
      <c r="AG549" s="117">
        <f t="shared" si="447"/>
        <v>0</v>
      </c>
      <c r="AH549" s="117">
        <f t="shared" si="448"/>
        <v>3</v>
      </c>
      <c r="AI549" s="117">
        <f t="shared" si="449"/>
        <v>1</v>
      </c>
      <c r="AJ549" s="117">
        <f t="shared" si="450"/>
        <v>0</v>
      </c>
    </row>
    <row r="550" spans="2:36" ht="16.5" customHeight="1">
      <c r="B550" s="11"/>
      <c r="C550" s="11"/>
      <c r="D550" s="4"/>
      <c r="E550" s="4" t="s">
        <v>184</v>
      </c>
      <c r="F550" s="5">
        <v>1</v>
      </c>
      <c r="G550" s="6">
        <v>2</v>
      </c>
      <c r="H550" s="7" t="s">
        <v>224</v>
      </c>
      <c r="I550" s="7"/>
      <c r="J550" s="4"/>
      <c r="K550" s="4" t="s">
        <v>210</v>
      </c>
      <c r="L550" s="5">
        <v>0</v>
      </c>
      <c r="M550" s="6">
        <v>2</v>
      </c>
      <c r="N550" s="7" t="str">
        <f t="shared" si="434"/>
        <v/>
      </c>
      <c r="O550" s="7"/>
      <c r="P550" s="36"/>
      <c r="Q550" s="35"/>
      <c r="T550" s="121" t="str">
        <f t="shared" si="435"/>
        <v/>
      </c>
      <c r="U550" s="118">
        <f t="shared" si="436"/>
        <v>0</v>
      </c>
      <c r="V550" s="117">
        <f t="shared" si="437"/>
        <v>0</v>
      </c>
      <c r="W550" s="117">
        <f t="shared" si="438"/>
        <v>2</v>
      </c>
      <c r="X550" s="117">
        <f t="shared" si="439"/>
        <v>-1</v>
      </c>
      <c r="Y550" s="117">
        <f t="shared" si="440"/>
        <v>0</v>
      </c>
      <c r="Z550" s="117">
        <f t="shared" si="441"/>
        <v>0</v>
      </c>
      <c r="AA550" s="117">
        <f t="shared" si="442"/>
        <v>0</v>
      </c>
      <c r="AC550" s="121" t="str">
        <f t="shared" si="443"/>
        <v/>
      </c>
      <c r="AD550" s="118">
        <f t="shared" si="444"/>
        <v>0</v>
      </c>
      <c r="AE550" s="117">
        <f t="shared" si="445"/>
        <v>0</v>
      </c>
      <c r="AF550" s="117">
        <f t="shared" si="446"/>
        <v>2</v>
      </c>
      <c r="AG550" s="117">
        <f t="shared" si="447"/>
        <v>-2</v>
      </c>
      <c r="AH550" s="117">
        <f t="shared" si="448"/>
        <v>0</v>
      </c>
      <c r="AI550" s="117">
        <f t="shared" si="449"/>
        <v>0</v>
      </c>
      <c r="AJ550" s="117">
        <f t="shared" si="450"/>
        <v>0</v>
      </c>
    </row>
    <row r="551" spans="2:36" ht="16.5" customHeight="1">
      <c r="B551" s="11"/>
      <c r="C551" s="11"/>
      <c r="D551" s="8"/>
      <c r="E551" s="9" t="s">
        <v>222</v>
      </c>
      <c r="F551" s="5">
        <v>0</v>
      </c>
      <c r="G551" s="6">
        <v>2</v>
      </c>
      <c r="H551" s="7" t="s">
        <v>224</v>
      </c>
      <c r="I551" s="10"/>
      <c r="J551" s="8"/>
      <c r="K551" s="9" t="s">
        <v>211</v>
      </c>
      <c r="L551" s="5">
        <v>1</v>
      </c>
      <c r="M551" s="6">
        <v>2</v>
      </c>
      <c r="N551" s="7" t="str">
        <f t="shared" si="434"/>
        <v/>
      </c>
      <c r="O551" s="10"/>
      <c r="P551" s="36"/>
      <c r="Q551" s="35"/>
      <c r="T551" s="121" t="str">
        <f t="shared" si="435"/>
        <v/>
      </c>
      <c r="U551" s="118">
        <f t="shared" si="436"/>
        <v>0</v>
      </c>
      <c r="V551" s="117">
        <f t="shared" si="437"/>
        <v>0</v>
      </c>
      <c r="W551" s="117">
        <f t="shared" si="438"/>
        <v>2</v>
      </c>
      <c r="X551" s="117">
        <f t="shared" si="439"/>
        <v>-2</v>
      </c>
      <c r="Y551" s="117">
        <f t="shared" si="440"/>
        <v>0</v>
      </c>
      <c r="Z551" s="117">
        <f t="shared" si="441"/>
        <v>0</v>
      </c>
      <c r="AA551" s="117">
        <f t="shared" si="442"/>
        <v>0</v>
      </c>
      <c r="AC551" s="121" t="str">
        <f t="shared" si="443"/>
        <v/>
      </c>
      <c r="AD551" s="118">
        <f t="shared" si="444"/>
        <v>0</v>
      </c>
      <c r="AE551" s="117">
        <f t="shared" si="445"/>
        <v>0</v>
      </c>
      <c r="AF551" s="117">
        <f t="shared" si="446"/>
        <v>2</v>
      </c>
      <c r="AG551" s="117">
        <f t="shared" si="447"/>
        <v>-1</v>
      </c>
      <c r="AH551" s="117">
        <f t="shared" si="448"/>
        <v>0</v>
      </c>
      <c r="AI551" s="117">
        <f t="shared" si="449"/>
        <v>0</v>
      </c>
      <c r="AJ551" s="117">
        <f t="shared" si="450"/>
        <v>0</v>
      </c>
    </row>
    <row r="552" spans="2:36" ht="16.5" customHeight="1">
      <c r="B552" s="11"/>
      <c r="C552" s="11"/>
      <c r="D552" s="4"/>
      <c r="E552" s="4" t="s">
        <v>185</v>
      </c>
      <c r="F552" s="5">
        <v>0</v>
      </c>
      <c r="G552" s="6">
        <v>3</v>
      </c>
      <c r="H552" s="7" t="s">
        <v>224</v>
      </c>
      <c r="I552" s="7"/>
      <c r="J552" s="4"/>
      <c r="K552" s="4" t="s">
        <v>212</v>
      </c>
      <c r="L552" s="5">
        <v>0</v>
      </c>
      <c r="M552" s="6">
        <v>1</v>
      </c>
      <c r="N552" s="7" t="str">
        <f t="shared" si="434"/>
        <v/>
      </c>
      <c r="O552" s="7"/>
      <c r="P552" s="36"/>
      <c r="Q552" s="35"/>
      <c r="T552" s="121" t="str">
        <f t="shared" si="435"/>
        <v/>
      </c>
      <c r="U552" s="118">
        <f t="shared" si="436"/>
        <v>0</v>
      </c>
      <c r="V552" s="117">
        <f t="shared" si="437"/>
        <v>0</v>
      </c>
      <c r="W552" s="117">
        <f t="shared" si="438"/>
        <v>2</v>
      </c>
      <c r="X552" s="117">
        <f t="shared" si="439"/>
        <v>-3</v>
      </c>
      <c r="Y552" s="117">
        <f t="shared" si="440"/>
        <v>0</v>
      </c>
      <c r="Z552" s="117">
        <f t="shared" si="441"/>
        <v>0</v>
      </c>
      <c r="AA552" s="117">
        <f t="shared" si="442"/>
        <v>0</v>
      </c>
      <c r="AC552" s="121" t="str">
        <f t="shared" si="443"/>
        <v/>
      </c>
      <c r="AD552" s="118">
        <f t="shared" si="444"/>
        <v>0</v>
      </c>
      <c r="AE552" s="117">
        <f t="shared" si="445"/>
        <v>0</v>
      </c>
      <c r="AF552" s="117">
        <f t="shared" si="446"/>
        <v>2</v>
      </c>
      <c r="AG552" s="117">
        <f t="shared" si="447"/>
        <v>-1</v>
      </c>
      <c r="AH552" s="117">
        <f t="shared" si="448"/>
        <v>0</v>
      </c>
      <c r="AI552" s="117">
        <f t="shared" si="449"/>
        <v>0</v>
      </c>
      <c r="AJ552" s="117">
        <f t="shared" si="450"/>
        <v>0</v>
      </c>
    </row>
    <row r="553" spans="2:36" ht="16.5" customHeight="1">
      <c r="B553" s="11"/>
      <c r="C553" s="11"/>
      <c r="D553" s="8"/>
      <c r="E553" s="9" t="s">
        <v>186</v>
      </c>
      <c r="F553" s="5">
        <v>0</v>
      </c>
      <c r="G553" s="6">
        <v>2</v>
      </c>
      <c r="H553" s="7" t="s">
        <v>224</v>
      </c>
      <c r="I553" s="10"/>
      <c r="J553" s="8"/>
      <c r="K553" s="9" t="s">
        <v>213</v>
      </c>
      <c r="L553" s="5">
        <v>0</v>
      </c>
      <c r="M553" s="6">
        <v>3</v>
      </c>
      <c r="N553" s="7" t="str">
        <f t="shared" si="434"/>
        <v/>
      </c>
      <c r="O553" s="10"/>
      <c r="P553" s="36"/>
      <c r="Q553" s="35"/>
      <c r="T553" s="121" t="str">
        <f t="shared" si="435"/>
        <v/>
      </c>
      <c r="U553" s="118">
        <f t="shared" si="436"/>
        <v>0</v>
      </c>
      <c r="V553" s="117">
        <f t="shared" si="437"/>
        <v>0</v>
      </c>
      <c r="W553" s="117">
        <f t="shared" si="438"/>
        <v>2</v>
      </c>
      <c r="X553" s="117">
        <f t="shared" si="439"/>
        <v>-2</v>
      </c>
      <c r="Y553" s="117">
        <f t="shared" si="440"/>
        <v>0</v>
      </c>
      <c r="Z553" s="117">
        <f t="shared" si="441"/>
        <v>0</v>
      </c>
      <c r="AA553" s="117">
        <f t="shared" si="442"/>
        <v>0</v>
      </c>
      <c r="AC553" s="121" t="str">
        <f t="shared" si="443"/>
        <v/>
      </c>
      <c r="AD553" s="118">
        <f t="shared" si="444"/>
        <v>0</v>
      </c>
      <c r="AE553" s="117">
        <f t="shared" si="445"/>
        <v>0</v>
      </c>
      <c r="AF553" s="117">
        <f t="shared" si="446"/>
        <v>2</v>
      </c>
      <c r="AG553" s="117">
        <f t="shared" si="447"/>
        <v>-3</v>
      </c>
      <c r="AH553" s="117">
        <f t="shared" si="448"/>
        <v>0</v>
      </c>
      <c r="AI553" s="117">
        <f t="shared" si="449"/>
        <v>0</v>
      </c>
      <c r="AJ553" s="117">
        <f t="shared" si="450"/>
        <v>0</v>
      </c>
    </row>
    <row r="554" spans="2:36" ht="16.5" customHeight="1">
      <c r="B554" s="11"/>
      <c r="C554" s="11"/>
      <c r="D554" s="4"/>
      <c r="E554" s="4" t="s">
        <v>187</v>
      </c>
      <c r="F554" s="5">
        <v>0</v>
      </c>
      <c r="G554" s="6">
        <v>1</v>
      </c>
      <c r="H554" s="7" t="s">
        <v>224</v>
      </c>
      <c r="I554" s="7"/>
      <c r="J554" s="4"/>
      <c r="K554" s="4" t="s">
        <v>214</v>
      </c>
      <c r="L554" s="5">
        <v>1</v>
      </c>
      <c r="M554" s="6">
        <v>2</v>
      </c>
      <c r="N554" s="7" t="str">
        <f t="shared" si="434"/>
        <v/>
      </c>
      <c r="O554" s="7"/>
      <c r="P554" s="36"/>
      <c r="Q554" s="35"/>
      <c r="T554" s="121" t="str">
        <f t="shared" si="435"/>
        <v/>
      </c>
      <c r="U554" s="118">
        <f t="shared" si="436"/>
        <v>0</v>
      </c>
      <c r="V554" s="117">
        <f t="shared" si="437"/>
        <v>0</v>
      </c>
      <c r="W554" s="117">
        <f t="shared" si="438"/>
        <v>2</v>
      </c>
      <c r="X554" s="117">
        <f t="shared" si="439"/>
        <v>-1</v>
      </c>
      <c r="Y554" s="117">
        <f t="shared" si="440"/>
        <v>0</v>
      </c>
      <c r="Z554" s="117">
        <f t="shared" si="441"/>
        <v>0</v>
      </c>
      <c r="AA554" s="117">
        <f t="shared" si="442"/>
        <v>0</v>
      </c>
      <c r="AC554" s="121" t="str">
        <f t="shared" si="443"/>
        <v/>
      </c>
      <c r="AD554" s="118">
        <f t="shared" si="444"/>
        <v>0</v>
      </c>
      <c r="AE554" s="117">
        <f t="shared" si="445"/>
        <v>0</v>
      </c>
      <c r="AF554" s="117">
        <f t="shared" si="446"/>
        <v>2</v>
      </c>
      <c r="AG554" s="117">
        <f t="shared" si="447"/>
        <v>-1</v>
      </c>
      <c r="AH554" s="117">
        <f t="shared" si="448"/>
        <v>0</v>
      </c>
      <c r="AI554" s="117">
        <f t="shared" si="449"/>
        <v>0</v>
      </c>
      <c r="AJ554" s="117">
        <f t="shared" si="450"/>
        <v>0</v>
      </c>
    </row>
    <row r="555" spans="2:36" ht="16.5" customHeight="1">
      <c r="B555" s="15"/>
      <c r="C555" s="15" t="s">
        <v>10</v>
      </c>
      <c r="D555" s="8"/>
      <c r="E555" s="9" t="s">
        <v>188</v>
      </c>
      <c r="F555" s="5">
        <v>0</v>
      </c>
      <c r="G555" s="6">
        <v>2</v>
      </c>
      <c r="H555" s="7" t="s">
        <v>224</v>
      </c>
      <c r="I555" s="10"/>
      <c r="J555" s="8"/>
      <c r="K555" s="9" t="s">
        <v>215</v>
      </c>
      <c r="L555" s="5">
        <v>0</v>
      </c>
      <c r="M555" s="6">
        <v>2</v>
      </c>
      <c r="N555" s="7" t="str">
        <f t="shared" si="434"/>
        <v/>
      </c>
      <c r="O555" s="10"/>
      <c r="P555" s="39" t="s">
        <v>26</v>
      </c>
      <c r="Q555" s="38"/>
      <c r="T555" s="121" t="str">
        <f t="shared" si="435"/>
        <v/>
      </c>
      <c r="U555" s="118">
        <f t="shared" si="436"/>
        <v>0</v>
      </c>
      <c r="V555" s="117">
        <f t="shared" si="437"/>
        <v>0</v>
      </c>
      <c r="W555" s="117">
        <f t="shared" si="438"/>
        <v>2</v>
      </c>
      <c r="X555" s="117">
        <f t="shared" si="439"/>
        <v>-2</v>
      </c>
      <c r="Y555" s="117">
        <f t="shared" si="440"/>
        <v>0</v>
      </c>
      <c r="Z555" s="117">
        <f t="shared" si="441"/>
        <v>0</v>
      </c>
      <c r="AA555" s="117">
        <f t="shared" si="442"/>
        <v>0</v>
      </c>
      <c r="AC555" s="121" t="str">
        <f t="shared" si="443"/>
        <v/>
      </c>
      <c r="AD555" s="118">
        <f t="shared" si="444"/>
        <v>0</v>
      </c>
      <c r="AE555" s="117">
        <f t="shared" si="445"/>
        <v>0</v>
      </c>
      <c r="AF555" s="117">
        <f t="shared" si="446"/>
        <v>2</v>
      </c>
      <c r="AG555" s="117">
        <f t="shared" si="447"/>
        <v>-2</v>
      </c>
      <c r="AH555" s="117">
        <f t="shared" si="448"/>
        <v>0</v>
      </c>
      <c r="AI555" s="117">
        <f t="shared" si="449"/>
        <v>0</v>
      </c>
      <c r="AJ555" s="117">
        <f t="shared" si="450"/>
        <v>0</v>
      </c>
    </row>
    <row r="556" spans="2:36" ht="16.5" customHeight="1">
      <c r="B556" s="15"/>
      <c r="C556" s="15"/>
      <c r="D556" s="4"/>
      <c r="E556" s="4" t="s">
        <v>189</v>
      </c>
      <c r="F556" s="5">
        <v>0</v>
      </c>
      <c r="G556" s="6">
        <v>1</v>
      </c>
      <c r="H556" s="7" t="s">
        <v>224</v>
      </c>
      <c r="I556" s="7"/>
      <c r="J556" s="4"/>
      <c r="K556" s="4" t="s">
        <v>216</v>
      </c>
      <c r="L556" s="5">
        <v>0</v>
      </c>
      <c r="M556" s="6">
        <v>2</v>
      </c>
      <c r="N556" s="7" t="str">
        <f t="shared" si="434"/>
        <v/>
      </c>
      <c r="O556" s="7"/>
      <c r="P556" s="39"/>
      <c r="Q556" s="38"/>
      <c r="T556" s="121" t="str">
        <f t="shared" si="435"/>
        <v/>
      </c>
      <c r="U556" s="118">
        <f t="shared" si="436"/>
        <v>0</v>
      </c>
      <c r="V556" s="117">
        <f t="shared" si="437"/>
        <v>0</v>
      </c>
      <c r="W556" s="117">
        <f t="shared" si="438"/>
        <v>2</v>
      </c>
      <c r="X556" s="117">
        <f t="shared" si="439"/>
        <v>-1</v>
      </c>
      <c r="Y556" s="117">
        <f t="shared" si="440"/>
        <v>0</v>
      </c>
      <c r="Z556" s="117">
        <f t="shared" si="441"/>
        <v>0</v>
      </c>
      <c r="AA556" s="117">
        <f t="shared" si="442"/>
        <v>0</v>
      </c>
      <c r="AC556" s="121" t="str">
        <f t="shared" si="443"/>
        <v/>
      </c>
      <c r="AD556" s="118">
        <f t="shared" si="444"/>
        <v>0</v>
      </c>
      <c r="AE556" s="117">
        <f t="shared" si="445"/>
        <v>0</v>
      </c>
      <c r="AF556" s="117">
        <f t="shared" si="446"/>
        <v>2</v>
      </c>
      <c r="AG556" s="117">
        <f t="shared" si="447"/>
        <v>-2</v>
      </c>
      <c r="AH556" s="117">
        <f t="shared" si="448"/>
        <v>0</v>
      </c>
      <c r="AI556" s="117">
        <f t="shared" si="449"/>
        <v>0</v>
      </c>
      <c r="AJ556" s="117">
        <f t="shared" si="450"/>
        <v>0</v>
      </c>
    </row>
    <row r="557" spans="2:36" ht="16.5" customHeight="1">
      <c r="B557" s="15"/>
      <c r="C557" s="15"/>
      <c r="D557" s="8"/>
      <c r="E557" s="9" t="s">
        <v>190</v>
      </c>
      <c r="F557" s="5">
        <v>0</v>
      </c>
      <c r="G557" s="6">
        <v>2</v>
      </c>
      <c r="H557" s="7" t="s">
        <v>224</v>
      </c>
      <c r="I557" s="10"/>
      <c r="J557" s="8"/>
      <c r="K557" s="9" t="s">
        <v>217</v>
      </c>
      <c r="L557" s="5">
        <v>0</v>
      </c>
      <c r="M557" s="6">
        <v>2</v>
      </c>
      <c r="N557" s="7" t="str">
        <f t="shared" si="434"/>
        <v/>
      </c>
      <c r="O557" s="10"/>
      <c r="P557" s="39"/>
      <c r="Q557" s="38"/>
      <c r="T557" s="121" t="str">
        <f t="shared" si="435"/>
        <v/>
      </c>
      <c r="U557" s="118">
        <f t="shared" si="436"/>
        <v>0</v>
      </c>
      <c r="V557" s="117">
        <f t="shared" si="437"/>
        <v>0</v>
      </c>
      <c r="W557" s="117">
        <f t="shared" si="438"/>
        <v>2</v>
      </c>
      <c r="X557" s="117">
        <f t="shared" si="439"/>
        <v>-2</v>
      </c>
      <c r="Y557" s="117">
        <f t="shared" si="440"/>
        <v>0</v>
      </c>
      <c r="Z557" s="117">
        <f t="shared" si="441"/>
        <v>0</v>
      </c>
      <c r="AA557" s="117">
        <f t="shared" si="442"/>
        <v>0</v>
      </c>
      <c r="AC557" s="121" t="str">
        <f t="shared" si="443"/>
        <v/>
      </c>
      <c r="AD557" s="118">
        <f t="shared" si="444"/>
        <v>0</v>
      </c>
      <c r="AE557" s="117">
        <f t="shared" si="445"/>
        <v>0</v>
      </c>
      <c r="AF557" s="117">
        <f t="shared" si="446"/>
        <v>2</v>
      </c>
      <c r="AG557" s="117">
        <f t="shared" si="447"/>
        <v>-2</v>
      </c>
      <c r="AH557" s="117">
        <f t="shared" si="448"/>
        <v>0</v>
      </c>
      <c r="AI557" s="117">
        <f t="shared" si="449"/>
        <v>0</v>
      </c>
      <c r="AJ557" s="117">
        <f t="shared" si="450"/>
        <v>0</v>
      </c>
    </row>
    <row r="558" spans="2:36" ht="16.5" customHeight="1">
      <c r="B558" s="15"/>
      <c r="C558" s="15"/>
      <c r="D558" s="4"/>
      <c r="E558" s="4" t="s">
        <v>191</v>
      </c>
      <c r="F558" s="5">
        <v>0</v>
      </c>
      <c r="G558" s="6">
        <v>2</v>
      </c>
      <c r="H558" s="7" t="s">
        <v>224</v>
      </c>
      <c r="I558" s="7"/>
      <c r="J558" s="4"/>
      <c r="K558" s="4" t="s">
        <v>218</v>
      </c>
      <c r="L558" s="5">
        <v>0</v>
      </c>
      <c r="M558" s="6">
        <v>4</v>
      </c>
      <c r="N558" s="7" t="str">
        <f t="shared" si="434"/>
        <v/>
      </c>
      <c r="O558" s="7"/>
      <c r="P558" s="39"/>
      <c r="Q558" s="38"/>
      <c r="T558" s="121" t="str">
        <f t="shared" si="435"/>
        <v/>
      </c>
      <c r="U558" s="118">
        <f t="shared" si="436"/>
        <v>0</v>
      </c>
      <c r="V558" s="117">
        <f t="shared" si="437"/>
        <v>0</v>
      </c>
      <c r="W558" s="117">
        <f t="shared" si="438"/>
        <v>2</v>
      </c>
      <c r="X558" s="117">
        <f t="shared" si="439"/>
        <v>-2</v>
      </c>
      <c r="Y558" s="117">
        <f t="shared" si="440"/>
        <v>0</v>
      </c>
      <c r="Z558" s="117">
        <f t="shared" si="441"/>
        <v>0</v>
      </c>
      <c r="AA558" s="117">
        <f t="shared" si="442"/>
        <v>0</v>
      </c>
      <c r="AC558" s="121" t="str">
        <f t="shared" si="443"/>
        <v/>
      </c>
      <c r="AD558" s="118">
        <f t="shared" si="444"/>
        <v>0</v>
      </c>
      <c r="AE558" s="117">
        <f t="shared" si="445"/>
        <v>0</v>
      </c>
      <c r="AF558" s="117">
        <f t="shared" si="446"/>
        <v>2</v>
      </c>
      <c r="AG558" s="117">
        <f t="shared" si="447"/>
        <v>-4</v>
      </c>
      <c r="AH558" s="117">
        <f t="shared" si="448"/>
        <v>0</v>
      </c>
      <c r="AI558" s="117">
        <f t="shared" si="449"/>
        <v>0</v>
      </c>
      <c r="AJ558" s="117">
        <f t="shared" si="450"/>
        <v>0</v>
      </c>
    </row>
    <row r="559" spans="2:36" ht="16.5" customHeight="1">
      <c r="B559" s="15"/>
      <c r="C559" s="15"/>
      <c r="D559" s="8"/>
      <c r="E559" s="9" t="s">
        <v>192</v>
      </c>
      <c r="F559" s="5">
        <v>0</v>
      </c>
      <c r="G559" s="6">
        <v>2</v>
      </c>
      <c r="H559" s="7" t="s">
        <v>224</v>
      </c>
      <c r="I559" s="10"/>
      <c r="J559" s="8"/>
      <c r="K559" s="9" t="s">
        <v>219</v>
      </c>
      <c r="L559" s="5">
        <v>0</v>
      </c>
      <c r="M559" s="6">
        <v>2</v>
      </c>
      <c r="N559" s="7" t="str">
        <f t="shared" si="434"/>
        <v/>
      </c>
      <c r="O559" s="10"/>
      <c r="P559" s="39"/>
      <c r="Q559" s="38"/>
      <c r="T559" s="121" t="str">
        <f t="shared" si="435"/>
        <v/>
      </c>
      <c r="U559" s="118">
        <f t="shared" si="436"/>
        <v>0</v>
      </c>
      <c r="V559" s="117">
        <f t="shared" si="437"/>
        <v>0</v>
      </c>
      <c r="W559" s="117">
        <f t="shared" si="438"/>
        <v>2</v>
      </c>
      <c r="X559" s="117">
        <f t="shared" si="439"/>
        <v>-2</v>
      </c>
      <c r="Y559" s="117">
        <f t="shared" si="440"/>
        <v>0</v>
      </c>
      <c r="Z559" s="117">
        <f t="shared" si="441"/>
        <v>0</v>
      </c>
      <c r="AA559" s="117">
        <f t="shared" si="442"/>
        <v>0</v>
      </c>
      <c r="AC559" s="121" t="str">
        <f t="shared" si="443"/>
        <v/>
      </c>
      <c r="AD559" s="118">
        <f t="shared" si="444"/>
        <v>0</v>
      </c>
      <c r="AE559" s="117">
        <f t="shared" si="445"/>
        <v>0</v>
      </c>
      <c r="AF559" s="117">
        <f t="shared" si="446"/>
        <v>2</v>
      </c>
      <c r="AG559" s="117">
        <f t="shared" si="447"/>
        <v>-2</v>
      </c>
      <c r="AH559" s="117">
        <f t="shared" si="448"/>
        <v>0</v>
      </c>
      <c r="AI559" s="117">
        <f t="shared" si="449"/>
        <v>0</v>
      </c>
      <c r="AJ559" s="117">
        <f t="shared" si="450"/>
        <v>0</v>
      </c>
    </row>
    <row r="560" spans="2:36" ht="16.5" customHeight="1">
      <c r="B560" s="15"/>
      <c r="C560" s="15"/>
      <c r="D560" s="4"/>
      <c r="E560" s="4" t="s">
        <v>193</v>
      </c>
      <c r="F560" s="5">
        <v>1</v>
      </c>
      <c r="G560" s="6">
        <v>2</v>
      </c>
      <c r="H560" s="7" t="s">
        <v>224</v>
      </c>
      <c r="I560" s="7"/>
      <c r="J560" s="4"/>
      <c r="K560" s="4" t="s">
        <v>220</v>
      </c>
      <c r="L560" s="5">
        <v>0</v>
      </c>
      <c r="M560" s="6">
        <v>1</v>
      </c>
      <c r="N560" s="7" t="str">
        <f t="shared" si="434"/>
        <v/>
      </c>
      <c r="O560" s="7"/>
      <c r="P560" s="39"/>
      <c r="Q560" s="38"/>
      <c r="T560" s="121" t="str">
        <f t="shared" si="435"/>
        <v/>
      </c>
      <c r="U560" s="118">
        <f t="shared" si="436"/>
        <v>0</v>
      </c>
      <c r="V560" s="117">
        <f t="shared" si="437"/>
        <v>0</v>
      </c>
      <c r="W560" s="117">
        <f t="shared" si="438"/>
        <v>2</v>
      </c>
      <c r="X560" s="117">
        <f t="shared" si="439"/>
        <v>-1</v>
      </c>
      <c r="Y560" s="117">
        <f t="shared" si="440"/>
        <v>0</v>
      </c>
      <c r="Z560" s="117">
        <f t="shared" si="441"/>
        <v>0</v>
      </c>
      <c r="AA560" s="117">
        <f t="shared" si="442"/>
        <v>0</v>
      </c>
      <c r="AC560" s="121" t="str">
        <f t="shared" si="443"/>
        <v/>
      </c>
      <c r="AD560" s="118">
        <f t="shared" si="444"/>
        <v>0</v>
      </c>
      <c r="AE560" s="117">
        <f t="shared" si="445"/>
        <v>0</v>
      </c>
      <c r="AF560" s="117">
        <f t="shared" si="446"/>
        <v>2</v>
      </c>
      <c r="AG560" s="117">
        <f t="shared" si="447"/>
        <v>-1</v>
      </c>
      <c r="AH560" s="117">
        <f t="shared" si="448"/>
        <v>0</v>
      </c>
      <c r="AI560" s="117">
        <f t="shared" si="449"/>
        <v>0</v>
      </c>
      <c r="AJ560" s="117">
        <f t="shared" si="450"/>
        <v>0</v>
      </c>
    </row>
    <row r="561" spans="2:37" ht="16.5" customHeight="1">
      <c r="B561" s="15"/>
      <c r="C561" s="15"/>
      <c r="D561" s="8"/>
      <c r="E561" s="9" t="s">
        <v>194</v>
      </c>
      <c r="F561" s="5">
        <v>0</v>
      </c>
      <c r="G561" s="6">
        <v>3</v>
      </c>
      <c r="H561" s="7" t="s">
        <v>224</v>
      </c>
      <c r="I561" s="10"/>
      <c r="J561" s="8"/>
      <c r="K561" s="9" t="s">
        <v>221</v>
      </c>
      <c r="L561" s="5">
        <v>1</v>
      </c>
      <c r="M561" s="6">
        <v>3</v>
      </c>
      <c r="N561" s="7" t="str">
        <f t="shared" si="434"/>
        <v/>
      </c>
      <c r="O561" s="10"/>
      <c r="P561" s="39"/>
      <c r="Q561" s="38"/>
      <c r="T561" s="121" t="str">
        <f t="shared" si="435"/>
        <v/>
      </c>
      <c r="U561" s="118">
        <f t="shared" si="436"/>
        <v>0</v>
      </c>
      <c r="V561" s="117">
        <f t="shared" si="437"/>
        <v>0</v>
      </c>
      <c r="W561" s="117">
        <f t="shared" si="438"/>
        <v>2</v>
      </c>
      <c r="X561" s="117">
        <f t="shared" si="439"/>
        <v>-3</v>
      </c>
      <c r="Y561" s="117">
        <f t="shared" si="440"/>
        <v>0</v>
      </c>
      <c r="Z561" s="117">
        <f t="shared" si="441"/>
        <v>0</v>
      </c>
      <c r="AA561" s="117">
        <f t="shared" si="442"/>
        <v>0</v>
      </c>
      <c r="AC561" s="121" t="str">
        <f t="shared" si="443"/>
        <v/>
      </c>
      <c r="AD561" s="118">
        <f t="shared" si="444"/>
        <v>0</v>
      </c>
      <c r="AE561" s="117">
        <f t="shared" si="445"/>
        <v>0</v>
      </c>
      <c r="AF561" s="117">
        <f t="shared" si="446"/>
        <v>2</v>
      </c>
      <c r="AG561" s="117">
        <f t="shared" si="447"/>
        <v>-2</v>
      </c>
      <c r="AH561" s="117">
        <f t="shared" si="448"/>
        <v>0</v>
      </c>
      <c r="AI561" s="117">
        <f t="shared" si="449"/>
        <v>0</v>
      </c>
      <c r="AJ561" s="117">
        <f t="shared" si="450"/>
        <v>0</v>
      </c>
    </row>
    <row r="562" spans="2:37" ht="16.5" customHeight="1">
      <c r="K562" s="3"/>
    </row>
    <row r="563" spans="2:37" ht="23.25">
      <c r="B563" s="33" t="s">
        <v>134</v>
      </c>
      <c r="D563" s="52"/>
      <c r="E563" s="55" t="s">
        <v>84</v>
      </c>
      <c r="F563" s="56"/>
      <c r="G563" s="57"/>
      <c r="H563" s="57"/>
      <c r="I563" s="56"/>
      <c r="J563" s="82"/>
      <c r="K563" s="82" t="s">
        <v>85</v>
      </c>
      <c r="M563" s="91"/>
      <c r="N563" s="92"/>
      <c r="O563" s="92"/>
      <c r="P563" s="93"/>
      <c r="Q563" s="92"/>
      <c r="R563" s="92"/>
    </row>
    <row r="564" spans="2:37" ht="16.5" customHeight="1"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</row>
    <row r="565" spans="2:37" ht="16.5" customHeight="1">
      <c r="B565" s="12"/>
      <c r="C565" s="12" t="s">
        <v>7</v>
      </c>
      <c r="D565" s="4"/>
      <c r="E565" s="4" t="s">
        <v>32</v>
      </c>
      <c r="F565" s="5">
        <v>3</v>
      </c>
      <c r="G565" s="6">
        <v>1</v>
      </c>
      <c r="H565" s="7" t="s">
        <v>224</v>
      </c>
      <c r="I565" s="7"/>
      <c r="J565" s="4"/>
      <c r="K565" s="4" t="s">
        <v>195</v>
      </c>
      <c r="L565" s="5">
        <v>3</v>
      </c>
      <c r="M565" s="6">
        <v>1</v>
      </c>
      <c r="N565" s="7" t="str">
        <f>AC565</f>
        <v/>
      </c>
      <c r="O565" s="7"/>
      <c r="P565" s="24" t="s">
        <v>13</v>
      </c>
      <c r="Q565" s="13"/>
      <c r="T565" s="121" t="str">
        <f>IF($G$563="","",SUM(Y565:AA565))</f>
        <v/>
      </c>
      <c r="U565" s="118">
        <f t="shared" ref="U565" si="451">IF(V565&gt;0,1,IF(V565=0,0,2))</f>
        <v>0</v>
      </c>
      <c r="V565" s="117">
        <f>$G$563-$H$563</f>
        <v>0</v>
      </c>
      <c r="W565" s="117">
        <f t="shared" ref="W565" si="452">IF(X565&gt;0,1,IF(X565=0,0,2))</f>
        <v>1</v>
      </c>
      <c r="X565" s="117">
        <f>F565-G565</f>
        <v>2</v>
      </c>
      <c r="Y565" s="117">
        <f t="shared" ref="Y565" si="453">IF(U565=W565,3,0)</f>
        <v>0</v>
      </c>
      <c r="Z565" s="117">
        <f t="shared" ref="Z565" si="454">IF(V565=X565,1,0)</f>
        <v>0</v>
      </c>
      <c r="AA565" s="117">
        <f>IF(Z565=1,IF($G$563=F565,1,0),0)</f>
        <v>0</v>
      </c>
      <c r="AC565" s="121" t="str">
        <f>IF($G$563="","",SUM(AH565:AJ565))</f>
        <v/>
      </c>
      <c r="AD565" s="118">
        <f t="shared" ref="AD565" si="455">IF(AE565&gt;0,1,IF(AE565=0,0,2))</f>
        <v>0</v>
      </c>
      <c r="AE565" s="117">
        <f>$G$563-$H$563</f>
        <v>0</v>
      </c>
      <c r="AF565" s="117">
        <f t="shared" ref="AF565" si="456">IF(AG565&gt;0,1,IF(AG565=0,0,2))</f>
        <v>1</v>
      </c>
      <c r="AG565" s="117">
        <f>L565-M565</f>
        <v>2</v>
      </c>
      <c r="AH565" s="117">
        <f t="shared" ref="AH565" si="457">IF(AD565=AF565,3,0)</f>
        <v>0</v>
      </c>
      <c r="AI565" s="117">
        <f t="shared" ref="AI565" si="458">IF(AE565=AG565,1,0)</f>
        <v>0</v>
      </c>
      <c r="AJ565" s="117">
        <f>IF(AI565=1,IF($G$563=L565,1,0),0)</f>
        <v>0</v>
      </c>
    </row>
    <row r="566" spans="2:37" ht="16.5" customHeight="1">
      <c r="B566" s="12"/>
      <c r="C566" s="12"/>
      <c r="D566" s="8"/>
      <c r="E566" s="9" t="s">
        <v>170</v>
      </c>
      <c r="F566" s="5">
        <v>1</v>
      </c>
      <c r="G566" s="6">
        <v>0</v>
      </c>
      <c r="H566" s="7" t="s">
        <v>224</v>
      </c>
      <c r="I566" s="10"/>
      <c r="J566" s="8"/>
      <c r="K566" s="9" t="s">
        <v>196</v>
      </c>
      <c r="L566" s="5">
        <v>2</v>
      </c>
      <c r="M566" s="6">
        <v>0</v>
      </c>
      <c r="N566" s="7" t="str">
        <f t="shared" ref="N566:N592" si="459">AC566</f>
        <v/>
      </c>
      <c r="O566" s="10"/>
      <c r="P566" s="24"/>
      <c r="Q566" s="13"/>
      <c r="T566" s="121" t="str">
        <f t="shared" ref="T566:T592" si="460">IF($G$563="","",SUM(Y566:AA566))</f>
        <v/>
      </c>
      <c r="U566" s="118">
        <f t="shared" ref="U566:U592" si="461">IF(V566&gt;0,1,IF(V566=0,0,2))</f>
        <v>0</v>
      </c>
      <c r="V566" s="117">
        <f t="shared" ref="V566:V592" si="462">$G$563-$H$563</f>
        <v>0</v>
      </c>
      <c r="W566" s="117">
        <f t="shared" ref="W566:W592" si="463">IF(X566&gt;0,1,IF(X566=0,0,2))</f>
        <v>1</v>
      </c>
      <c r="X566" s="117">
        <f t="shared" ref="X566:X592" si="464">F566-G566</f>
        <v>1</v>
      </c>
      <c r="Y566" s="117">
        <f t="shared" ref="Y566:Y592" si="465">IF(U566=W566,3,0)</f>
        <v>0</v>
      </c>
      <c r="Z566" s="117">
        <f t="shared" ref="Z566:Z592" si="466">IF(V566=X566,1,0)</f>
        <v>0</v>
      </c>
      <c r="AA566" s="117">
        <f t="shared" ref="AA566:AA592" si="467">IF(Z566=1,IF($G$563=F566,1,0),0)</f>
        <v>0</v>
      </c>
      <c r="AC566" s="121" t="str">
        <f t="shared" ref="AC566:AC592" si="468">IF($G$563="","",SUM(AH566:AJ566))</f>
        <v/>
      </c>
      <c r="AD566" s="118">
        <f t="shared" ref="AD566:AD592" si="469">IF(AE566&gt;0,1,IF(AE566=0,0,2))</f>
        <v>0</v>
      </c>
      <c r="AE566" s="117">
        <f t="shared" ref="AE566:AE592" si="470">$G$563-$H$563</f>
        <v>0</v>
      </c>
      <c r="AF566" s="117">
        <f t="shared" ref="AF566:AF592" si="471">IF(AG566&gt;0,1,IF(AG566=0,0,2))</f>
        <v>1</v>
      </c>
      <c r="AG566" s="117">
        <f t="shared" ref="AG566:AG592" si="472">L566-M566</f>
        <v>2</v>
      </c>
      <c r="AH566" s="117">
        <f t="shared" ref="AH566:AH592" si="473">IF(AD566=AF566,3,0)</f>
        <v>0</v>
      </c>
      <c r="AI566" s="117">
        <f t="shared" ref="AI566:AI592" si="474">IF(AE566=AG566,1,0)</f>
        <v>0</v>
      </c>
      <c r="AJ566" s="117">
        <f t="shared" ref="AJ566:AJ592" si="475">IF(AI566=1,IF($G$563=L566,1,0),0)</f>
        <v>0</v>
      </c>
    </row>
    <row r="567" spans="2:37" ht="16.5" customHeight="1">
      <c r="B567" s="12"/>
      <c r="C567" s="12"/>
      <c r="D567" s="4"/>
      <c r="E567" s="4" t="s">
        <v>171</v>
      </c>
      <c r="F567" s="5">
        <v>3</v>
      </c>
      <c r="G567" s="6">
        <v>0</v>
      </c>
      <c r="H567" s="7" t="s">
        <v>224</v>
      </c>
      <c r="I567" s="7"/>
      <c r="J567" s="4"/>
      <c r="K567" s="4" t="s">
        <v>197</v>
      </c>
      <c r="L567" s="5">
        <v>4</v>
      </c>
      <c r="M567" s="6">
        <v>1</v>
      </c>
      <c r="N567" s="7" t="str">
        <f t="shared" si="459"/>
        <v/>
      </c>
      <c r="O567" s="7"/>
      <c r="P567" s="24"/>
      <c r="Q567" s="13"/>
      <c r="T567" s="121" t="str">
        <f t="shared" si="460"/>
        <v/>
      </c>
      <c r="U567" s="118">
        <f t="shared" si="461"/>
        <v>0</v>
      </c>
      <c r="V567" s="117">
        <f t="shared" si="462"/>
        <v>0</v>
      </c>
      <c r="W567" s="117">
        <f t="shared" si="463"/>
        <v>1</v>
      </c>
      <c r="X567" s="117">
        <f t="shared" si="464"/>
        <v>3</v>
      </c>
      <c r="Y567" s="117">
        <f t="shared" si="465"/>
        <v>0</v>
      </c>
      <c r="Z567" s="117">
        <f t="shared" si="466"/>
        <v>0</v>
      </c>
      <c r="AA567" s="117">
        <f t="shared" si="467"/>
        <v>0</v>
      </c>
      <c r="AC567" s="121" t="str">
        <f t="shared" si="468"/>
        <v/>
      </c>
      <c r="AD567" s="118">
        <f t="shared" si="469"/>
        <v>0</v>
      </c>
      <c r="AE567" s="117">
        <f t="shared" si="470"/>
        <v>0</v>
      </c>
      <c r="AF567" s="117">
        <f t="shared" si="471"/>
        <v>1</v>
      </c>
      <c r="AG567" s="117">
        <f t="shared" si="472"/>
        <v>3</v>
      </c>
      <c r="AH567" s="117">
        <f t="shared" si="473"/>
        <v>0</v>
      </c>
      <c r="AI567" s="117">
        <f t="shared" si="474"/>
        <v>0</v>
      </c>
      <c r="AJ567" s="117">
        <f t="shared" si="475"/>
        <v>0</v>
      </c>
    </row>
    <row r="568" spans="2:37" ht="16.5" customHeight="1">
      <c r="B568" s="12"/>
      <c r="C568" s="12"/>
      <c r="D568" s="8"/>
      <c r="E568" s="9" t="s">
        <v>172</v>
      </c>
      <c r="F568" s="5">
        <v>3</v>
      </c>
      <c r="G568" s="6">
        <v>1</v>
      </c>
      <c r="H568" s="7" t="s">
        <v>224</v>
      </c>
      <c r="I568" s="10"/>
      <c r="J568" s="8"/>
      <c r="K568" s="9" t="s">
        <v>198</v>
      </c>
      <c r="L568" s="5">
        <v>3</v>
      </c>
      <c r="M568" s="6">
        <v>1</v>
      </c>
      <c r="N568" s="7" t="str">
        <f t="shared" si="459"/>
        <v/>
      </c>
      <c r="O568" s="10"/>
      <c r="P568" s="24"/>
      <c r="Q568" s="13"/>
      <c r="T568" s="121" t="str">
        <f t="shared" si="460"/>
        <v/>
      </c>
      <c r="U568" s="118">
        <f t="shared" si="461"/>
        <v>0</v>
      </c>
      <c r="V568" s="117">
        <f t="shared" si="462"/>
        <v>0</v>
      </c>
      <c r="W568" s="117">
        <f t="shared" si="463"/>
        <v>1</v>
      </c>
      <c r="X568" s="117">
        <f t="shared" si="464"/>
        <v>2</v>
      </c>
      <c r="Y568" s="117">
        <f t="shared" si="465"/>
        <v>0</v>
      </c>
      <c r="Z568" s="117">
        <f t="shared" si="466"/>
        <v>0</v>
      </c>
      <c r="AA568" s="117">
        <f t="shared" si="467"/>
        <v>0</v>
      </c>
      <c r="AC568" s="121" t="str">
        <f t="shared" si="468"/>
        <v/>
      </c>
      <c r="AD568" s="118">
        <f t="shared" si="469"/>
        <v>0</v>
      </c>
      <c r="AE568" s="117">
        <f t="shared" si="470"/>
        <v>0</v>
      </c>
      <c r="AF568" s="117">
        <f t="shared" si="471"/>
        <v>1</v>
      </c>
      <c r="AG568" s="117">
        <f t="shared" si="472"/>
        <v>2</v>
      </c>
      <c r="AH568" s="117">
        <f t="shared" si="473"/>
        <v>0</v>
      </c>
      <c r="AI568" s="117">
        <f t="shared" si="474"/>
        <v>0</v>
      </c>
      <c r="AJ568" s="117">
        <f t="shared" si="475"/>
        <v>0</v>
      </c>
    </row>
    <row r="569" spans="2:37" ht="16.5" customHeight="1">
      <c r="B569" s="12"/>
      <c r="C569" s="12"/>
      <c r="D569" s="4"/>
      <c r="E569" s="4" t="s">
        <v>173</v>
      </c>
      <c r="F569" s="5">
        <v>3</v>
      </c>
      <c r="G569" s="6">
        <v>0</v>
      </c>
      <c r="H569" s="7" t="s">
        <v>224</v>
      </c>
      <c r="I569" s="7"/>
      <c r="J569" s="4"/>
      <c r="K569" s="4" t="s">
        <v>199</v>
      </c>
      <c r="L569" s="5">
        <v>3</v>
      </c>
      <c r="M569" s="6">
        <v>0</v>
      </c>
      <c r="N569" s="7" t="str">
        <f t="shared" si="459"/>
        <v/>
      </c>
      <c r="O569" s="7"/>
      <c r="P569" s="24"/>
      <c r="Q569" s="13"/>
      <c r="T569" s="121" t="str">
        <f t="shared" si="460"/>
        <v/>
      </c>
      <c r="U569" s="118">
        <f t="shared" si="461"/>
        <v>0</v>
      </c>
      <c r="V569" s="117">
        <f t="shared" si="462"/>
        <v>0</v>
      </c>
      <c r="W569" s="117">
        <f t="shared" si="463"/>
        <v>1</v>
      </c>
      <c r="X569" s="117">
        <f t="shared" si="464"/>
        <v>3</v>
      </c>
      <c r="Y569" s="117">
        <f t="shared" si="465"/>
        <v>0</v>
      </c>
      <c r="Z569" s="117">
        <f t="shared" si="466"/>
        <v>0</v>
      </c>
      <c r="AA569" s="117">
        <f t="shared" si="467"/>
        <v>0</v>
      </c>
      <c r="AC569" s="121" t="str">
        <f t="shared" si="468"/>
        <v/>
      </c>
      <c r="AD569" s="118">
        <f t="shared" si="469"/>
        <v>0</v>
      </c>
      <c r="AE569" s="117">
        <f t="shared" si="470"/>
        <v>0</v>
      </c>
      <c r="AF569" s="117">
        <f t="shared" si="471"/>
        <v>1</v>
      </c>
      <c r="AG569" s="117">
        <f t="shared" si="472"/>
        <v>3</v>
      </c>
      <c r="AH569" s="117">
        <f t="shared" si="473"/>
        <v>0</v>
      </c>
      <c r="AI569" s="117">
        <f t="shared" si="474"/>
        <v>0</v>
      </c>
      <c r="AJ569" s="117">
        <f t="shared" si="475"/>
        <v>0</v>
      </c>
    </row>
    <row r="570" spans="2:37" ht="16.5" customHeight="1">
      <c r="B570" s="12"/>
      <c r="C570" s="12"/>
      <c r="D570" s="8"/>
      <c r="E570" s="9" t="s">
        <v>174</v>
      </c>
      <c r="F570" s="5">
        <v>3</v>
      </c>
      <c r="G570" s="6">
        <v>1</v>
      </c>
      <c r="H570" s="7" t="s">
        <v>224</v>
      </c>
      <c r="I570" s="10"/>
      <c r="J570" s="8"/>
      <c r="K570" s="9" t="s">
        <v>200</v>
      </c>
      <c r="L570" s="5">
        <v>3</v>
      </c>
      <c r="M570" s="6">
        <v>0</v>
      </c>
      <c r="N570" s="7" t="str">
        <f t="shared" si="459"/>
        <v/>
      </c>
      <c r="O570" s="10"/>
      <c r="P570" s="24"/>
      <c r="Q570" s="13"/>
      <c r="T570" s="121" t="str">
        <f t="shared" si="460"/>
        <v/>
      </c>
      <c r="U570" s="118">
        <f t="shared" si="461"/>
        <v>0</v>
      </c>
      <c r="V570" s="117">
        <f t="shared" si="462"/>
        <v>0</v>
      </c>
      <c r="W570" s="117">
        <f t="shared" si="463"/>
        <v>1</v>
      </c>
      <c r="X570" s="117">
        <f t="shared" si="464"/>
        <v>2</v>
      </c>
      <c r="Y570" s="117">
        <f t="shared" si="465"/>
        <v>0</v>
      </c>
      <c r="Z570" s="117">
        <f t="shared" si="466"/>
        <v>0</v>
      </c>
      <c r="AA570" s="117">
        <f t="shared" si="467"/>
        <v>0</v>
      </c>
      <c r="AC570" s="121" t="str">
        <f t="shared" si="468"/>
        <v/>
      </c>
      <c r="AD570" s="118">
        <f t="shared" si="469"/>
        <v>0</v>
      </c>
      <c r="AE570" s="117">
        <f t="shared" si="470"/>
        <v>0</v>
      </c>
      <c r="AF570" s="117">
        <f t="shared" si="471"/>
        <v>1</v>
      </c>
      <c r="AG570" s="117">
        <f t="shared" si="472"/>
        <v>3</v>
      </c>
      <c r="AH570" s="117">
        <f t="shared" si="473"/>
        <v>0</v>
      </c>
      <c r="AI570" s="117">
        <f t="shared" si="474"/>
        <v>0</v>
      </c>
      <c r="AJ570" s="117">
        <f t="shared" si="475"/>
        <v>0</v>
      </c>
    </row>
    <row r="571" spans="2:37" ht="16.5" customHeight="1">
      <c r="B571" s="12"/>
      <c r="C571" s="12"/>
      <c r="D571" s="4"/>
      <c r="E571" s="4" t="s">
        <v>175</v>
      </c>
      <c r="F571" s="5">
        <v>4</v>
      </c>
      <c r="G571" s="6">
        <v>0</v>
      </c>
      <c r="H571" s="7" t="s">
        <v>224</v>
      </c>
      <c r="I571" s="7"/>
      <c r="J571" s="4"/>
      <c r="K571" s="4" t="s">
        <v>201</v>
      </c>
      <c r="L571" s="5">
        <v>3</v>
      </c>
      <c r="M571" s="6">
        <v>1</v>
      </c>
      <c r="N571" s="7" t="str">
        <f t="shared" si="459"/>
        <v/>
      </c>
      <c r="O571" s="7"/>
      <c r="P571" s="24"/>
      <c r="Q571" s="13"/>
      <c r="T571" s="121" t="str">
        <f t="shared" si="460"/>
        <v/>
      </c>
      <c r="U571" s="118">
        <f t="shared" si="461"/>
        <v>0</v>
      </c>
      <c r="V571" s="117">
        <f t="shared" si="462"/>
        <v>0</v>
      </c>
      <c r="W571" s="117">
        <f t="shared" si="463"/>
        <v>1</v>
      </c>
      <c r="X571" s="117">
        <f t="shared" si="464"/>
        <v>4</v>
      </c>
      <c r="Y571" s="117">
        <f t="shared" si="465"/>
        <v>0</v>
      </c>
      <c r="Z571" s="117">
        <f t="shared" si="466"/>
        <v>0</v>
      </c>
      <c r="AA571" s="117">
        <f t="shared" si="467"/>
        <v>0</v>
      </c>
      <c r="AC571" s="121" t="str">
        <f t="shared" si="468"/>
        <v/>
      </c>
      <c r="AD571" s="118">
        <f t="shared" si="469"/>
        <v>0</v>
      </c>
      <c r="AE571" s="117">
        <f t="shared" si="470"/>
        <v>0</v>
      </c>
      <c r="AF571" s="117">
        <f t="shared" si="471"/>
        <v>1</v>
      </c>
      <c r="AG571" s="117">
        <f t="shared" si="472"/>
        <v>2</v>
      </c>
      <c r="AH571" s="117">
        <f t="shared" si="473"/>
        <v>0</v>
      </c>
      <c r="AI571" s="117">
        <f t="shared" si="474"/>
        <v>0</v>
      </c>
      <c r="AJ571" s="117">
        <f t="shared" si="475"/>
        <v>0</v>
      </c>
    </row>
    <row r="572" spans="2:37" ht="16.5" customHeight="1">
      <c r="B572" s="14"/>
      <c r="C572" s="14" t="s">
        <v>8</v>
      </c>
      <c r="D572" s="8"/>
      <c r="E572" s="9" t="s">
        <v>33</v>
      </c>
      <c r="F572" s="5">
        <v>2</v>
      </c>
      <c r="G572" s="6">
        <v>1</v>
      </c>
      <c r="H572" s="7" t="s">
        <v>224</v>
      </c>
      <c r="I572" s="10"/>
      <c r="J572" s="8"/>
      <c r="K572" s="9" t="s">
        <v>225</v>
      </c>
      <c r="L572" s="5">
        <v>1</v>
      </c>
      <c r="M572" s="6">
        <v>1</v>
      </c>
      <c r="N572" s="7" t="str">
        <f t="shared" si="459"/>
        <v/>
      </c>
      <c r="O572" s="10"/>
      <c r="P572" s="31" t="s">
        <v>16</v>
      </c>
      <c r="Q572" s="30"/>
      <c r="T572" s="121" t="str">
        <f t="shared" si="460"/>
        <v/>
      </c>
      <c r="U572" s="118">
        <f t="shared" si="461"/>
        <v>0</v>
      </c>
      <c r="V572" s="117">
        <f t="shared" si="462"/>
        <v>0</v>
      </c>
      <c r="W572" s="117">
        <f t="shared" si="463"/>
        <v>1</v>
      </c>
      <c r="X572" s="117">
        <f t="shared" si="464"/>
        <v>1</v>
      </c>
      <c r="Y572" s="117">
        <f t="shared" si="465"/>
        <v>0</v>
      </c>
      <c r="Z572" s="117">
        <f t="shared" si="466"/>
        <v>0</v>
      </c>
      <c r="AA572" s="117">
        <f t="shared" si="467"/>
        <v>0</v>
      </c>
      <c r="AC572" s="121" t="str">
        <f t="shared" si="468"/>
        <v/>
      </c>
      <c r="AD572" s="118">
        <f t="shared" si="469"/>
        <v>0</v>
      </c>
      <c r="AE572" s="117">
        <f t="shared" si="470"/>
        <v>0</v>
      </c>
      <c r="AF572" s="117">
        <f t="shared" si="471"/>
        <v>0</v>
      </c>
      <c r="AG572" s="117">
        <f t="shared" si="472"/>
        <v>0</v>
      </c>
      <c r="AH572" s="117">
        <f t="shared" si="473"/>
        <v>3</v>
      </c>
      <c r="AI572" s="117">
        <f t="shared" si="474"/>
        <v>1</v>
      </c>
      <c r="AJ572" s="117">
        <f t="shared" si="475"/>
        <v>0</v>
      </c>
    </row>
    <row r="573" spans="2:37" ht="16.5" customHeight="1">
      <c r="B573" s="14"/>
      <c r="C573" s="14"/>
      <c r="D573" s="4"/>
      <c r="E573" s="4" t="s">
        <v>176</v>
      </c>
      <c r="F573" s="5">
        <v>2</v>
      </c>
      <c r="G573" s="6">
        <v>0</v>
      </c>
      <c r="H573" s="7" t="s">
        <v>224</v>
      </c>
      <c r="I573" s="7"/>
      <c r="J573" s="4"/>
      <c r="K573" s="4" t="s">
        <v>203</v>
      </c>
      <c r="L573" s="5">
        <v>2</v>
      </c>
      <c r="M573" s="6">
        <v>1</v>
      </c>
      <c r="N573" s="7" t="str">
        <f t="shared" si="459"/>
        <v/>
      </c>
      <c r="O573" s="7"/>
      <c r="P573" s="31"/>
      <c r="Q573" s="30"/>
      <c r="T573" s="121" t="str">
        <f t="shared" si="460"/>
        <v/>
      </c>
      <c r="U573" s="118">
        <f t="shared" si="461"/>
        <v>0</v>
      </c>
      <c r="V573" s="117">
        <f t="shared" si="462"/>
        <v>0</v>
      </c>
      <c r="W573" s="117">
        <f t="shared" si="463"/>
        <v>1</v>
      </c>
      <c r="X573" s="117">
        <f t="shared" si="464"/>
        <v>2</v>
      </c>
      <c r="Y573" s="117">
        <f t="shared" si="465"/>
        <v>0</v>
      </c>
      <c r="Z573" s="117">
        <f t="shared" si="466"/>
        <v>0</v>
      </c>
      <c r="AA573" s="117">
        <f t="shared" si="467"/>
        <v>0</v>
      </c>
      <c r="AC573" s="121" t="str">
        <f t="shared" si="468"/>
        <v/>
      </c>
      <c r="AD573" s="118">
        <f t="shared" si="469"/>
        <v>0</v>
      </c>
      <c r="AE573" s="117">
        <f t="shared" si="470"/>
        <v>0</v>
      </c>
      <c r="AF573" s="117">
        <f t="shared" si="471"/>
        <v>1</v>
      </c>
      <c r="AG573" s="117">
        <f t="shared" si="472"/>
        <v>1</v>
      </c>
      <c r="AH573" s="117">
        <f t="shared" si="473"/>
        <v>0</v>
      </c>
      <c r="AI573" s="117">
        <f t="shared" si="474"/>
        <v>0</v>
      </c>
      <c r="AJ573" s="117">
        <f t="shared" si="475"/>
        <v>0</v>
      </c>
    </row>
    <row r="574" spans="2:37" ht="16.5" customHeight="1">
      <c r="B574" s="14"/>
      <c r="C574" s="14"/>
      <c r="D574" s="8"/>
      <c r="E574" s="9" t="s">
        <v>177</v>
      </c>
      <c r="F574" s="5">
        <v>3</v>
      </c>
      <c r="G574" s="6">
        <v>0</v>
      </c>
      <c r="H574" s="7" t="s">
        <v>224</v>
      </c>
      <c r="I574" s="10"/>
      <c r="J574" s="8"/>
      <c r="K574" s="9" t="s">
        <v>204</v>
      </c>
      <c r="L574" s="5">
        <v>2</v>
      </c>
      <c r="M574" s="6">
        <v>0</v>
      </c>
      <c r="N574" s="7" t="str">
        <f t="shared" si="459"/>
        <v/>
      </c>
      <c r="O574" s="10"/>
      <c r="P574" s="31"/>
      <c r="Q574" s="30"/>
      <c r="T574" s="121" t="str">
        <f t="shared" si="460"/>
        <v/>
      </c>
      <c r="U574" s="118">
        <f t="shared" si="461"/>
        <v>0</v>
      </c>
      <c r="V574" s="117">
        <f t="shared" si="462"/>
        <v>0</v>
      </c>
      <c r="W574" s="117">
        <f t="shared" si="463"/>
        <v>1</v>
      </c>
      <c r="X574" s="117">
        <f t="shared" si="464"/>
        <v>3</v>
      </c>
      <c r="Y574" s="117">
        <f t="shared" si="465"/>
        <v>0</v>
      </c>
      <c r="Z574" s="117">
        <f t="shared" si="466"/>
        <v>0</v>
      </c>
      <c r="AA574" s="117">
        <f t="shared" si="467"/>
        <v>0</v>
      </c>
      <c r="AC574" s="121" t="str">
        <f t="shared" si="468"/>
        <v/>
      </c>
      <c r="AD574" s="118">
        <f t="shared" si="469"/>
        <v>0</v>
      </c>
      <c r="AE574" s="117">
        <f t="shared" si="470"/>
        <v>0</v>
      </c>
      <c r="AF574" s="117">
        <f t="shared" si="471"/>
        <v>1</v>
      </c>
      <c r="AG574" s="117">
        <f t="shared" si="472"/>
        <v>2</v>
      </c>
      <c r="AH574" s="117">
        <f t="shared" si="473"/>
        <v>0</v>
      </c>
      <c r="AI574" s="117">
        <f t="shared" si="474"/>
        <v>0</v>
      </c>
      <c r="AJ574" s="117">
        <f t="shared" si="475"/>
        <v>0</v>
      </c>
    </row>
    <row r="575" spans="2:37" ht="16.5" customHeight="1">
      <c r="B575" s="14"/>
      <c r="C575" s="14"/>
      <c r="D575" s="4"/>
      <c r="E575" s="4" t="s">
        <v>178</v>
      </c>
      <c r="F575" s="5">
        <v>2</v>
      </c>
      <c r="G575" s="6">
        <v>0</v>
      </c>
      <c r="H575" s="7" t="s">
        <v>224</v>
      </c>
      <c r="I575" s="7"/>
      <c r="J575" s="4"/>
      <c r="K575" s="4" t="s">
        <v>223</v>
      </c>
      <c r="L575" s="5">
        <v>2</v>
      </c>
      <c r="M575" s="6">
        <v>0</v>
      </c>
      <c r="N575" s="7" t="str">
        <f t="shared" si="459"/>
        <v/>
      </c>
      <c r="O575" s="7"/>
      <c r="P575" s="31"/>
      <c r="Q575" s="30"/>
      <c r="T575" s="121" t="str">
        <f t="shared" si="460"/>
        <v/>
      </c>
      <c r="U575" s="118">
        <f t="shared" si="461"/>
        <v>0</v>
      </c>
      <c r="V575" s="117">
        <f t="shared" si="462"/>
        <v>0</v>
      </c>
      <c r="W575" s="117">
        <f t="shared" si="463"/>
        <v>1</v>
      </c>
      <c r="X575" s="117">
        <f t="shared" si="464"/>
        <v>2</v>
      </c>
      <c r="Y575" s="117">
        <f t="shared" si="465"/>
        <v>0</v>
      </c>
      <c r="Z575" s="117">
        <f t="shared" si="466"/>
        <v>0</v>
      </c>
      <c r="AA575" s="117">
        <f t="shared" si="467"/>
        <v>0</v>
      </c>
      <c r="AC575" s="121" t="str">
        <f t="shared" si="468"/>
        <v/>
      </c>
      <c r="AD575" s="118">
        <f t="shared" si="469"/>
        <v>0</v>
      </c>
      <c r="AE575" s="117">
        <f t="shared" si="470"/>
        <v>0</v>
      </c>
      <c r="AF575" s="117">
        <f t="shared" si="471"/>
        <v>1</v>
      </c>
      <c r="AG575" s="117">
        <f t="shared" si="472"/>
        <v>2</v>
      </c>
      <c r="AH575" s="117">
        <f t="shared" si="473"/>
        <v>0</v>
      </c>
      <c r="AI575" s="117">
        <f t="shared" si="474"/>
        <v>0</v>
      </c>
      <c r="AJ575" s="117">
        <f t="shared" si="475"/>
        <v>0</v>
      </c>
    </row>
    <row r="576" spans="2:37" ht="16.5" customHeight="1">
      <c r="B576" s="14"/>
      <c r="C576" s="14"/>
      <c r="D576" s="8"/>
      <c r="E576" s="9" t="s">
        <v>179</v>
      </c>
      <c r="F576" s="5">
        <v>3</v>
      </c>
      <c r="G576" s="6">
        <v>0</v>
      </c>
      <c r="H576" s="7" t="s">
        <v>224</v>
      </c>
      <c r="I576" s="10"/>
      <c r="J576" s="8"/>
      <c r="K576" s="9" t="s">
        <v>205</v>
      </c>
      <c r="L576" s="5">
        <v>3</v>
      </c>
      <c r="M576" s="6">
        <v>1</v>
      </c>
      <c r="N576" s="7" t="str">
        <f t="shared" si="459"/>
        <v/>
      </c>
      <c r="O576" s="10"/>
      <c r="P576" s="31"/>
      <c r="Q576" s="30"/>
      <c r="T576" s="121" t="str">
        <f t="shared" si="460"/>
        <v/>
      </c>
      <c r="U576" s="118">
        <f t="shared" si="461"/>
        <v>0</v>
      </c>
      <c r="V576" s="117">
        <f t="shared" si="462"/>
        <v>0</v>
      </c>
      <c r="W576" s="117">
        <f t="shared" si="463"/>
        <v>1</v>
      </c>
      <c r="X576" s="117">
        <f t="shared" si="464"/>
        <v>3</v>
      </c>
      <c r="Y576" s="117">
        <f t="shared" si="465"/>
        <v>0</v>
      </c>
      <c r="Z576" s="117">
        <f t="shared" si="466"/>
        <v>0</v>
      </c>
      <c r="AA576" s="117">
        <f t="shared" si="467"/>
        <v>0</v>
      </c>
      <c r="AC576" s="121" t="str">
        <f t="shared" si="468"/>
        <v/>
      </c>
      <c r="AD576" s="118">
        <f t="shared" si="469"/>
        <v>0</v>
      </c>
      <c r="AE576" s="117">
        <f t="shared" si="470"/>
        <v>0</v>
      </c>
      <c r="AF576" s="117">
        <f t="shared" si="471"/>
        <v>1</v>
      </c>
      <c r="AG576" s="117">
        <f t="shared" si="472"/>
        <v>2</v>
      </c>
      <c r="AH576" s="117">
        <f t="shared" si="473"/>
        <v>0</v>
      </c>
      <c r="AI576" s="117">
        <f t="shared" si="474"/>
        <v>0</v>
      </c>
      <c r="AJ576" s="117">
        <f t="shared" si="475"/>
        <v>0</v>
      </c>
    </row>
    <row r="577" spans="2:36" ht="16.5" customHeight="1">
      <c r="B577" s="14"/>
      <c r="C577" s="14"/>
      <c r="D577" s="4"/>
      <c r="E577" s="4" t="s">
        <v>180</v>
      </c>
      <c r="F577" s="5">
        <v>5</v>
      </c>
      <c r="G577" s="6">
        <v>1</v>
      </c>
      <c r="H577" s="7" t="s">
        <v>224</v>
      </c>
      <c r="I577" s="7"/>
      <c r="J577" s="4"/>
      <c r="K577" s="4" t="s">
        <v>206</v>
      </c>
      <c r="L577" s="5">
        <v>4</v>
      </c>
      <c r="M577" s="6">
        <v>1</v>
      </c>
      <c r="N577" s="7" t="str">
        <f t="shared" si="459"/>
        <v/>
      </c>
      <c r="O577" s="7"/>
      <c r="P577" s="31"/>
      <c r="Q577" s="30"/>
      <c r="T577" s="121" t="str">
        <f t="shared" si="460"/>
        <v/>
      </c>
      <c r="U577" s="118">
        <f t="shared" si="461"/>
        <v>0</v>
      </c>
      <c r="V577" s="117">
        <f t="shared" si="462"/>
        <v>0</v>
      </c>
      <c r="W577" s="117">
        <f t="shared" si="463"/>
        <v>1</v>
      </c>
      <c r="X577" s="117">
        <f t="shared" si="464"/>
        <v>4</v>
      </c>
      <c r="Y577" s="117">
        <f t="shared" si="465"/>
        <v>0</v>
      </c>
      <c r="Z577" s="117">
        <f t="shared" si="466"/>
        <v>0</v>
      </c>
      <c r="AA577" s="117">
        <f t="shared" si="467"/>
        <v>0</v>
      </c>
      <c r="AC577" s="121" t="str">
        <f t="shared" si="468"/>
        <v/>
      </c>
      <c r="AD577" s="118">
        <f t="shared" si="469"/>
        <v>0</v>
      </c>
      <c r="AE577" s="117">
        <f t="shared" si="470"/>
        <v>0</v>
      </c>
      <c r="AF577" s="117">
        <f t="shared" si="471"/>
        <v>1</v>
      </c>
      <c r="AG577" s="117">
        <f t="shared" si="472"/>
        <v>3</v>
      </c>
      <c r="AH577" s="117">
        <f t="shared" si="473"/>
        <v>0</v>
      </c>
      <c r="AI577" s="117">
        <f t="shared" si="474"/>
        <v>0</v>
      </c>
      <c r="AJ577" s="117">
        <f t="shared" si="475"/>
        <v>0</v>
      </c>
    </row>
    <row r="578" spans="2:36" ht="16.5" customHeight="1">
      <c r="B578" s="14"/>
      <c r="C578" s="14"/>
      <c r="D578" s="8"/>
      <c r="E578" s="9" t="s">
        <v>181</v>
      </c>
      <c r="F578" s="5">
        <v>2</v>
      </c>
      <c r="G578" s="6">
        <v>0</v>
      </c>
      <c r="H578" s="7" t="s">
        <v>224</v>
      </c>
      <c r="I578" s="10"/>
      <c r="J578" s="8"/>
      <c r="K578" s="9" t="s">
        <v>207</v>
      </c>
      <c r="L578" s="5">
        <v>2</v>
      </c>
      <c r="M578" s="6">
        <v>0</v>
      </c>
      <c r="N578" s="7" t="str">
        <f t="shared" si="459"/>
        <v/>
      </c>
      <c r="O578" s="10"/>
      <c r="P578" s="31"/>
      <c r="Q578" s="30"/>
      <c r="T578" s="121" t="str">
        <f t="shared" si="460"/>
        <v/>
      </c>
      <c r="U578" s="118">
        <f t="shared" si="461"/>
        <v>0</v>
      </c>
      <c r="V578" s="117">
        <f t="shared" si="462"/>
        <v>0</v>
      </c>
      <c r="W578" s="117">
        <f t="shared" si="463"/>
        <v>1</v>
      </c>
      <c r="X578" s="117">
        <f t="shared" si="464"/>
        <v>2</v>
      </c>
      <c r="Y578" s="117">
        <f t="shared" si="465"/>
        <v>0</v>
      </c>
      <c r="Z578" s="117">
        <f t="shared" si="466"/>
        <v>0</v>
      </c>
      <c r="AA578" s="117">
        <f t="shared" si="467"/>
        <v>0</v>
      </c>
      <c r="AC578" s="121" t="str">
        <f t="shared" si="468"/>
        <v/>
      </c>
      <c r="AD578" s="118">
        <f t="shared" si="469"/>
        <v>0</v>
      </c>
      <c r="AE578" s="117">
        <f t="shared" si="470"/>
        <v>0</v>
      </c>
      <c r="AF578" s="117">
        <f t="shared" si="471"/>
        <v>1</v>
      </c>
      <c r="AG578" s="117">
        <f t="shared" si="472"/>
        <v>2</v>
      </c>
      <c r="AH578" s="117">
        <f t="shared" si="473"/>
        <v>0</v>
      </c>
      <c r="AI578" s="117">
        <f t="shared" si="474"/>
        <v>0</v>
      </c>
      <c r="AJ578" s="117">
        <f t="shared" si="475"/>
        <v>0</v>
      </c>
    </row>
    <row r="579" spans="2:36" ht="16.5" customHeight="1">
      <c r="B579" s="11"/>
      <c r="C579" s="11" t="s">
        <v>9</v>
      </c>
      <c r="D579" s="4"/>
      <c r="E579" s="4" t="s">
        <v>182</v>
      </c>
      <c r="F579" s="5">
        <v>2</v>
      </c>
      <c r="G579" s="6">
        <v>1</v>
      </c>
      <c r="H579" s="7" t="s">
        <v>224</v>
      </c>
      <c r="I579" s="7"/>
      <c r="J579" s="4"/>
      <c r="K579" s="4" t="s">
        <v>208</v>
      </c>
      <c r="L579" s="5">
        <v>2</v>
      </c>
      <c r="M579" s="6">
        <v>0</v>
      </c>
      <c r="N579" s="7" t="str">
        <f t="shared" si="459"/>
        <v/>
      </c>
      <c r="O579" s="7"/>
      <c r="P579" s="36" t="s">
        <v>25</v>
      </c>
      <c r="Q579" s="35"/>
      <c r="T579" s="121" t="str">
        <f t="shared" si="460"/>
        <v/>
      </c>
      <c r="U579" s="118">
        <f t="shared" si="461"/>
        <v>0</v>
      </c>
      <c r="V579" s="117">
        <f t="shared" si="462"/>
        <v>0</v>
      </c>
      <c r="W579" s="117">
        <f t="shared" si="463"/>
        <v>1</v>
      </c>
      <c r="X579" s="117">
        <f t="shared" si="464"/>
        <v>1</v>
      </c>
      <c r="Y579" s="117">
        <f t="shared" si="465"/>
        <v>0</v>
      </c>
      <c r="Z579" s="117">
        <f t="shared" si="466"/>
        <v>0</v>
      </c>
      <c r="AA579" s="117">
        <f t="shared" si="467"/>
        <v>0</v>
      </c>
      <c r="AC579" s="121" t="str">
        <f t="shared" si="468"/>
        <v/>
      </c>
      <c r="AD579" s="118">
        <f t="shared" si="469"/>
        <v>0</v>
      </c>
      <c r="AE579" s="117">
        <f t="shared" si="470"/>
        <v>0</v>
      </c>
      <c r="AF579" s="117">
        <f t="shared" si="471"/>
        <v>1</v>
      </c>
      <c r="AG579" s="117">
        <f t="shared" si="472"/>
        <v>2</v>
      </c>
      <c r="AH579" s="117">
        <f t="shared" si="473"/>
        <v>0</v>
      </c>
      <c r="AI579" s="117">
        <f t="shared" si="474"/>
        <v>0</v>
      </c>
      <c r="AJ579" s="117">
        <f t="shared" si="475"/>
        <v>0</v>
      </c>
    </row>
    <row r="580" spans="2:36" ht="16.5" customHeight="1">
      <c r="B580" s="11"/>
      <c r="C580" s="11"/>
      <c r="D580" s="8"/>
      <c r="E580" s="9" t="s">
        <v>183</v>
      </c>
      <c r="F580" s="5">
        <v>2</v>
      </c>
      <c r="G580" s="6">
        <v>0</v>
      </c>
      <c r="H580" s="7" t="s">
        <v>224</v>
      </c>
      <c r="I580" s="10"/>
      <c r="J580" s="8"/>
      <c r="K580" s="9" t="s">
        <v>209</v>
      </c>
      <c r="L580" s="5">
        <v>3</v>
      </c>
      <c r="M580" s="6">
        <v>0</v>
      </c>
      <c r="N580" s="7" t="str">
        <f t="shared" si="459"/>
        <v/>
      </c>
      <c r="O580" s="10"/>
      <c r="P580" s="36"/>
      <c r="Q580" s="35"/>
      <c r="T580" s="121" t="str">
        <f t="shared" si="460"/>
        <v/>
      </c>
      <c r="U580" s="118">
        <f t="shared" si="461"/>
        <v>0</v>
      </c>
      <c r="V580" s="117">
        <f t="shared" si="462"/>
        <v>0</v>
      </c>
      <c r="W580" s="117">
        <f t="shared" si="463"/>
        <v>1</v>
      </c>
      <c r="X580" s="117">
        <f t="shared" si="464"/>
        <v>2</v>
      </c>
      <c r="Y580" s="117">
        <f t="shared" si="465"/>
        <v>0</v>
      </c>
      <c r="Z580" s="117">
        <f t="shared" si="466"/>
        <v>0</v>
      </c>
      <c r="AA580" s="117">
        <f t="shared" si="467"/>
        <v>0</v>
      </c>
      <c r="AC580" s="121" t="str">
        <f t="shared" si="468"/>
        <v/>
      </c>
      <c r="AD580" s="118">
        <f t="shared" si="469"/>
        <v>0</v>
      </c>
      <c r="AE580" s="117">
        <f t="shared" si="470"/>
        <v>0</v>
      </c>
      <c r="AF580" s="117">
        <f t="shared" si="471"/>
        <v>1</v>
      </c>
      <c r="AG580" s="117">
        <f t="shared" si="472"/>
        <v>3</v>
      </c>
      <c r="AH580" s="117">
        <f t="shared" si="473"/>
        <v>0</v>
      </c>
      <c r="AI580" s="117">
        <f t="shared" si="474"/>
        <v>0</v>
      </c>
      <c r="AJ580" s="117">
        <f t="shared" si="475"/>
        <v>0</v>
      </c>
    </row>
    <row r="581" spans="2:36" ht="16.5" customHeight="1">
      <c r="B581" s="11"/>
      <c r="C581" s="11"/>
      <c r="D581" s="4"/>
      <c r="E581" s="4" t="s">
        <v>184</v>
      </c>
      <c r="F581" s="5">
        <v>2</v>
      </c>
      <c r="G581" s="6">
        <v>0</v>
      </c>
      <c r="H581" s="7" t="s">
        <v>224</v>
      </c>
      <c r="I581" s="7"/>
      <c r="J581" s="4"/>
      <c r="K581" s="4" t="s">
        <v>210</v>
      </c>
      <c r="L581" s="5">
        <v>2</v>
      </c>
      <c r="M581" s="6">
        <v>1</v>
      </c>
      <c r="N581" s="7" t="str">
        <f t="shared" si="459"/>
        <v/>
      </c>
      <c r="O581" s="7"/>
      <c r="P581" s="36"/>
      <c r="Q581" s="35"/>
      <c r="T581" s="121" t="str">
        <f t="shared" si="460"/>
        <v/>
      </c>
      <c r="U581" s="118">
        <f t="shared" si="461"/>
        <v>0</v>
      </c>
      <c r="V581" s="117">
        <f t="shared" si="462"/>
        <v>0</v>
      </c>
      <c r="W581" s="117">
        <f t="shared" si="463"/>
        <v>1</v>
      </c>
      <c r="X581" s="117">
        <f t="shared" si="464"/>
        <v>2</v>
      </c>
      <c r="Y581" s="117">
        <f t="shared" si="465"/>
        <v>0</v>
      </c>
      <c r="Z581" s="117">
        <f t="shared" si="466"/>
        <v>0</v>
      </c>
      <c r="AA581" s="117">
        <f t="shared" si="467"/>
        <v>0</v>
      </c>
      <c r="AC581" s="121" t="str">
        <f t="shared" si="468"/>
        <v/>
      </c>
      <c r="AD581" s="118">
        <f t="shared" si="469"/>
        <v>0</v>
      </c>
      <c r="AE581" s="117">
        <f t="shared" si="470"/>
        <v>0</v>
      </c>
      <c r="AF581" s="117">
        <f t="shared" si="471"/>
        <v>1</v>
      </c>
      <c r="AG581" s="117">
        <f t="shared" si="472"/>
        <v>1</v>
      </c>
      <c r="AH581" s="117">
        <f t="shared" si="473"/>
        <v>0</v>
      </c>
      <c r="AI581" s="117">
        <f t="shared" si="474"/>
        <v>0</v>
      </c>
      <c r="AJ581" s="117">
        <f t="shared" si="475"/>
        <v>0</v>
      </c>
    </row>
    <row r="582" spans="2:36" ht="16.5" customHeight="1">
      <c r="B582" s="11"/>
      <c r="C582" s="11"/>
      <c r="D582" s="8"/>
      <c r="E582" s="9" t="s">
        <v>222</v>
      </c>
      <c r="F582" s="5">
        <v>3</v>
      </c>
      <c r="G582" s="6">
        <v>0</v>
      </c>
      <c r="H582" s="7" t="s">
        <v>224</v>
      </c>
      <c r="I582" s="10"/>
      <c r="J582" s="8"/>
      <c r="K582" s="9" t="s">
        <v>211</v>
      </c>
      <c r="L582" s="5">
        <v>3</v>
      </c>
      <c r="M582" s="6">
        <v>0</v>
      </c>
      <c r="N582" s="7" t="str">
        <f t="shared" si="459"/>
        <v/>
      </c>
      <c r="O582" s="10"/>
      <c r="P582" s="36"/>
      <c r="Q582" s="35"/>
      <c r="T582" s="121" t="str">
        <f t="shared" si="460"/>
        <v/>
      </c>
      <c r="U582" s="118">
        <f t="shared" si="461"/>
        <v>0</v>
      </c>
      <c r="V582" s="117">
        <f t="shared" si="462"/>
        <v>0</v>
      </c>
      <c r="W582" s="117">
        <f t="shared" si="463"/>
        <v>1</v>
      </c>
      <c r="X582" s="117">
        <f t="shared" si="464"/>
        <v>3</v>
      </c>
      <c r="Y582" s="117">
        <f t="shared" si="465"/>
        <v>0</v>
      </c>
      <c r="Z582" s="117">
        <f t="shared" si="466"/>
        <v>0</v>
      </c>
      <c r="AA582" s="117">
        <f t="shared" si="467"/>
        <v>0</v>
      </c>
      <c r="AC582" s="121" t="str">
        <f t="shared" si="468"/>
        <v/>
      </c>
      <c r="AD582" s="118">
        <f t="shared" si="469"/>
        <v>0</v>
      </c>
      <c r="AE582" s="117">
        <f t="shared" si="470"/>
        <v>0</v>
      </c>
      <c r="AF582" s="117">
        <f t="shared" si="471"/>
        <v>1</v>
      </c>
      <c r="AG582" s="117">
        <f t="shared" si="472"/>
        <v>3</v>
      </c>
      <c r="AH582" s="117">
        <f t="shared" si="473"/>
        <v>0</v>
      </c>
      <c r="AI582" s="117">
        <f t="shared" si="474"/>
        <v>0</v>
      </c>
      <c r="AJ582" s="117">
        <f t="shared" si="475"/>
        <v>0</v>
      </c>
    </row>
    <row r="583" spans="2:36" ht="16.5" customHeight="1">
      <c r="B583" s="11"/>
      <c r="C583" s="11"/>
      <c r="D583" s="4"/>
      <c r="E583" s="4" t="s">
        <v>185</v>
      </c>
      <c r="F583" s="5">
        <v>2</v>
      </c>
      <c r="G583" s="6">
        <v>0</v>
      </c>
      <c r="H583" s="7" t="s">
        <v>224</v>
      </c>
      <c r="I583" s="7"/>
      <c r="J583" s="4"/>
      <c r="K583" s="4" t="s">
        <v>212</v>
      </c>
      <c r="L583" s="5">
        <v>3</v>
      </c>
      <c r="M583" s="6">
        <v>0</v>
      </c>
      <c r="N583" s="7" t="str">
        <f t="shared" si="459"/>
        <v/>
      </c>
      <c r="O583" s="7"/>
      <c r="P583" s="36"/>
      <c r="Q583" s="35"/>
      <c r="T583" s="121" t="str">
        <f t="shared" si="460"/>
        <v/>
      </c>
      <c r="U583" s="118">
        <f t="shared" si="461"/>
        <v>0</v>
      </c>
      <c r="V583" s="117">
        <f t="shared" si="462"/>
        <v>0</v>
      </c>
      <c r="W583" s="117">
        <f t="shared" si="463"/>
        <v>1</v>
      </c>
      <c r="X583" s="117">
        <f t="shared" si="464"/>
        <v>2</v>
      </c>
      <c r="Y583" s="117">
        <f t="shared" si="465"/>
        <v>0</v>
      </c>
      <c r="Z583" s="117">
        <f t="shared" si="466"/>
        <v>0</v>
      </c>
      <c r="AA583" s="117">
        <f t="shared" si="467"/>
        <v>0</v>
      </c>
      <c r="AC583" s="121" t="str">
        <f t="shared" si="468"/>
        <v/>
      </c>
      <c r="AD583" s="118">
        <f t="shared" si="469"/>
        <v>0</v>
      </c>
      <c r="AE583" s="117">
        <f t="shared" si="470"/>
        <v>0</v>
      </c>
      <c r="AF583" s="117">
        <f t="shared" si="471"/>
        <v>1</v>
      </c>
      <c r="AG583" s="117">
        <f t="shared" si="472"/>
        <v>3</v>
      </c>
      <c r="AH583" s="117">
        <f t="shared" si="473"/>
        <v>0</v>
      </c>
      <c r="AI583" s="117">
        <f t="shared" si="474"/>
        <v>0</v>
      </c>
      <c r="AJ583" s="117">
        <f t="shared" si="475"/>
        <v>0</v>
      </c>
    </row>
    <row r="584" spans="2:36" ht="16.5" customHeight="1">
      <c r="B584" s="11"/>
      <c r="C584" s="11"/>
      <c r="D584" s="8"/>
      <c r="E584" s="9" t="s">
        <v>186</v>
      </c>
      <c r="F584" s="5">
        <v>3</v>
      </c>
      <c r="G584" s="6">
        <v>1</v>
      </c>
      <c r="H584" s="7" t="s">
        <v>224</v>
      </c>
      <c r="I584" s="10"/>
      <c r="J584" s="8"/>
      <c r="K584" s="9" t="s">
        <v>213</v>
      </c>
      <c r="L584" s="5">
        <v>3</v>
      </c>
      <c r="M584" s="6">
        <v>2</v>
      </c>
      <c r="N584" s="7" t="str">
        <f t="shared" si="459"/>
        <v/>
      </c>
      <c r="O584" s="10"/>
      <c r="P584" s="36"/>
      <c r="Q584" s="35"/>
      <c r="T584" s="121" t="str">
        <f t="shared" si="460"/>
        <v/>
      </c>
      <c r="U584" s="118">
        <f t="shared" si="461"/>
        <v>0</v>
      </c>
      <c r="V584" s="117">
        <f t="shared" si="462"/>
        <v>0</v>
      </c>
      <c r="W584" s="117">
        <f t="shared" si="463"/>
        <v>1</v>
      </c>
      <c r="X584" s="117">
        <f t="shared" si="464"/>
        <v>2</v>
      </c>
      <c r="Y584" s="117">
        <f t="shared" si="465"/>
        <v>0</v>
      </c>
      <c r="Z584" s="117">
        <f t="shared" si="466"/>
        <v>0</v>
      </c>
      <c r="AA584" s="117">
        <f t="shared" si="467"/>
        <v>0</v>
      </c>
      <c r="AC584" s="121" t="str">
        <f t="shared" si="468"/>
        <v/>
      </c>
      <c r="AD584" s="118">
        <f t="shared" si="469"/>
        <v>0</v>
      </c>
      <c r="AE584" s="117">
        <f t="shared" si="470"/>
        <v>0</v>
      </c>
      <c r="AF584" s="117">
        <f t="shared" si="471"/>
        <v>1</v>
      </c>
      <c r="AG584" s="117">
        <f t="shared" si="472"/>
        <v>1</v>
      </c>
      <c r="AH584" s="117">
        <f t="shared" si="473"/>
        <v>0</v>
      </c>
      <c r="AI584" s="117">
        <f t="shared" si="474"/>
        <v>0</v>
      </c>
      <c r="AJ584" s="117">
        <f t="shared" si="475"/>
        <v>0</v>
      </c>
    </row>
    <row r="585" spans="2:36" ht="16.5" customHeight="1">
      <c r="B585" s="11"/>
      <c r="C585" s="11"/>
      <c r="D585" s="4"/>
      <c r="E585" s="4" t="s">
        <v>187</v>
      </c>
      <c r="F585" s="5">
        <v>2</v>
      </c>
      <c r="G585" s="6">
        <v>1</v>
      </c>
      <c r="H585" s="7" t="s">
        <v>224</v>
      </c>
      <c r="I585" s="7"/>
      <c r="J585" s="4"/>
      <c r="K585" s="4" t="s">
        <v>214</v>
      </c>
      <c r="L585" s="5">
        <v>2</v>
      </c>
      <c r="M585" s="6">
        <v>1</v>
      </c>
      <c r="N585" s="7" t="str">
        <f t="shared" si="459"/>
        <v/>
      </c>
      <c r="O585" s="7"/>
      <c r="P585" s="36"/>
      <c r="Q585" s="35"/>
      <c r="T585" s="121" t="str">
        <f t="shared" si="460"/>
        <v/>
      </c>
      <c r="U585" s="118">
        <f t="shared" si="461"/>
        <v>0</v>
      </c>
      <c r="V585" s="117">
        <f t="shared" si="462"/>
        <v>0</v>
      </c>
      <c r="W585" s="117">
        <f t="shared" si="463"/>
        <v>1</v>
      </c>
      <c r="X585" s="117">
        <f t="shared" si="464"/>
        <v>1</v>
      </c>
      <c r="Y585" s="117">
        <f t="shared" si="465"/>
        <v>0</v>
      </c>
      <c r="Z585" s="117">
        <f t="shared" si="466"/>
        <v>0</v>
      </c>
      <c r="AA585" s="117">
        <f t="shared" si="467"/>
        <v>0</v>
      </c>
      <c r="AC585" s="121" t="str">
        <f t="shared" si="468"/>
        <v/>
      </c>
      <c r="AD585" s="118">
        <f t="shared" si="469"/>
        <v>0</v>
      </c>
      <c r="AE585" s="117">
        <f t="shared" si="470"/>
        <v>0</v>
      </c>
      <c r="AF585" s="117">
        <f t="shared" si="471"/>
        <v>1</v>
      </c>
      <c r="AG585" s="117">
        <f t="shared" si="472"/>
        <v>1</v>
      </c>
      <c r="AH585" s="117">
        <f t="shared" si="473"/>
        <v>0</v>
      </c>
      <c r="AI585" s="117">
        <f t="shared" si="474"/>
        <v>0</v>
      </c>
      <c r="AJ585" s="117">
        <f t="shared" si="475"/>
        <v>0</v>
      </c>
    </row>
    <row r="586" spans="2:36" ht="16.5" customHeight="1">
      <c r="B586" s="15"/>
      <c r="C586" s="15" t="s">
        <v>10</v>
      </c>
      <c r="D586" s="8"/>
      <c r="E586" s="9" t="s">
        <v>188</v>
      </c>
      <c r="F586" s="5">
        <v>2</v>
      </c>
      <c r="G586" s="6">
        <v>1</v>
      </c>
      <c r="H586" s="7" t="s">
        <v>224</v>
      </c>
      <c r="I586" s="10"/>
      <c r="J586" s="8"/>
      <c r="K586" s="9" t="s">
        <v>215</v>
      </c>
      <c r="L586" s="5">
        <v>2</v>
      </c>
      <c r="M586" s="6">
        <v>0</v>
      </c>
      <c r="N586" s="7" t="str">
        <f t="shared" si="459"/>
        <v/>
      </c>
      <c r="O586" s="10"/>
      <c r="P586" s="39" t="s">
        <v>26</v>
      </c>
      <c r="Q586" s="38"/>
      <c r="T586" s="121" t="str">
        <f t="shared" si="460"/>
        <v/>
      </c>
      <c r="U586" s="118">
        <f t="shared" si="461"/>
        <v>0</v>
      </c>
      <c r="V586" s="117">
        <f t="shared" si="462"/>
        <v>0</v>
      </c>
      <c r="W586" s="117">
        <f t="shared" si="463"/>
        <v>1</v>
      </c>
      <c r="X586" s="117">
        <f t="shared" si="464"/>
        <v>1</v>
      </c>
      <c r="Y586" s="117">
        <f t="shared" si="465"/>
        <v>0</v>
      </c>
      <c r="Z586" s="117">
        <f t="shared" si="466"/>
        <v>0</v>
      </c>
      <c r="AA586" s="117">
        <f t="shared" si="467"/>
        <v>0</v>
      </c>
      <c r="AC586" s="121" t="str">
        <f t="shared" si="468"/>
        <v/>
      </c>
      <c r="AD586" s="118">
        <f t="shared" si="469"/>
        <v>0</v>
      </c>
      <c r="AE586" s="117">
        <f t="shared" si="470"/>
        <v>0</v>
      </c>
      <c r="AF586" s="117">
        <f t="shared" si="471"/>
        <v>1</v>
      </c>
      <c r="AG586" s="117">
        <f t="shared" si="472"/>
        <v>2</v>
      </c>
      <c r="AH586" s="117">
        <f t="shared" si="473"/>
        <v>0</v>
      </c>
      <c r="AI586" s="117">
        <f t="shared" si="474"/>
        <v>0</v>
      </c>
      <c r="AJ586" s="117">
        <f t="shared" si="475"/>
        <v>0</v>
      </c>
    </row>
    <row r="587" spans="2:36" ht="16.5" customHeight="1">
      <c r="B587" s="15"/>
      <c r="C587" s="15"/>
      <c r="D587" s="4"/>
      <c r="E587" s="4" t="s">
        <v>189</v>
      </c>
      <c r="F587" s="5">
        <v>1</v>
      </c>
      <c r="G587" s="6">
        <v>0</v>
      </c>
      <c r="H587" s="7" t="s">
        <v>224</v>
      </c>
      <c r="I587" s="7"/>
      <c r="J587" s="4"/>
      <c r="K587" s="4" t="s">
        <v>216</v>
      </c>
      <c r="L587" s="5">
        <v>3</v>
      </c>
      <c r="M587" s="6">
        <v>0</v>
      </c>
      <c r="N587" s="7" t="str">
        <f t="shared" si="459"/>
        <v/>
      </c>
      <c r="O587" s="7"/>
      <c r="P587" s="39"/>
      <c r="Q587" s="38"/>
      <c r="T587" s="121" t="str">
        <f t="shared" si="460"/>
        <v/>
      </c>
      <c r="U587" s="118">
        <f t="shared" si="461"/>
        <v>0</v>
      </c>
      <c r="V587" s="117">
        <f t="shared" si="462"/>
        <v>0</v>
      </c>
      <c r="W587" s="117">
        <f t="shared" si="463"/>
        <v>1</v>
      </c>
      <c r="X587" s="117">
        <f t="shared" si="464"/>
        <v>1</v>
      </c>
      <c r="Y587" s="117">
        <f t="shared" si="465"/>
        <v>0</v>
      </c>
      <c r="Z587" s="117">
        <f t="shared" si="466"/>
        <v>0</v>
      </c>
      <c r="AA587" s="117">
        <f t="shared" si="467"/>
        <v>0</v>
      </c>
      <c r="AC587" s="121" t="str">
        <f t="shared" si="468"/>
        <v/>
      </c>
      <c r="AD587" s="118">
        <f t="shared" si="469"/>
        <v>0</v>
      </c>
      <c r="AE587" s="117">
        <f t="shared" si="470"/>
        <v>0</v>
      </c>
      <c r="AF587" s="117">
        <f t="shared" si="471"/>
        <v>1</v>
      </c>
      <c r="AG587" s="117">
        <f t="shared" si="472"/>
        <v>3</v>
      </c>
      <c r="AH587" s="117">
        <f t="shared" si="473"/>
        <v>0</v>
      </c>
      <c r="AI587" s="117">
        <f t="shared" si="474"/>
        <v>0</v>
      </c>
      <c r="AJ587" s="117">
        <f t="shared" si="475"/>
        <v>0</v>
      </c>
    </row>
    <row r="588" spans="2:36" ht="16.5" customHeight="1">
      <c r="B588" s="15"/>
      <c r="C588" s="15"/>
      <c r="D588" s="8"/>
      <c r="E588" s="9" t="s">
        <v>190</v>
      </c>
      <c r="F588" s="5">
        <v>2</v>
      </c>
      <c r="G588" s="6">
        <v>0</v>
      </c>
      <c r="H588" s="7" t="s">
        <v>224</v>
      </c>
      <c r="I588" s="10"/>
      <c r="J588" s="8"/>
      <c r="K588" s="9" t="s">
        <v>217</v>
      </c>
      <c r="L588" s="5">
        <v>2</v>
      </c>
      <c r="M588" s="6">
        <v>1</v>
      </c>
      <c r="N588" s="7" t="str">
        <f t="shared" si="459"/>
        <v/>
      </c>
      <c r="O588" s="10"/>
      <c r="P588" s="39"/>
      <c r="Q588" s="38"/>
      <c r="T588" s="121" t="str">
        <f t="shared" si="460"/>
        <v/>
      </c>
      <c r="U588" s="118">
        <f t="shared" si="461"/>
        <v>0</v>
      </c>
      <c r="V588" s="117">
        <f t="shared" si="462"/>
        <v>0</v>
      </c>
      <c r="W588" s="117">
        <f t="shared" si="463"/>
        <v>1</v>
      </c>
      <c r="X588" s="117">
        <f t="shared" si="464"/>
        <v>2</v>
      </c>
      <c r="Y588" s="117">
        <f t="shared" si="465"/>
        <v>0</v>
      </c>
      <c r="Z588" s="117">
        <f t="shared" si="466"/>
        <v>0</v>
      </c>
      <c r="AA588" s="117">
        <f t="shared" si="467"/>
        <v>0</v>
      </c>
      <c r="AC588" s="121" t="str">
        <f t="shared" si="468"/>
        <v/>
      </c>
      <c r="AD588" s="118">
        <f t="shared" si="469"/>
        <v>0</v>
      </c>
      <c r="AE588" s="117">
        <f t="shared" si="470"/>
        <v>0</v>
      </c>
      <c r="AF588" s="117">
        <f t="shared" si="471"/>
        <v>1</v>
      </c>
      <c r="AG588" s="117">
        <f t="shared" si="472"/>
        <v>1</v>
      </c>
      <c r="AH588" s="117">
        <f t="shared" si="473"/>
        <v>0</v>
      </c>
      <c r="AI588" s="117">
        <f t="shared" si="474"/>
        <v>0</v>
      </c>
      <c r="AJ588" s="117">
        <f t="shared" si="475"/>
        <v>0</v>
      </c>
    </row>
    <row r="589" spans="2:36" ht="16.5" customHeight="1">
      <c r="B589" s="15"/>
      <c r="C589" s="15"/>
      <c r="D589" s="4"/>
      <c r="E589" s="4" t="s">
        <v>191</v>
      </c>
      <c r="F589" s="5">
        <v>2</v>
      </c>
      <c r="G589" s="6">
        <v>0</v>
      </c>
      <c r="H589" s="7" t="s">
        <v>224</v>
      </c>
      <c r="I589" s="7"/>
      <c r="J589" s="4"/>
      <c r="K589" s="4" t="s">
        <v>218</v>
      </c>
      <c r="L589" s="5">
        <v>3</v>
      </c>
      <c r="M589" s="6">
        <v>1</v>
      </c>
      <c r="N589" s="7" t="str">
        <f t="shared" si="459"/>
        <v/>
      </c>
      <c r="O589" s="7"/>
      <c r="P589" s="39"/>
      <c r="Q589" s="38"/>
      <c r="T589" s="121" t="str">
        <f t="shared" si="460"/>
        <v/>
      </c>
      <c r="U589" s="118">
        <f t="shared" si="461"/>
        <v>0</v>
      </c>
      <c r="V589" s="117">
        <f t="shared" si="462"/>
        <v>0</v>
      </c>
      <c r="W589" s="117">
        <f t="shared" si="463"/>
        <v>1</v>
      </c>
      <c r="X589" s="117">
        <f t="shared" si="464"/>
        <v>2</v>
      </c>
      <c r="Y589" s="117">
        <f t="shared" si="465"/>
        <v>0</v>
      </c>
      <c r="Z589" s="117">
        <f t="shared" si="466"/>
        <v>0</v>
      </c>
      <c r="AA589" s="117">
        <f t="shared" si="467"/>
        <v>0</v>
      </c>
      <c r="AC589" s="121" t="str">
        <f t="shared" si="468"/>
        <v/>
      </c>
      <c r="AD589" s="118">
        <f t="shared" si="469"/>
        <v>0</v>
      </c>
      <c r="AE589" s="117">
        <f t="shared" si="470"/>
        <v>0</v>
      </c>
      <c r="AF589" s="117">
        <f t="shared" si="471"/>
        <v>1</v>
      </c>
      <c r="AG589" s="117">
        <f t="shared" si="472"/>
        <v>2</v>
      </c>
      <c r="AH589" s="117">
        <f t="shared" si="473"/>
        <v>0</v>
      </c>
      <c r="AI589" s="117">
        <f t="shared" si="474"/>
        <v>0</v>
      </c>
      <c r="AJ589" s="117">
        <f t="shared" si="475"/>
        <v>0</v>
      </c>
    </row>
    <row r="590" spans="2:36" ht="16.5" customHeight="1">
      <c r="B590" s="15"/>
      <c r="C590" s="15"/>
      <c r="D590" s="8"/>
      <c r="E590" s="9" t="s">
        <v>192</v>
      </c>
      <c r="F590" s="5">
        <v>3</v>
      </c>
      <c r="G590" s="6">
        <v>0</v>
      </c>
      <c r="H590" s="7" t="s">
        <v>224</v>
      </c>
      <c r="I590" s="10"/>
      <c r="J590" s="8"/>
      <c r="K590" s="9" t="s">
        <v>219</v>
      </c>
      <c r="L590" s="5">
        <v>2</v>
      </c>
      <c r="M590" s="6">
        <v>0</v>
      </c>
      <c r="N590" s="7" t="str">
        <f t="shared" si="459"/>
        <v/>
      </c>
      <c r="O590" s="10"/>
      <c r="P590" s="39"/>
      <c r="Q590" s="38"/>
      <c r="T590" s="121" t="str">
        <f t="shared" si="460"/>
        <v/>
      </c>
      <c r="U590" s="118">
        <f t="shared" si="461"/>
        <v>0</v>
      </c>
      <c r="V590" s="117">
        <f t="shared" si="462"/>
        <v>0</v>
      </c>
      <c r="W590" s="117">
        <f t="shared" si="463"/>
        <v>1</v>
      </c>
      <c r="X590" s="117">
        <f t="shared" si="464"/>
        <v>3</v>
      </c>
      <c r="Y590" s="117">
        <f t="shared" si="465"/>
        <v>0</v>
      </c>
      <c r="Z590" s="117">
        <f t="shared" si="466"/>
        <v>0</v>
      </c>
      <c r="AA590" s="117">
        <f t="shared" si="467"/>
        <v>0</v>
      </c>
      <c r="AC590" s="121" t="str">
        <f t="shared" si="468"/>
        <v/>
      </c>
      <c r="AD590" s="118">
        <f t="shared" si="469"/>
        <v>0</v>
      </c>
      <c r="AE590" s="117">
        <f t="shared" si="470"/>
        <v>0</v>
      </c>
      <c r="AF590" s="117">
        <f t="shared" si="471"/>
        <v>1</v>
      </c>
      <c r="AG590" s="117">
        <f t="shared" si="472"/>
        <v>2</v>
      </c>
      <c r="AH590" s="117">
        <f t="shared" si="473"/>
        <v>0</v>
      </c>
      <c r="AI590" s="117">
        <f t="shared" si="474"/>
        <v>0</v>
      </c>
      <c r="AJ590" s="117">
        <f t="shared" si="475"/>
        <v>0</v>
      </c>
    </row>
    <row r="591" spans="2:36" ht="16.5" customHeight="1">
      <c r="B591" s="15"/>
      <c r="C591" s="15"/>
      <c r="D591" s="4"/>
      <c r="E591" s="4" t="s">
        <v>193</v>
      </c>
      <c r="F591" s="5">
        <v>2</v>
      </c>
      <c r="G591" s="6">
        <v>0</v>
      </c>
      <c r="H591" s="7" t="s">
        <v>224</v>
      </c>
      <c r="I591" s="7"/>
      <c r="J591" s="4"/>
      <c r="K591" s="4" t="s">
        <v>220</v>
      </c>
      <c r="L591" s="5">
        <v>2</v>
      </c>
      <c r="M591" s="6">
        <v>1</v>
      </c>
      <c r="N591" s="7" t="str">
        <f t="shared" si="459"/>
        <v/>
      </c>
      <c r="O591" s="7"/>
      <c r="P591" s="39"/>
      <c r="Q591" s="38"/>
      <c r="T591" s="121" t="str">
        <f t="shared" si="460"/>
        <v/>
      </c>
      <c r="U591" s="118">
        <f t="shared" si="461"/>
        <v>0</v>
      </c>
      <c r="V591" s="117">
        <f t="shared" si="462"/>
        <v>0</v>
      </c>
      <c r="W591" s="117">
        <f t="shared" si="463"/>
        <v>1</v>
      </c>
      <c r="X591" s="117">
        <f t="shared" si="464"/>
        <v>2</v>
      </c>
      <c r="Y591" s="117">
        <f t="shared" si="465"/>
        <v>0</v>
      </c>
      <c r="Z591" s="117">
        <f t="shared" si="466"/>
        <v>0</v>
      </c>
      <c r="AA591" s="117">
        <f t="shared" si="467"/>
        <v>0</v>
      </c>
      <c r="AC591" s="121" t="str">
        <f t="shared" si="468"/>
        <v/>
      </c>
      <c r="AD591" s="118">
        <f t="shared" si="469"/>
        <v>0</v>
      </c>
      <c r="AE591" s="117">
        <f t="shared" si="470"/>
        <v>0</v>
      </c>
      <c r="AF591" s="117">
        <f t="shared" si="471"/>
        <v>1</v>
      </c>
      <c r="AG591" s="117">
        <f t="shared" si="472"/>
        <v>1</v>
      </c>
      <c r="AH591" s="117">
        <f t="shared" si="473"/>
        <v>0</v>
      </c>
      <c r="AI591" s="117">
        <f t="shared" si="474"/>
        <v>0</v>
      </c>
      <c r="AJ591" s="117">
        <f t="shared" si="475"/>
        <v>0</v>
      </c>
    </row>
    <row r="592" spans="2:36" ht="16.5" customHeight="1">
      <c r="B592" s="15"/>
      <c r="C592" s="15"/>
      <c r="D592" s="8"/>
      <c r="E592" s="9" t="s">
        <v>194</v>
      </c>
      <c r="F592" s="5">
        <v>3</v>
      </c>
      <c r="G592" s="6">
        <v>1</v>
      </c>
      <c r="H592" s="7" t="s">
        <v>224</v>
      </c>
      <c r="I592" s="10"/>
      <c r="J592" s="8"/>
      <c r="K592" s="9" t="s">
        <v>221</v>
      </c>
      <c r="L592" s="5">
        <v>2</v>
      </c>
      <c r="M592" s="6">
        <v>0</v>
      </c>
      <c r="N592" s="7" t="str">
        <f t="shared" si="459"/>
        <v/>
      </c>
      <c r="O592" s="10"/>
      <c r="P592" s="39"/>
      <c r="Q592" s="38"/>
      <c r="T592" s="121" t="str">
        <f t="shared" si="460"/>
        <v/>
      </c>
      <c r="U592" s="118">
        <f t="shared" si="461"/>
        <v>0</v>
      </c>
      <c r="V592" s="117">
        <f t="shared" si="462"/>
        <v>0</v>
      </c>
      <c r="W592" s="117">
        <f t="shared" si="463"/>
        <v>1</v>
      </c>
      <c r="X592" s="117">
        <f t="shared" si="464"/>
        <v>2</v>
      </c>
      <c r="Y592" s="117">
        <f t="shared" si="465"/>
        <v>0</v>
      </c>
      <c r="Z592" s="117">
        <f t="shared" si="466"/>
        <v>0</v>
      </c>
      <c r="AA592" s="117">
        <f t="shared" si="467"/>
        <v>0</v>
      </c>
      <c r="AC592" s="121" t="str">
        <f t="shared" si="468"/>
        <v/>
      </c>
      <c r="AD592" s="118">
        <f t="shared" si="469"/>
        <v>0</v>
      </c>
      <c r="AE592" s="117">
        <f t="shared" si="470"/>
        <v>0</v>
      </c>
      <c r="AF592" s="117">
        <f t="shared" si="471"/>
        <v>1</v>
      </c>
      <c r="AG592" s="117">
        <f t="shared" si="472"/>
        <v>2</v>
      </c>
      <c r="AH592" s="117">
        <f t="shared" si="473"/>
        <v>0</v>
      </c>
      <c r="AI592" s="117">
        <f t="shared" si="474"/>
        <v>0</v>
      </c>
      <c r="AJ592" s="117">
        <f t="shared" si="475"/>
        <v>0</v>
      </c>
    </row>
    <row r="593" spans="2:36" ht="16.5" customHeight="1">
      <c r="K593" s="3"/>
    </row>
    <row r="594" spans="2:36" ht="23.25">
      <c r="B594" s="33" t="s">
        <v>135</v>
      </c>
      <c r="D594" s="52"/>
      <c r="E594" s="55" t="s">
        <v>29</v>
      </c>
      <c r="F594" s="56"/>
      <c r="G594" s="57"/>
      <c r="H594" s="57"/>
      <c r="I594" s="56"/>
      <c r="J594" s="82"/>
      <c r="K594" s="82" t="s">
        <v>86</v>
      </c>
      <c r="M594" s="91"/>
      <c r="N594" s="92"/>
      <c r="O594" s="92"/>
      <c r="P594" s="93"/>
      <c r="Q594" s="92"/>
      <c r="R594" s="92"/>
    </row>
    <row r="595" spans="2:36" ht="16.5" customHeight="1">
      <c r="C595" s="1"/>
      <c r="D595" s="1"/>
      <c r="E595" s="1"/>
      <c r="H595" s="1"/>
      <c r="I595" s="1"/>
      <c r="J595" s="1"/>
      <c r="P595" s="1"/>
    </row>
    <row r="596" spans="2:36" ht="16.5" customHeight="1">
      <c r="B596" s="12"/>
      <c r="C596" s="12" t="s">
        <v>7</v>
      </c>
      <c r="D596" s="4"/>
      <c r="E596" s="4" t="s">
        <v>32</v>
      </c>
      <c r="F596" s="5">
        <v>2</v>
      </c>
      <c r="G596" s="6">
        <v>0</v>
      </c>
      <c r="H596" s="7" t="s">
        <v>224</v>
      </c>
      <c r="I596" s="7"/>
      <c r="J596" s="4"/>
      <c r="K596" s="4" t="s">
        <v>195</v>
      </c>
      <c r="L596" s="5">
        <v>2</v>
      </c>
      <c r="M596" s="6">
        <v>1</v>
      </c>
      <c r="N596" s="7" t="str">
        <f>AC596</f>
        <v/>
      </c>
      <c r="O596" s="7"/>
      <c r="P596" s="24" t="s">
        <v>13</v>
      </c>
      <c r="Q596" s="13"/>
      <c r="T596" s="121" t="str">
        <f>IF($G$594="","",SUM(Y596:AA596))</f>
        <v/>
      </c>
      <c r="U596" s="118">
        <f t="shared" ref="U596" si="476">IF(V596&gt;0,1,IF(V596=0,0,2))</f>
        <v>0</v>
      </c>
      <c r="V596" s="117">
        <f>$G$594-$H$594</f>
        <v>0</v>
      </c>
      <c r="W596" s="117">
        <f t="shared" ref="W596" si="477">IF(X596&gt;0,1,IF(X596=0,0,2))</f>
        <v>1</v>
      </c>
      <c r="X596" s="117">
        <f>F596-G596</f>
        <v>2</v>
      </c>
      <c r="Y596" s="117">
        <f t="shared" ref="Y596" si="478">IF(U596=W596,3,0)</f>
        <v>0</v>
      </c>
      <c r="Z596" s="117">
        <f t="shared" ref="Z596" si="479">IF(V596=X596,1,0)</f>
        <v>0</v>
      </c>
      <c r="AA596" s="117">
        <f>IF(Z596=1,IF($G$594=F596,1,0),0)</f>
        <v>0</v>
      </c>
      <c r="AC596" s="121" t="str">
        <f>IF($G$594="","",SUM(AH596:AJ596))</f>
        <v/>
      </c>
      <c r="AD596" s="118">
        <f t="shared" ref="AD596" si="480">IF(AE596&gt;0,1,IF(AE596=0,0,2))</f>
        <v>0</v>
      </c>
      <c r="AE596" s="117">
        <f>$G$594-$H$594</f>
        <v>0</v>
      </c>
      <c r="AF596" s="117">
        <f t="shared" ref="AF596" si="481">IF(AG596&gt;0,1,IF(AG596=0,0,2))</f>
        <v>1</v>
      </c>
      <c r="AG596" s="117">
        <f>L596-M596</f>
        <v>1</v>
      </c>
      <c r="AH596" s="117">
        <f t="shared" ref="AH596" si="482">IF(AD596=AF596,3,0)</f>
        <v>0</v>
      </c>
      <c r="AI596" s="117">
        <f t="shared" ref="AI596" si="483">IF(AE596=AG596,1,0)</f>
        <v>0</v>
      </c>
      <c r="AJ596" s="117">
        <f>IF(AI596=1,IF($G$594=L596,1,0),0)</f>
        <v>0</v>
      </c>
    </row>
    <row r="597" spans="2:36" ht="16.5" customHeight="1">
      <c r="B597" s="12"/>
      <c r="C597" s="12"/>
      <c r="D597" s="8"/>
      <c r="E597" s="9" t="s">
        <v>170</v>
      </c>
      <c r="F597" s="5">
        <v>2</v>
      </c>
      <c r="G597" s="6">
        <v>0</v>
      </c>
      <c r="H597" s="7" t="s">
        <v>224</v>
      </c>
      <c r="I597" s="10"/>
      <c r="J597" s="8"/>
      <c r="K597" s="9" t="s">
        <v>196</v>
      </c>
      <c r="L597" s="5">
        <v>2</v>
      </c>
      <c r="M597" s="6">
        <v>0</v>
      </c>
      <c r="N597" s="7" t="str">
        <f t="shared" ref="N597:N623" si="484">AC597</f>
        <v/>
      </c>
      <c r="O597" s="10"/>
      <c r="P597" s="24"/>
      <c r="Q597" s="13"/>
      <c r="T597" s="121" t="str">
        <f t="shared" ref="T597:T623" si="485">IF($G$594="","",SUM(Y597:AA597))</f>
        <v/>
      </c>
      <c r="U597" s="118">
        <f t="shared" ref="U597:U623" si="486">IF(V597&gt;0,1,IF(V597=0,0,2))</f>
        <v>0</v>
      </c>
      <c r="V597" s="117">
        <f t="shared" ref="V597:V623" si="487">$G$594-$H$594</f>
        <v>0</v>
      </c>
      <c r="W597" s="117">
        <f t="shared" ref="W597:W623" si="488">IF(X597&gt;0,1,IF(X597=0,0,2))</f>
        <v>1</v>
      </c>
      <c r="X597" s="117">
        <f t="shared" ref="X597:X623" si="489">F597-G597</f>
        <v>2</v>
      </c>
      <c r="Y597" s="117">
        <f t="shared" ref="Y597:Y623" si="490">IF(U597=W597,3,0)</f>
        <v>0</v>
      </c>
      <c r="Z597" s="117">
        <f t="shared" ref="Z597:Z623" si="491">IF(V597=X597,1,0)</f>
        <v>0</v>
      </c>
      <c r="AA597" s="117">
        <f t="shared" ref="AA597:AA623" si="492">IF(Z597=1,IF($G$594=F597,1,0),0)</f>
        <v>0</v>
      </c>
      <c r="AC597" s="121" t="str">
        <f t="shared" ref="AC597:AC623" si="493">IF($G$594="","",SUM(AH597:AJ597))</f>
        <v/>
      </c>
      <c r="AD597" s="118">
        <f t="shared" ref="AD597:AD623" si="494">IF(AE597&gt;0,1,IF(AE597=0,0,2))</f>
        <v>0</v>
      </c>
      <c r="AE597" s="117">
        <f t="shared" ref="AE597:AE623" si="495">$G$594-$H$594</f>
        <v>0</v>
      </c>
      <c r="AF597" s="117">
        <f t="shared" ref="AF597:AF623" si="496">IF(AG597&gt;0,1,IF(AG597=0,0,2))</f>
        <v>1</v>
      </c>
      <c r="AG597" s="117">
        <f t="shared" ref="AG597:AG623" si="497">L597-M597</f>
        <v>2</v>
      </c>
      <c r="AH597" s="117">
        <f t="shared" ref="AH597:AH623" si="498">IF(AD597=AF597,3,0)</f>
        <v>0</v>
      </c>
      <c r="AI597" s="117">
        <f t="shared" ref="AI597:AI623" si="499">IF(AE597=AG597,1,0)</f>
        <v>0</v>
      </c>
      <c r="AJ597" s="117">
        <f t="shared" ref="AJ597:AJ623" si="500">IF(AI597=1,IF($G$594=L597,1,0),0)</f>
        <v>0</v>
      </c>
    </row>
    <row r="598" spans="2:36" ht="16.5" customHeight="1">
      <c r="B598" s="12"/>
      <c r="C598" s="12"/>
      <c r="D598" s="4"/>
      <c r="E598" s="4" t="s">
        <v>171</v>
      </c>
      <c r="F598" s="5">
        <v>2</v>
      </c>
      <c r="G598" s="6">
        <v>0</v>
      </c>
      <c r="H598" s="7" t="s">
        <v>224</v>
      </c>
      <c r="I598" s="7"/>
      <c r="J598" s="4"/>
      <c r="K598" s="4" t="s">
        <v>197</v>
      </c>
      <c r="L598" s="5">
        <v>3</v>
      </c>
      <c r="M598" s="6">
        <v>0</v>
      </c>
      <c r="N598" s="7" t="str">
        <f t="shared" si="484"/>
        <v/>
      </c>
      <c r="O598" s="7"/>
      <c r="P598" s="24"/>
      <c r="Q598" s="13"/>
      <c r="T598" s="121" t="str">
        <f t="shared" si="485"/>
        <v/>
      </c>
      <c r="U598" s="118">
        <f t="shared" si="486"/>
        <v>0</v>
      </c>
      <c r="V598" s="117">
        <f t="shared" si="487"/>
        <v>0</v>
      </c>
      <c r="W598" s="117">
        <f t="shared" si="488"/>
        <v>1</v>
      </c>
      <c r="X598" s="117">
        <f t="shared" si="489"/>
        <v>2</v>
      </c>
      <c r="Y598" s="117">
        <f t="shared" si="490"/>
        <v>0</v>
      </c>
      <c r="Z598" s="117">
        <f t="shared" si="491"/>
        <v>0</v>
      </c>
      <c r="AA598" s="117">
        <f t="shared" si="492"/>
        <v>0</v>
      </c>
      <c r="AC598" s="121" t="str">
        <f t="shared" si="493"/>
        <v/>
      </c>
      <c r="AD598" s="118">
        <f t="shared" si="494"/>
        <v>0</v>
      </c>
      <c r="AE598" s="117">
        <f t="shared" si="495"/>
        <v>0</v>
      </c>
      <c r="AF598" s="117">
        <f t="shared" si="496"/>
        <v>1</v>
      </c>
      <c r="AG598" s="117">
        <f t="shared" si="497"/>
        <v>3</v>
      </c>
      <c r="AH598" s="117">
        <f t="shared" si="498"/>
        <v>0</v>
      </c>
      <c r="AI598" s="117">
        <f t="shared" si="499"/>
        <v>0</v>
      </c>
      <c r="AJ598" s="117">
        <f t="shared" si="500"/>
        <v>0</v>
      </c>
    </row>
    <row r="599" spans="2:36" ht="16.5" customHeight="1">
      <c r="B599" s="12"/>
      <c r="C599" s="12"/>
      <c r="D599" s="8"/>
      <c r="E599" s="9" t="s">
        <v>172</v>
      </c>
      <c r="F599" s="5">
        <v>2</v>
      </c>
      <c r="G599" s="6">
        <v>1</v>
      </c>
      <c r="H599" s="7" t="s">
        <v>224</v>
      </c>
      <c r="I599" s="10"/>
      <c r="J599" s="8"/>
      <c r="K599" s="9" t="s">
        <v>198</v>
      </c>
      <c r="L599" s="5">
        <v>2</v>
      </c>
      <c r="M599" s="6">
        <v>0</v>
      </c>
      <c r="N599" s="7" t="str">
        <f t="shared" si="484"/>
        <v/>
      </c>
      <c r="O599" s="10"/>
      <c r="P599" s="24"/>
      <c r="Q599" s="13"/>
      <c r="T599" s="121" t="str">
        <f t="shared" si="485"/>
        <v/>
      </c>
      <c r="U599" s="118">
        <f t="shared" si="486"/>
        <v>0</v>
      </c>
      <c r="V599" s="117">
        <f t="shared" si="487"/>
        <v>0</v>
      </c>
      <c r="W599" s="117">
        <f t="shared" si="488"/>
        <v>1</v>
      </c>
      <c r="X599" s="117">
        <f t="shared" si="489"/>
        <v>1</v>
      </c>
      <c r="Y599" s="117">
        <f t="shared" si="490"/>
        <v>0</v>
      </c>
      <c r="Z599" s="117">
        <f t="shared" si="491"/>
        <v>0</v>
      </c>
      <c r="AA599" s="117">
        <f t="shared" si="492"/>
        <v>0</v>
      </c>
      <c r="AC599" s="121" t="str">
        <f t="shared" si="493"/>
        <v/>
      </c>
      <c r="AD599" s="118">
        <f t="shared" si="494"/>
        <v>0</v>
      </c>
      <c r="AE599" s="117">
        <f t="shared" si="495"/>
        <v>0</v>
      </c>
      <c r="AF599" s="117">
        <f t="shared" si="496"/>
        <v>1</v>
      </c>
      <c r="AG599" s="117">
        <f t="shared" si="497"/>
        <v>2</v>
      </c>
      <c r="AH599" s="117">
        <f t="shared" si="498"/>
        <v>0</v>
      </c>
      <c r="AI599" s="117">
        <f t="shared" si="499"/>
        <v>0</v>
      </c>
      <c r="AJ599" s="117">
        <f t="shared" si="500"/>
        <v>0</v>
      </c>
    </row>
    <row r="600" spans="2:36" ht="16.5" customHeight="1">
      <c r="B600" s="12"/>
      <c r="C600" s="12"/>
      <c r="D600" s="4"/>
      <c r="E600" s="4" t="s">
        <v>173</v>
      </c>
      <c r="F600" s="5">
        <v>2</v>
      </c>
      <c r="G600" s="6">
        <v>0</v>
      </c>
      <c r="H600" s="7" t="s">
        <v>224</v>
      </c>
      <c r="I600" s="7"/>
      <c r="J600" s="4"/>
      <c r="K600" s="4" t="s">
        <v>199</v>
      </c>
      <c r="L600" s="5">
        <v>2</v>
      </c>
      <c r="M600" s="6">
        <v>0</v>
      </c>
      <c r="N600" s="7" t="str">
        <f t="shared" si="484"/>
        <v/>
      </c>
      <c r="O600" s="7"/>
      <c r="P600" s="24"/>
      <c r="Q600" s="13"/>
      <c r="T600" s="121" t="str">
        <f t="shared" si="485"/>
        <v/>
      </c>
      <c r="U600" s="118">
        <f t="shared" si="486"/>
        <v>0</v>
      </c>
      <c r="V600" s="117">
        <f t="shared" si="487"/>
        <v>0</v>
      </c>
      <c r="W600" s="117">
        <f t="shared" si="488"/>
        <v>1</v>
      </c>
      <c r="X600" s="117">
        <f t="shared" si="489"/>
        <v>2</v>
      </c>
      <c r="Y600" s="117">
        <f t="shared" si="490"/>
        <v>0</v>
      </c>
      <c r="Z600" s="117">
        <f t="shared" si="491"/>
        <v>0</v>
      </c>
      <c r="AA600" s="117">
        <f t="shared" si="492"/>
        <v>0</v>
      </c>
      <c r="AC600" s="121" t="str">
        <f t="shared" si="493"/>
        <v/>
      </c>
      <c r="AD600" s="118">
        <f t="shared" si="494"/>
        <v>0</v>
      </c>
      <c r="AE600" s="117">
        <f t="shared" si="495"/>
        <v>0</v>
      </c>
      <c r="AF600" s="117">
        <f t="shared" si="496"/>
        <v>1</v>
      </c>
      <c r="AG600" s="117">
        <f t="shared" si="497"/>
        <v>2</v>
      </c>
      <c r="AH600" s="117">
        <f t="shared" si="498"/>
        <v>0</v>
      </c>
      <c r="AI600" s="117">
        <f t="shared" si="499"/>
        <v>0</v>
      </c>
      <c r="AJ600" s="117">
        <f t="shared" si="500"/>
        <v>0</v>
      </c>
    </row>
    <row r="601" spans="2:36" ht="16.5" customHeight="1">
      <c r="B601" s="12"/>
      <c r="C601" s="12"/>
      <c r="D601" s="8"/>
      <c r="E601" s="9" t="s">
        <v>174</v>
      </c>
      <c r="F601" s="5">
        <v>2</v>
      </c>
      <c r="G601" s="6">
        <v>0</v>
      </c>
      <c r="H601" s="7" t="s">
        <v>224</v>
      </c>
      <c r="I601" s="10"/>
      <c r="J601" s="8"/>
      <c r="K601" s="9" t="s">
        <v>200</v>
      </c>
      <c r="L601" s="5">
        <v>2</v>
      </c>
      <c r="M601" s="6">
        <v>0</v>
      </c>
      <c r="N601" s="7" t="str">
        <f t="shared" si="484"/>
        <v/>
      </c>
      <c r="O601" s="10"/>
      <c r="P601" s="24"/>
      <c r="Q601" s="13"/>
      <c r="T601" s="121" t="str">
        <f t="shared" si="485"/>
        <v/>
      </c>
      <c r="U601" s="118">
        <f t="shared" si="486"/>
        <v>0</v>
      </c>
      <c r="V601" s="117">
        <f t="shared" si="487"/>
        <v>0</v>
      </c>
      <c r="W601" s="117">
        <f t="shared" si="488"/>
        <v>1</v>
      </c>
      <c r="X601" s="117">
        <f t="shared" si="489"/>
        <v>2</v>
      </c>
      <c r="Y601" s="117">
        <f t="shared" si="490"/>
        <v>0</v>
      </c>
      <c r="Z601" s="117">
        <f t="shared" si="491"/>
        <v>0</v>
      </c>
      <c r="AA601" s="117">
        <f t="shared" si="492"/>
        <v>0</v>
      </c>
      <c r="AC601" s="121" t="str">
        <f t="shared" si="493"/>
        <v/>
      </c>
      <c r="AD601" s="118">
        <f t="shared" si="494"/>
        <v>0</v>
      </c>
      <c r="AE601" s="117">
        <f t="shared" si="495"/>
        <v>0</v>
      </c>
      <c r="AF601" s="117">
        <f t="shared" si="496"/>
        <v>1</v>
      </c>
      <c r="AG601" s="117">
        <f t="shared" si="497"/>
        <v>2</v>
      </c>
      <c r="AH601" s="117">
        <f t="shared" si="498"/>
        <v>0</v>
      </c>
      <c r="AI601" s="117">
        <f t="shared" si="499"/>
        <v>0</v>
      </c>
      <c r="AJ601" s="117">
        <f t="shared" si="500"/>
        <v>0</v>
      </c>
    </row>
    <row r="602" spans="2:36" ht="16.5" customHeight="1">
      <c r="B602" s="12"/>
      <c r="C602" s="12"/>
      <c r="D602" s="4"/>
      <c r="E602" s="4" t="s">
        <v>175</v>
      </c>
      <c r="F602" s="5">
        <v>2</v>
      </c>
      <c r="G602" s="6">
        <v>0</v>
      </c>
      <c r="H602" s="7" t="s">
        <v>224</v>
      </c>
      <c r="I602" s="7"/>
      <c r="J602" s="4"/>
      <c r="K602" s="4" t="s">
        <v>201</v>
      </c>
      <c r="L602" s="5">
        <v>3</v>
      </c>
      <c r="M602" s="6">
        <v>0</v>
      </c>
      <c r="N602" s="7" t="str">
        <f t="shared" si="484"/>
        <v/>
      </c>
      <c r="O602" s="7"/>
      <c r="P602" s="24"/>
      <c r="Q602" s="13"/>
      <c r="T602" s="121" t="str">
        <f t="shared" si="485"/>
        <v/>
      </c>
      <c r="U602" s="118">
        <f t="shared" si="486"/>
        <v>0</v>
      </c>
      <c r="V602" s="117">
        <f t="shared" si="487"/>
        <v>0</v>
      </c>
      <c r="W602" s="117">
        <f t="shared" si="488"/>
        <v>1</v>
      </c>
      <c r="X602" s="117">
        <f t="shared" si="489"/>
        <v>2</v>
      </c>
      <c r="Y602" s="117">
        <f t="shared" si="490"/>
        <v>0</v>
      </c>
      <c r="Z602" s="117">
        <f t="shared" si="491"/>
        <v>0</v>
      </c>
      <c r="AA602" s="117">
        <f t="shared" si="492"/>
        <v>0</v>
      </c>
      <c r="AC602" s="121" t="str">
        <f t="shared" si="493"/>
        <v/>
      </c>
      <c r="AD602" s="118">
        <f t="shared" si="494"/>
        <v>0</v>
      </c>
      <c r="AE602" s="117">
        <f t="shared" si="495"/>
        <v>0</v>
      </c>
      <c r="AF602" s="117">
        <f t="shared" si="496"/>
        <v>1</v>
      </c>
      <c r="AG602" s="117">
        <f t="shared" si="497"/>
        <v>3</v>
      </c>
      <c r="AH602" s="117">
        <f t="shared" si="498"/>
        <v>0</v>
      </c>
      <c r="AI602" s="117">
        <f t="shared" si="499"/>
        <v>0</v>
      </c>
      <c r="AJ602" s="117">
        <f t="shared" si="500"/>
        <v>0</v>
      </c>
    </row>
    <row r="603" spans="2:36" ht="16.5" customHeight="1">
      <c r="B603" s="14"/>
      <c r="C603" s="14" t="s">
        <v>8</v>
      </c>
      <c r="D603" s="8"/>
      <c r="E603" s="9" t="s">
        <v>33</v>
      </c>
      <c r="F603" s="5">
        <v>3</v>
      </c>
      <c r="G603" s="6">
        <v>1</v>
      </c>
      <c r="H603" s="7" t="s">
        <v>224</v>
      </c>
      <c r="I603" s="10"/>
      <c r="J603" s="8"/>
      <c r="K603" s="9" t="s">
        <v>225</v>
      </c>
      <c r="L603" s="5">
        <v>2</v>
      </c>
      <c r="M603" s="6">
        <v>0</v>
      </c>
      <c r="N603" s="7" t="str">
        <f t="shared" si="484"/>
        <v/>
      </c>
      <c r="O603" s="10"/>
      <c r="P603" s="31" t="s">
        <v>16</v>
      </c>
      <c r="Q603" s="30"/>
      <c r="T603" s="121" t="str">
        <f t="shared" si="485"/>
        <v/>
      </c>
      <c r="U603" s="118">
        <f t="shared" si="486"/>
        <v>0</v>
      </c>
      <c r="V603" s="117">
        <f t="shared" si="487"/>
        <v>0</v>
      </c>
      <c r="W603" s="117">
        <f t="shared" si="488"/>
        <v>1</v>
      </c>
      <c r="X603" s="117">
        <f t="shared" si="489"/>
        <v>2</v>
      </c>
      <c r="Y603" s="117">
        <f t="shared" si="490"/>
        <v>0</v>
      </c>
      <c r="Z603" s="117">
        <f t="shared" si="491"/>
        <v>0</v>
      </c>
      <c r="AA603" s="117">
        <f t="shared" si="492"/>
        <v>0</v>
      </c>
      <c r="AC603" s="121" t="str">
        <f t="shared" si="493"/>
        <v/>
      </c>
      <c r="AD603" s="118">
        <f t="shared" si="494"/>
        <v>0</v>
      </c>
      <c r="AE603" s="117">
        <f t="shared" si="495"/>
        <v>0</v>
      </c>
      <c r="AF603" s="117">
        <f t="shared" si="496"/>
        <v>1</v>
      </c>
      <c r="AG603" s="117">
        <f t="shared" si="497"/>
        <v>2</v>
      </c>
      <c r="AH603" s="117">
        <f t="shared" si="498"/>
        <v>0</v>
      </c>
      <c r="AI603" s="117">
        <f t="shared" si="499"/>
        <v>0</v>
      </c>
      <c r="AJ603" s="117">
        <f t="shared" si="500"/>
        <v>0</v>
      </c>
    </row>
    <row r="604" spans="2:36" ht="16.5" customHeight="1">
      <c r="B604" s="14"/>
      <c r="C604" s="14"/>
      <c r="D604" s="4"/>
      <c r="E604" s="4" t="s">
        <v>176</v>
      </c>
      <c r="F604" s="5">
        <v>3</v>
      </c>
      <c r="G604" s="6">
        <v>0</v>
      </c>
      <c r="H604" s="7" t="s">
        <v>224</v>
      </c>
      <c r="I604" s="7"/>
      <c r="J604" s="4"/>
      <c r="K604" s="4" t="s">
        <v>203</v>
      </c>
      <c r="L604" s="5">
        <v>3</v>
      </c>
      <c r="M604" s="6">
        <v>0</v>
      </c>
      <c r="N604" s="7" t="str">
        <f t="shared" si="484"/>
        <v/>
      </c>
      <c r="O604" s="7"/>
      <c r="P604" s="31"/>
      <c r="Q604" s="30"/>
      <c r="T604" s="121" t="str">
        <f t="shared" si="485"/>
        <v/>
      </c>
      <c r="U604" s="118">
        <f t="shared" si="486"/>
        <v>0</v>
      </c>
      <c r="V604" s="117">
        <f t="shared" si="487"/>
        <v>0</v>
      </c>
      <c r="W604" s="117">
        <f t="shared" si="488"/>
        <v>1</v>
      </c>
      <c r="X604" s="117">
        <f t="shared" si="489"/>
        <v>3</v>
      </c>
      <c r="Y604" s="117">
        <f t="shared" si="490"/>
        <v>0</v>
      </c>
      <c r="Z604" s="117">
        <f t="shared" si="491"/>
        <v>0</v>
      </c>
      <c r="AA604" s="117">
        <f t="shared" si="492"/>
        <v>0</v>
      </c>
      <c r="AC604" s="121" t="str">
        <f t="shared" si="493"/>
        <v/>
      </c>
      <c r="AD604" s="118">
        <f t="shared" si="494"/>
        <v>0</v>
      </c>
      <c r="AE604" s="117">
        <f t="shared" si="495"/>
        <v>0</v>
      </c>
      <c r="AF604" s="117">
        <f t="shared" si="496"/>
        <v>1</v>
      </c>
      <c r="AG604" s="117">
        <f t="shared" si="497"/>
        <v>3</v>
      </c>
      <c r="AH604" s="117">
        <f t="shared" si="498"/>
        <v>0</v>
      </c>
      <c r="AI604" s="117">
        <f t="shared" si="499"/>
        <v>0</v>
      </c>
      <c r="AJ604" s="117">
        <f t="shared" si="500"/>
        <v>0</v>
      </c>
    </row>
    <row r="605" spans="2:36" ht="16.5" customHeight="1">
      <c r="B605" s="14"/>
      <c r="C605" s="14"/>
      <c r="D605" s="8"/>
      <c r="E605" s="9" t="s">
        <v>177</v>
      </c>
      <c r="F605" s="5">
        <v>1</v>
      </c>
      <c r="G605" s="6">
        <v>0</v>
      </c>
      <c r="H605" s="7" t="s">
        <v>224</v>
      </c>
      <c r="I605" s="10"/>
      <c r="J605" s="8"/>
      <c r="K605" s="9" t="s">
        <v>204</v>
      </c>
      <c r="L605" s="5">
        <v>1</v>
      </c>
      <c r="M605" s="6">
        <v>0</v>
      </c>
      <c r="N605" s="7" t="str">
        <f t="shared" si="484"/>
        <v/>
      </c>
      <c r="O605" s="10"/>
      <c r="P605" s="31"/>
      <c r="Q605" s="30"/>
      <c r="T605" s="121" t="str">
        <f t="shared" si="485"/>
        <v/>
      </c>
      <c r="U605" s="118">
        <f t="shared" si="486"/>
        <v>0</v>
      </c>
      <c r="V605" s="117">
        <f t="shared" si="487"/>
        <v>0</v>
      </c>
      <c r="W605" s="117">
        <f t="shared" si="488"/>
        <v>1</v>
      </c>
      <c r="X605" s="117">
        <f t="shared" si="489"/>
        <v>1</v>
      </c>
      <c r="Y605" s="117">
        <f t="shared" si="490"/>
        <v>0</v>
      </c>
      <c r="Z605" s="117">
        <f t="shared" si="491"/>
        <v>0</v>
      </c>
      <c r="AA605" s="117">
        <f t="shared" si="492"/>
        <v>0</v>
      </c>
      <c r="AC605" s="121" t="str">
        <f t="shared" si="493"/>
        <v/>
      </c>
      <c r="AD605" s="118">
        <f t="shared" si="494"/>
        <v>0</v>
      </c>
      <c r="AE605" s="117">
        <f t="shared" si="495"/>
        <v>0</v>
      </c>
      <c r="AF605" s="117">
        <f t="shared" si="496"/>
        <v>1</v>
      </c>
      <c r="AG605" s="117">
        <f t="shared" si="497"/>
        <v>1</v>
      </c>
      <c r="AH605" s="117">
        <f t="shared" si="498"/>
        <v>0</v>
      </c>
      <c r="AI605" s="117">
        <f t="shared" si="499"/>
        <v>0</v>
      </c>
      <c r="AJ605" s="117">
        <f t="shared" si="500"/>
        <v>0</v>
      </c>
    </row>
    <row r="606" spans="2:36" ht="16.5" customHeight="1">
      <c r="B606" s="14"/>
      <c r="C606" s="14"/>
      <c r="D606" s="4"/>
      <c r="E606" s="4" t="s">
        <v>178</v>
      </c>
      <c r="F606" s="5">
        <v>3</v>
      </c>
      <c r="G606" s="6">
        <v>0</v>
      </c>
      <c r="H606" s="7" t="s">
        <v>224</v>
      </c>
      <c r="I606" s="7"/>
      <c r="J606" s="4"/>
      <c r="K606" s="4" t="s">
        <v>223</v>
      </c>
      <c r="L606" s="5">
        <v>1</v>
      </c>
      <c r="M606" s="6">
        <v>1</v>
      </c>
      <c r="N606" s="7" t="str">
        <f t="shared" si="484"/>
        <v/>
      </c>
      <c r="O606" s="7"/>
      <c r="P606" s="31"/>
      <c r="Q606" s="30"/>
      <c r="T606" s="121" t="str">
        <f t="shared" si="485"/>
        <v/>
      </c>
      <c r="U606" s="118">
        <f t="shared" si="486"/>
        <v>0</v>
      </c>
      <c r="V606" s="117">
        <f t="shared" si="487"/>
        <v>0</v>
      </c>
      <c r="W606" s="117">
        <f t="shared" si="488"/>
        <v>1</v>
      </c>
      <c r="X606" s="117">
        <f t="shared" si="489"/>
        <v>3</v>
      </c>
      <c r="Y606" s="117">
        <f t="shared" si="490"/>
        <v>0</v>
      </c>
      <c r="Z606" s="117">
        <f t="shared" si="491"/>
        <v>0</v>
      </c>
      <c r="AA606" s="117">
        <f t="shared" si="492"/>
        <v>0</v>
      </c>
      <c r="AC606" s="121" t="str">
        <f t="shared" si="493"/>
        <v/>
      </c>
      <c r="AD606" s="118">
        <f t="shared" si="494"/>
        <v>0</v>
      </c>
      <c r="AE606" s="117">
        <f t="shared" si="495"/>
        <v>0</v>
      </c>
      <c r="AF606" s="117">
        <f t="shared" si="496"/>
        <v>0</v>
      </c>
      <c r="AG606" s="117">
        <f t="shared" si="497"/>
        <v>0</v>
      </c>
      <c r="AH606" s="117">
        <f t="shared" si="498"/>
        <v>3</v>
      </c>
      <c r="AI606" s="117">
        <f t="shared" si="499"/>
        <v>1</v>
      </c>
      <c r="AJ606" s="117">
        <f t="shared" si="500"/>
        <v>0</v>
      </c>
    </row>
    <row r="607" spans="2:36" ht="16.5" customHeight="1">
      <c r="B607" s="14"/>
      <c r="C607" s="14"/>
      <c r="D607" s="8"/>
      <c r="E607" s="9" t="s">
        <v>179</v>
      </c>
      <c r="F607" s="5">
        <v>3</v>
      </c>
      <c r="G607" s="6">
        <v>0</v>
      </c>
      <c r="H607" s="7" t="s">
        <v>224</v>
      </c>
      <c r="I607" s="10"/>
      <c r="J607" s="8"/>
      <c r="K607" s="9" t="s">
        <v>205</v>
      </c>
      <c r="L607" s="5">
        <v>2</v>
      </c>
      <c r="M607" s="6">
        <v>1</v>
      </c>
      <c r="N607" s="7" t="str">
        <f t="shared" si="484"/>
        <v/>
      </c>
      <c r="O607" s="10"/>
      <c r="P607" s="31"/>
      <c r="Q607" s="30"/>
      <c r="T607" s="121" t="str">
        <f t="shared" si="485"/>
        <v/>
      </c>
      <c r="U607" s="118">
        <f t="shared" si="486"/>
        <v>0</v>
      </c>
      <c r="V607" s="117">
        <f t="shared" si="487"/>
        <v>0</v>
      </c>
      <c r="W607" s="117">
        <f t="shared" si="488"/>
        <v>1</v>
      </c>
      <c r="X607" s="117">
        <f t="shared" si="489"/>
        <v>3</v>
      </c>
      <c r="Y607" s="117">
        <f t="shared" si="490"/>
        <v>0</v>
      </c>
      <c r="Z607" s="117">
        <f t="shared" si="491"/>
        <v>0</v>
      </c>
      <c r="AA607" s="117">
        <f t="shared" si="492"/>
        <v>0</v>
      </c>
      <c r="AC607" s="121" t="str">
        <f t="shared" si="493"/>
        <v/>
      </c>
      <c r="AD607" s="118">
        <f t="shared" si="494"/>
        <v>0</v>
      </c>
      <c r="AE607" s="117">
        <f t="shared" si="495"/>
        <v>0</v>
      </c>
      <c r="AF607" s="117">
        <f t="shared" si="496"/>
        <v>1</v>
      </c>
      <c r="AG607" s="117">
        <f t="shared" si="497"/>
        <v>1</v>
      </c>
      <c r="AH607" s="117">
        <f t="shared" si="498"/>
        <v>0</v>
      </c>
      <c r="AI607" s="117">
        <f t="shared" si="499"/>
        <v>0</v>
      </c>
      <c r="AJ607" s="117">
        <f t="shared" si="500"/>
        <v>0</v>
      </c>
    </row>
    <row r="608" spans="2:36" ht="16.5" customHeight="1">
      <c r="B608" s="14"/>
      <c r="C608" s="14"/>
      <c r="D608" s="4"/>
      <c r="E608" s="4" t="s">
        <v>180</v>
      </c>
      <c r="F608" s="5">
        <v>0</v>
      </c>
      <c r="G608" s="6">
        <v>0</v>
      </c>
      <c r="H608" s="7" t="s">
        <v>224</v>
      </c>
      <c r="I608" s="7"/>
      <c r="J608" s="4"/>
      <c r="K608" s="4" t="s">
        <v>206</v>
      </c>
      <c r="L608" s="5">
        <v>2</v>
      </c>
      <c r="M608" s="6">
        <v>0</v>
      </c>
      <c r="N608" s="7" t="str">
        <f t="shared" si="484"/>
        <v/>
      </c>
      <c r="O608" s="7"/>
      <c r="P608" s="31"/>
      <c r="Q608" s="30"/>
      <c r="T608" s="121" t="str">
        <f t="shared" si="485"/>
        <v/>
      </c>
      <c r="U608" s="118">
        <f t="shared" si="486"/>
        <v>0</v>
      </c>
      <c r="V608" s="117">
        <f t="shared" si="487"/>
        <v>0</v>
      </c>
      <c r="W608" s="117">
        <f t="shared" si="488"/>
        <v>0</v>
      </c>
      <c r="X608" s="117">
        <f t="shared" si="489"/>
        <v>0</v>
      </c>
      <c r="Y608" s="117">
        <f t="shared" si="490"/>
        <v>3</v>
      </c>
      <c r="Z608" s="117">
        <f t="shared" si="491"/>
        <v>1</v>
      </c>
      <c r="AA608" s="117">
        <f t="shared" si="492"/>
        <v>1</v>
      </c>
      <c r="AC608" s="121" t="str">
        <f t="shared" si="493"/>
        <v/>
      </c>
      <c r="AD608" s="118">
        <f t="shared" si="494"/>
        <v>0</v>
      </c>
      <c r="AE608" s="117">
        <f t="shared" si="495"/>
        <v>0</v>
      </c>
      <c r="AF608" s="117">
        <f t="shared" si="496"/>
        <v>1</v>
      </c>
      <c r="AG608" s="117">
        <f t="shared" si="497"/>
        <v>2</v>
      </c>
      <c r="AH608" s="117">
        <f t="shared" si="498"/>
        <v>0</v>
      </c>
      <c r="AI608" s="117">
        <f t="shared" si="499"/>
        <v>0</v>
      </c>
      <c r="AJ608" s="117">
        <f t="shared" si="500"/>
        <v>0</v>
      </c>
    </row>
    <row r="609" spans="2:36" ht="16.5" customHeight="1">
      <c r="B609" s="14"/>
      <c r="C609" s="14"/>
      <c r="D609" s="8"/>
      <c r="E609" s="9" t="s">
        <v>181</v>
      </c>
      <c r="F609" s="5">
        <v>2</v>
      </c>
      <c r="G609" s="6">
        <v>0</v>
      </c>
      <c r="H609" s="7" t="s">
        <v>224</v>
      </c>
      <c r="I609" s="10"/>
      <c r="J609" s="8"/>
      <c r="K609" s="9" t="s">
        <v>207</v>
      </c>
      <c r="L609" s="5">
        <v>3</v>
      </c>
      <c r="M609" s="6">
        <v>1</v>
      </c>
      <c r="N609" s="7" t="str">
        <f t="shared" si="484"/>
        <v/>
      </c>
      <c r="O609" s="10"/>
      <c r="P609" s="31"/>
      <c r="Q609" s="30"/>
      <c r="T609" s="121" t="str">
        <f t="shared" si="485"/>
        <v/>
      </c>
      <c r="U609" s="118">
        <f t="shared" si="486"/>
        <v>0</v>
      </c>
      <c r="V609" s="117">
        <f t="shared" si="487"/>
        <v>0</v>
      </c>
      <c r="W609" s="117">
        <f t="shared" si="488"/>
        <v>1</v>
      </c>
      <c r="X609" s="117">
        <f t="shared" si="489"/>
        <v>2</v>
      </c>
      <c r="Y609" s="117">
        <f t="shared" si="490"/>
        <v>0</v>
      </c>
      <c r="Z609" s="117">
        <f t="shared" si="491"/>
        <v>0</v>
      </c>
      <c r="AA609" s="117">
        <f t="shared" si="492"/>
        <v>0</v>
      </c>
      <c r="AC609" s="121" t="str">
        <f t="shared" si="493"/>
        <v/>
      </c>
      <c r="AD609" s="118">
        <f t="shared" si="494"/>
        <v>0</v>
      </c>
      <c r="AE609" s="117">
        <f t="shared" si="495"/>
        <v>0</v>
      </c>
      <c r="AF609" s="117">
        <f t="shared" si="496"/>
        <v>1</v>
      </c>
      <c r="AG609" s="117">
        <f t="shared" si="497"/>
        <v>2</v>
      </c>
      <c r="AH609" s="117">
        <f t="shared" si="498"/>
        <v>0</v>
      </c>
      <c r="AI609" s="117">
        <f t="shared" si="499"/>
        <v>0</v>
      </c>
      <c r="AJ609" s="117">
        <f t="shared" si="500"/>
        <v>0</v>
      </c>
    </row>
    <row r="610" spans="2:36" ht="16.5" customHeight="1">
      <c r="B610" s="11"/>
      <c r="C610" s="11" t="s">
        <v>9</v>
      </c>
      <c r="D610" s="4"/>
      <c r="E610" s="4" t="s">
        <v>182</v>
      </c>
      <c r="F610" s="5">
        <v>2</v>
      </c>
      <c r="G610" s="6">
        <v>0</v>
      </c>
      <c r="H610" s="7" t="s">
        <v>224</v>
      </c>
      <c r="I610" s="7"/>
      <c r="J610" s="4"/>
      <c r="K610" s="4" t="s">
        <v>208</v>
      </c>
      <c r="L610" s="5">
        <v>1</v>
      </c>
      <c r="M610" s="6">
        <v>0</v>
      </c>
      <c r="N610" s="7" t="str">
        <f t="shared" si="484"/>
        <v/>
      </c>
      <c r="O610" s="7"/>
      <c r="P610" s="36" t="s">
        <v>25</v>
      </c>
      <c r="Q610" s="35"/>
      <c r="T610" s="121" t="str">
        <f t="shared" si="485"/>
        <v/>
      </c>
      <c r="U610" s="118">
        <f t="shared" si="486"/>
        <v>0</v>
      </c>
      <c r="V610" s="117">
        <f t="shared" si="487"/>
        <v>0</v>
      </c>
      <c r="W610" s="117">
        <f t="shared" si="488"/>
        <v>1</v>
      </c>
      <c r="X610" s="117">
        <f t="shared" si="489"/>
        <v>2</v>
      </c>
      <c r="Y610" s="117">
        <f t="shared" si="490"/>
        <v>0</v>
      </c>
      <c r="Z610" s="117">
        <f t="shared" si="491"/>
        <v>0</v>
      </c>
      <c r="AA610" s="117">
        <f t="shared" si="492"/>
        <v>0</v>
      </c>
      <c r="AC610" s="121" t="str">
        <f t="shared" si="493"/>
        <v/>
      </c>
      <c r="AD610" s="118">
        <f t="shared" si="494"/>
        <v>0</v>
      </c>
      <c r="AE610" s="117">
        <f t="shared" si="495"/>
        <v>0</v>
      </c>
      <c r="AF610" s="117">
        <f t="shared" si="496"/>
        <v>1</v>
      </c>
      <c r="AG610" s="117">
        <f t="shared" si="497"/>
        <v>1</v>
      </c>
      <c r="AH610" s="117">
        <f t="shared" si="498"/>
        <v>0</v>
      </c>
      <c r="AI610" s="117">
        <f t="shared" si="499"/>
        <v>0</v>
      </c>
      <c r="AJ610" s="117">
        <f t="shared" si="500"/>
        <v>0</v>
      </c>
    </row>
    <row r="611" spans="2:36" ht="16.5" customHeight="1">
      <c r="B611" s="11"/>
      <c r="C611" s="11"/>
      <c r="D611" s="8"/>
      <c r="E611" s="9" t="s">
        <v>183</v>
      </c>
      <c r="F611" s="5">
        <v>2</v>
      </c>
      <c r="G611" s="6">
        <v>0</v>
      </c>
      <c r="H611" s="7" t="s">
        <v>224</v>
      </c>
      <c r="I611" s="10"/>
      <c r="J611" s="8"/>
      <c r="K611" s="9" t="s">
        <v>209</v>
      </c>
      <c r="L611" s="5">
        <v>2</v>
      </c>
      <c r="M611" s="6">
        <v>0</v>
      </c>
      <c r="N611" s="7" t="str">
        <f t="shared" si="484"/>
        <v/>
      </c>
      <c r="O611" s="10"/>
      <c r="P611" s="36"/>
      <c r="Q611" s="35"/>
      <c r="T611" s="121" t="str">
        <f t="shared" si="485"/>
        <v/>
      </c>
      <c r="U611" s="118">
        <f t="shared" si="486"/>
        <v>0</v>
      </c>
      <c r="V611" s="117">
        <f t="shared" si="487"/>
        <v>0</v>
      </c>
      <c r="W611" s="117">
        <f t="shared" si="488"/>
        <v>1</v>
      </c>
      <c r="X611" s="117">
        <f t="shared" si="489"/>
        <v>2</v>
      </c>
      <c r="Y611" s="117">
        <f t="shared" si="490"/>
        <v>0</v>
      </c>
      <c r="Z611" s="117">
        <f t="shared" si="491"/>
        <v>0</v>
      </c>
      <c r="AA611" s="117">
        <f t="shared" si="492"/>
        <v>0</v>
      </c>
      <c r="AC611" s="121" t="str">
        <f t="shared" si="493"/>
        <v/>
      </c>
      <c r="AD611" s="118">
        <f t="shared" si="494"/>
        <v>0</v>
      </c>
      <c r="AE611" s="117">
        <f t="shared" si="495"/>
        <v>0</v>
      </c>
      <c r="AF611" s="117">
        <f t="shared" si="496"/>
        <v>1</v>
      </c>
      <c r="AG611" s="117">
        <f t="shared" si="497"/>
        <v>2</v>
      </c>
      <c r="AH611" s="117">
        <f t="shared" si="498"/>
        <v>0</v>
      </c>
      <c r="AI611" s="117">
        <f t="shared" si="499"/>
        <v>0</v>
      </c>
      <c r="AJ611" s="117">
        <f t="shared" si="500"/>
        <v>0</v>
      </c>
    </row>
    <row r="612" spans="2:36" ht="16.5" customHeight="1">
      <c r="B612" s="11"/>
      <c r="C612" s="11"/>
      <c r="D612" s="4"/>
      <c r="E612" s="4" t="s">
        <v>184</v>
      </c>
      <c r="F612" s="5">
        <v>2</v>
      </c>
      <c r="G612" s="6">
        <v>1</v>
      </c>
      <c r="H612" s="7" t="s">
        <v>224</v>
      </c>
      <c r="I612" s="7"/>
      <c r="J612" s="4"/>
      <c r="K612" s="4" t="s">
        <v>210</v>
      </c>
      <c r="L612" s="5">
        <v>0</v>
      </c>
      <c r="M612" s="6">
        <v>0</v>
      </c>
      <c r="N612" s="7" t="str">
        <f t="shared" si="484"/>
        <v/>
      </c>
      <c r="O612" s="7"/>
      <c r="P612" s="36"/>
      <c r="Q612" s="35"/>
      <c r="T612" s="121" t="str">
        <f t="shared" si="485"/>
        <v/>
      </c>
      <c r="U612" s="118">
        <f t="shared" si="486"/>
        <v>0</v>
      </c>
      <c r="V612" s="117">
        <f t="shared" si="487"/>
        <v>0</v>
      </c>
      <c r="W612" s="117">
        <f t="shared" si="488"/>
        <v>1</v>
      </c>
      <c r="X612" s="117">
        <f t="shared" si="489"/>
        <v>1</v>
      </c>
      <c r="Y612" s="117">
        <f t="shared" si="490"/>
        <v>0</v>
      </c>
      <c r="Z612" s="117">
        <f t="shared" si="491"/>
        <v>0</v>
      </c>
      <c r="AA612" s="117">
        <f t="shared" si="492"/>
        <v>0</v>
      </c>
      <c r="AC612" s="121" t="str">
        <f t="shared" si="493"/>
        <v/>
      </c>
      <c r="AD612" s="118">
        <f t="shared" si="494"/>
        <v>0</v>
      </c>
      <c r="AE612" s="117">
        <f t="shared" si="495"/>
        <v>0</v>
      </c>
      <c r="AF612" s="117">
        <f t="shared" si="496"/>
        <v>0</v>
      </c>
      <c r="AG612" s="117">
        <f t="shared" si="497"/>
        <v>0</v>
      </c>
      <c r="AH612" s="117">
        <f t="shared" si="498"/>
        <v>3</v>
      </c>
      <c r="AI612" s="117">
        <f t="shared" si="499"/>
        <v>1</v>
      </c>
      <c r="AJ612" s="117">
        <f t="shared" si="500"/>
        <v>1</v>
      </c>
    </row>
    <row r="613" spans="2:36" ht="16.5" customHeight="1">
      <c r="B613" s="11"/>
      <c r="C613" s="11"/>
      <c r="D613" s="8"/>
      <c r="E613" s="9" t="s">
        <v>222</v>
      </c>
      <c r="F613" s="5">
        <v>1</v>
      </c>
      <c r="G613" s="6">
        <v>1</v>
      </c>
      <c r="H613" s="7" t="s">
        <v>224</v>
      </c>
      <c r="I613" s="10"/>
      <c r="J613" s="8"/>
      <c r="K613" s="9" t="s">
        <v>211</v>
      </c>
      <c r="L613" s="5">
        <v>2</v>
      </c>
      <c r="M613" s="6">
        <v>0</v>
      </c>
      <c r="N613" s="7" t="str">
        <f t="shared" si="484"/>
        <v/>
      </c>
      <c r="O613" s="10"/>
      <c r="P613" s="36"/>
      <c r="Q613" s="35"/>
      <c r="T613" s="121" t="str">
        <f t="shared" si="485"/>
        <v/>
      </c>
      <c r="U613" s="118">
        <f t="shared" si="486"/>
        <v>0</v>
      </c>
      <c r="V613" s="117">
        <f t="shared" si="487"/>
        <v>0</v>
      </c>
      <c r="W613" s="117">
        <f t="shared" si="488"/>
        <v>0</v>
      </c>
      <c r="X613" s="117">
        <f t="shared" si="489"/>
        <v>0</v>
      </c>
      <c r="Y613" s="117">
        <f t="shared" si="490"/>
        <v>3</v>
      </c>
      <c r="Z613" s="117">
        <f t="shared" si="491"/>
        <v>1</v>
      </c>
      <c r="AA613" s="117">
        <f t="shared" si="492"/>
        <v>0</v>
      </c>
      <c r="AC613" s="121" t="str">
        <f t="shared" si="493"/>
        <v/>
      </c>
      <c r="AD613" s="118">
        <f t="shared" si="494"/>
        <v>0</v>
      </c>
      <c r="AE613" s="117">
        <f t="shared" si="495"/>
        <v>0</v>
      </c>
      <c r="AF613" s="117">
        <f t="shared" si="496"/>
        <v>1</v>
      </c>
      <c r="AG613" s="117">
        <f t="shared" si="497"/>
        <v>2</v>
      </c>
      <c r="AH613" s="117">
        <f t="shared" si="498"/>
        <v>0</v>
      </c>
      <c r="AI613" s="117">
        <f t="shared" si="499"/>
        <v>0</v>
      </c>
      <c r="AJ613" s="117">
        <f t="shared" si="500"/>
        <v>0</v>
      </c>
    </row>
    <row r="614" spans="2:36" ht="16.5" customHeight="1">
      <c r="B614" s="11"/>
      <c r="C614" s="11"/>
      <c r="D614" s="4"/>
      <c r="E614" s="4" t="s">
        <v>185</v>
      </c>
      <c r="F614" s="5">
        <v>2</v>
      </c>
      <c r="G614" s="6">
        <v>0</v>
      </c>
      <c r="H614" s="7" t="s">
        <v>224</v>
      </c>
      <c r="I614" s="7"/>
      <c r="J614" s="4"/>
      <c r="K614" s="4" t="s">
        <v>212</v>
      </c>
      <c r="L614" s="5">
        <v>1</v>
      </c>
      <c r="M614" s="6">
        <v>1</v>
      </c>
      <c r="N614" s="7" t="str">
        <f t="shared" si="484"/>
        <v/>
      </c>
      <c r="O614" s="7"/>
      <c r="P614" s="36"/>
      <c r="Q614" s="35"/>
      <c r="T614" s="121" t="str">
        <f t="shared" si="485"/>
        <v/>
      </c>
      <c r="U614" s="118">
        <f t="shared" si="486"/>
        <v>0</v>
      </c>
      <c r="V614" s="117">
        <f t="shared" si="487"/>
        <v>0</v>
      </c>
      <c r="W614" s="117">
        <f t="shared" si="488"/>
        <v>1</v>
      </c>
      <c r="X614" s="117">
        <f t="shared" si="489"/>
        <v>2</v>
      </c>
      <c r="Y614" s="117">
        <f t="shared" si="490"/>
        <v>0</v>
      </c>
      <c r="Z614" s="117">
        <f t="shared" si="491"/>
        <v>0</v>
      </c>
      <c r="AA614" s="117">
        <f t="shared" si="492"/>
        <v>0</v>
      </c>
      <c r="AC614" s="121" t="str">
        <f t="shared" si="493"/>
        <v/>
      </c>
      <c r="AD614" s="118">
        <f t="shared" si="494"/>
        <v>0</v>
      </c>
      <c r="AE614" s="117">
        <f t="shared" si="495"/>
        <v>0</v>
      </c>
      <c r="AF614" s="117">
        <f t="shared" si="496"/>
        <v>0</v>
      </c>
      <c r="AG614" s="117">
        <f t="shared" si="497"/>
        <v>0</v>
      </c>
      <c r="AH614" s="117">
        <f t="shared" si="498"/>
        <v>3</v>
      </c>
      <c r="AI614" s="117">
        <f t="shared" si="499"/>
        <v>1</v>
      </c>
      <c r="AJ614" s="117">
        <f t="shared" si="500"/>
        <v>0</v>
      </c>
    </row>
    <row r="615" spans="2:36" ht="16.5" customHeight="1">
      <c r="B615" s="11"/>
      <c r="C615" s="11"/>
      <c r="D615" s="8"/>
      <c r="E615" s="9" t="s">
        <v>186</v>
      </c>
      <c r="F615" s="5">
        <v>3</v>
      </c>
      <c r="G615" s="6">
        <v>1</v>
      </c>
      <c r="H615" s="7" t="s">
        <v>224</v>
      </c>
      <c r="I615" s="10"/>
      <c r="J615" s="8"/>
      <c r="K615" s="9" t="s">
        <v>213</v>
      </c>
      <c r="L615" s="5">
        <v>1</v>
      </c>
      <c r="M615" s="6">
        <v>0</v>
      </c>
      <c r="N615" s="7" t="str">
        <f t="shared" si="484"/>
        <v/>
      </c>
      <c r="O615" s="10"/>
      <c r="P615" s="36"/>
      <c r="Q615" s="35"/>
      <c r="T615" s="121" t="str">
        <f t="shared" si="485"/>
        <v/>
      </c>
      <c r="U615" s="118">
        <f t="shared" si="486"/>
        <v>0</v>
      </c>
      <c r="V615" s="117">
        <f t="shared" si="487"/>
        <v>0</v>
      </c>
      <c r="W615" s="117">
        <f t="shared" si="488"/>
        <v>1</v>
      </c>
      <c r="X615" s="117">
        <f t="shared" si="489"/>
        <v>2</v>
      </c>
      <c r="Y615" s="117">
        <f t="shared" si="490"/>
        <v>0</v>
      </c>
      <c r="Z615" s="117">
        <f t="shared" si="491"/>
        <v>0</v>
      </c>
      <c r="AA615" s="117">
        <f t="shared" si="492"/>
        <v>0</v>
      </c>
      <c r="AC615" s="121" t="str">
        <f t="shared" si="493"/>
        <v/>
      </c>
      <c r="AD615" s="118">
        <f t="shared" si="494"/>
        <v>0</v>
      </c>
      <c r="AE615" s="117">
        <f t="shared" si="495"/>
        <v>0</v>
      </c>
      <c r="AF615" s="117">
        <f t="shared" si="496"/>
        <v>1</v>
      </c>
      <c r="AG615" s="117">
        <f t="shared" si="497"/>
        <v>1</v>
      </c>
      <c r="AH615" s="117">
        <f t="shared" si="498"/>
        <v>0</v>
      </c>
      <c r="AI615" s="117">
        <f t="shared" si="499"/>
        <v>0</v>
      </c>
      <c r="AJ615" s="117">
        <f t="shared" si="500"/>
        <v>0</v>
      </c>
    </row>
    <row r="616" spans="2:36" ht="16.5" customHeight="1">
      <c r="B616" s="11"/>
      <c r="C616" s="11"/>
      <c r="D616" s="4"/>
      <c r="E616" s="4" t="s">
        <v>187</v>
      </c>
      <c r="F616" s="5">
        <v>3</v>
      </c>
      <c r="G616" s="6">
        <v>0</v>
      </c>
      <c r="H616" s="7" t="s">
        <v>224</v>
      </c>
      <c r="I616" s="7"/>
      <c r="J616" s="4"/>
      <c r="K616" s="4" t="s">
        <v>214</v>
      </c>
      <c r="L616" s="5">
        <v>1</v>
      </c>
      <c r="M616" s="6">
        <v>0</v>
      </c>
      <c r="N616" s="7" t="str">
        <f t="shared" si="484"/>
        <v/>
      </c>
      <c r="O616" s="7"/>
      <c r="P616" s="36"/>
      <c r="Q616" s="35"/>
      <c r="T616" s="121" t="str">
        <f t="shared" si="485"/>
        <v/>
      </c>
      <c r="U616" s="118">
        <f t="shared" si="486"/>
        <v>0</v>
      </c>
      <c r="V616" s="117">
        <f t="shared" si="487"/>
        <v>0</v>
      </c>
      <c r="W616" s="117">
        <f t="shared" si="488"/>
        <v>1</v>
      </c>
      <c r="X616" s="117">
        <f t="shared" si="489"/>
        <v>3</v>
      </c>
      <c r="Y616" s="117">
        <f t="shared" si="490"/>
        <v>0</v>
      </c>
      <c r="Z616" s="117">
        <f t="shared" si="491"/>
        <v>0</v>
      </c>
      <c r="AA616" s="117">
        <f t="shared" si="492"/>
        <v>0</v>
      </c>
      <c r="AC616" s="121" t="str">
        <f t="shared" si="493"/>
        <v/>
      </c>
      <c r="AD616" s="118">
        <f t="shared" si="494"/>
        <v>0</v>
      </c>
      <c r="AE616" s="117">
        <f t="shared" si="495"/>
        <v>0</v>
      </c>
      <c r="AF616" s="117">
        <f t="shared" si="496"/>
        <v>1</v>
      </c>
      <c r="AG616" s="117">
        <f t="shared" si="497"/>
        <v>1</v>
      </c>
      <c r="AH616" s="117">
        <f t="shared" si="498"/>
        <v>0</v>
      </c>
      <c r="AI616" s="117">
        <f t="shared" si="499"/>
        <v>0</v>
      </c>
      <c r="AJ616" s="117">
        <f t="shared" si="500"/>
        <v>0</v>
      </c>
    </row>
    <row r="617" spans="2:36" ht="16.5" customHeight="1">
      <c r="B617" s="15"/>
      <c r="C617" s="15" t="s">
        <v>10</v>
      </c>
      <c r="D617" s="8"/>
      <c r="E617" s="9" t="s">
        <v>188</v>
      </c>
      <c r="F617" s="5">
        <v>1</v>
      </c>
      <c r="G617" s="6">
        <v>0</v>
      </c>
      <c r="H617" s="7" t="s">
        <v>224</v>
      </c>
      <c r="I617" s="10"/>
      <c r="J617" s="8"/>
      <c r="K617" s="9" t="s">
        <v>215</v>
      </c>
      <c r="L617" s="5">
        <v>2</v>
      </c>
      <c r="M617" s="6">
        <v>0</v>
      </c>
      <c r="N617" s="7" t="str">
        <f t="shared" si="484"/>
        <v/>
      </c>
      <c r="O617" s="10"/>
      <c r="P617" s="39" t="s">
        <v>26</v>
      </c>
      <c r="Q617" s="38"/>
      <c r="T617" s="121" t="str">
        <f t="shared" si="485"/>
        <v/>
      </c>
      <c r="U617" s="118">
        <f t="shared" si="486"/>
        <v>0</v>
      </c>
      <c r="V617" s="117">
        <f t="shared" si="487"/>
        <v>0</v>
      </c>
      <c r="W617" s="117">
        <f t="shared" si="488"/>
        <v>1</v>
      </c>
      <c r="X617" s="117">
        <f t="shared" si="489"/>
        <v>1</v>
      </c>
      <c r="Y617" s="117">
        <f t="shared" si="490"/>
        <v>0</v>
      </c>
      <c r="Z617" s="117">
        <f t="shared" si="491"/>
        <v>0</v>
      </c>
      <c r="AA617" s="117">
        <f t="shared" si="492"/>
        <v>0</v>
      </c>
      <c r="AC617" s="121" t="str">
        <f t="shared" si="493"/>
        <v/>
      </c>
      <c r="AD617" s="118">
        <f t="shared" si="494"/>
        <v>0</v>
      </c>
      <c r="AE617" s="117">
        <f t="shared" si="495"/>
        <v>0</v>
      </c>
      <c r="AF617" s="117">
        <f t="shared" si="496"/>
        <v>1</v>
      </c>
      <c r="AG617" s="117">
        <f t="shared" si="497"/>
        <v>2</v>
      </c>
      <c r="AH617" s="117">
        <f t="shared" si="498"/>
        <v>0</v>
      </c>
      <c r="AI617" s="117">
        <f t="shared" si="499"/>
        <v>0</v>
      </c>
      <c r="AJ617" s="117">
        <f t="shared" si="500"/>
        <v>0</v>
      </c>
    </row>
    <row r="618" spans="2:36" ht="16.5" customHeight="1">
      <c r="B618" s="15"/>
      <c r="C618" s="15"/>
      <c r="D618" s="4"/>
      <c r="E618" s="4" t="s">
        <v>189</v>
      </c>
      <c r="F618" s="5">
        <v>2</v>
      </c>
      <c r="G618" s="6">
        <v>0</v>
      </c>
      <c r="H618" s="7" t="s">
        <v>224</v>
      </c>
      <c r="I618" s="7"/>
      <c r="J618" s="4"/>
      <c r="K618" s="4" t="s">
        <v>216</v>
      </c>
      <c r="L618" s="5">
        <v>2</v>
      </c>
      <c r="M618" s="6">
        <v>0</v>
      </c>
      <c r="N618" s="7" t="str">
        <f t="shared" si="484"/>
        <v/>
      </c>
      <c r="O618" s="7"/>
      <c r="P618" s="39"/>
      <c r="Q618" s="38"/>
      <c r="T618" s="121" t="str">
        <f t="shared" si="485"/>
        <v/>
      </c>
      <c r="U618" s="118">
        <f t="shared" si="486"/>
        <v>0</v>
      </c>
      <c r="V618" s="117">
        <f t="shared" si="487"/>
        <v>0</v>
      </c>
      <c r="W618" s="117">
        <f t="shared" si="488"/>
        <v>1</v>
      </c>
      <c r="X618" s="117">
        <f t="shared" si="489"/>
        <v>2</v>
      </c>
      <c r="Y618" s="117">
        <f t="shared" si="490"/>
        <v>0</v>
      </c>
      <c r="Z618" s="117">
        <f t="shared" si="491"/>
        <v>0</v>
      </c>
      <c r="AA618" s="117">
        <f t="shared" si="492"/>
        <v>0</v>
      </c>
      <c r="AC618" s="121" t="str">
        <f t="shared" si="493"/>
        <v/>
      </c>
      <c r="AD618" s="118">
        <f t="shared" si="494"/>
        <v>0</v>
      </c>
      <c r="AE618" s="117">
        <f t="shared" si="495"/>
        <v>0</v>
      </c>
      <c r="AF618" s="117">
        <f t="shared" si="496"/>
        <v>1</v>
      </c>
      <c r="AG618" s="117">
        <f t="shared" si="497"/>
        <v>2</v>
      </c>
      <c r="AH618" s="117">
        <f t="shared" si="498"/>
        <v>0</v>
      </c>
      <c r="AI618" s="117">
        <f t="shared" si="499"/>
        <v>0</v>
      </c>
      <c r="AJ618" s="117">
        <f t="shared" si="500"/>
        <v>0</v>
      </c>
    </row>
    <row r="619" spans="2:36" ht="16.5" customHeight="1">
      <c r="B619" s="15"/>
      <c r="C619" s="15"/>
      <c r="D619" s="8"/>
      <c r="E619" s="9" t="s">
        <v>190</v>
      </c>
      <c r="F619" s="5">
        <v>2</v>
      </c>
      <c r="G619" s="6">
        <v>1</v>
      </c>
      <c r="H619" s="7" t="s">
        <v>224</v>
      </c>
      <c r="I619" s="10"/>
      <c r="J619" s="8"/>
      <c r="K619" s="9" t="s">
        <v>217</v>
      </c>
      <c r="L619" s="5">
        <v>2</v>
      </c>
      <c r="M619" s="6">
        <v>0</v>
      </c>
      <c r="N619" s="7" t="str">
        <f t="shared" si="484"/>
        <v/>
      </c>
      <c r="O619" s="10"/>
      <c r="P619" s="39"/>
      <c r="Q619" s="38"/>
      <c r="T619" s="121" t="str">
        <f t="shared" si="485"/>
        <v/>
      </c>
      <c r="U619" s="118">
        <f t="shared" si="486"/>
        <v>0</v>
      </c>
      <c r="V619" s="117">
        <f t="shared" si="487"/>
        <v>0</v>
      </c>
      <c r="W619" s="117">
        <f t="shared" si="488"/>
        <v>1</v>
      </c>
      <c r="X619" s="117">
        <f t="shared" si="489"/>
        <v>1</v>
      </c>
      <c r="Y619" s="117">
        <f t="shared" si="490"/>
        <v>0</v>
      </c>
      <c r="Z619" s="117">
        <f t="shared" si="491"/>
        <v>0</v>
      </c>
      <c r="AA619" s="117">
        <f t="shared" si="492"/>
        <v>0</v>
      </c>
      <c r="AC619" s="121" t="str">
        <f t="shared" si="493"/>
        <v/>
      </c>
      <c r="AD619" s="118">
        <f t="shared" si="494"/>
        <v>0</v>
      </c>
      <c r="AE619" s="117">
        <f t="shared" si="495"/>
        <v>0</v>
      </c>
      <c r="AF619" s="117">
        <f t="shared" si="496"/>
        <v>1</v>
      </c>
      <c r="AG619" s="117">
        <f t="shared" si="497"/>
        <v>2</v>
      </c>
      <c r="AH619" s="117">
        <f t="shared" si="498"/>
        <v>0</v>
      </c>
      <c r="AI619" s="117">
        <f t="shared" si="499"/>
        <v>0</v>
      </c>
      <c r="AJ619" s="117">
        <f t="shared" si="500"/>
        <v>0</v>
      </c>
    </row>
    <row r="620" spans="2:36" ht="16.5" customHeight="1">
      <c r="B620" s="15"/>
      <c r="C620" s="15"/>
      <c r="D620" s="4"/>
      <c r="E620" s="4" t="s">
        <v>191</v>
      </c>
      <c r="F620" s="5">
        <v>2</v>
      </c>
      <c r="G620" s="6">
        <v>0</v>
      </c>
      <c r="H620" s="7" t="s">
        <v>224</v>
      </c>
      <c r="I620" s="7"/>
      <c r="J620" s="4"/>
      <c r="K620" s="4" t="s">
        <v>218</v>
      </c>
      <c r="L620" s="5">
        <v>2</v>
      </c>
      <c r="M620" s="6">
        <v>0</v>
      </c>
      <c r="N620" s="7" t="str">
        <f t="shared" si="484"/>
        <v/>
      </c>
      <c r="O620" s="7"/>
      <c r="P620" s="39"/>
      <c r="Q620" s="38"/>
      <c r="T620" s="121" t="str">
        <f t="shared" si="485"/>
        <v/>
      </c>
      <c r="U620" s="118">
        <f t="shared" si="486"/>
        <v>0</v>
      </c>
      <c r="V620" s="117">
        <f t="shared" si="487"/>
        <v>0</v>
      </c>
      <c r="W620" s="117">
        <f t="shared" si="488"/>
        <v>1</v>
      </c>
      <c r="X620" s="117">
        <f t="shared" si="489"/>
        <v>2</v>
      </c>
      <c r="Y620" s="117">
        <f t="shared" si="490"/>
        <v>0</v>
      </c>
      <c r="Z620" s="117">
        <f t="shared" si="491"/>
        <v>0</v>
      </c>
      <c r="AA620" s="117">
        <f t="shared" si="492"/>
        <v>0</v>
      </c>
      <c r="AC620" s="121" t="str">
        <f t="shared" si="493"/>
        <v/>
      </c>
      <c r="AD620" s="118">
        <f t="shared" si="494"/>
        <v>0</v>
      </c>
      <c r="AE620" s="117">
        <f t="shared" si="495"/>
        <v>0</v>
      </c>
      <c r="AF620" s="117">
        <f t="shared" si="496"/>
        <v>1</v>
      </c>
      <c r="AG620" s="117">
        <f t="shared" si="497"/>
        <v>2</v>
      </c>
      <c r="AH620" s="117">
        <f t="shared" si="498"/>
        <v>0</v>
      </c>
      <c r="AI620" s="117">
        <f t="shared" si="499"/>
        <v>0</v>
      </c>
      <c r="AJ620" s="117">
        <f t="shared" si="500"/>
        <v>0</v>
      </c>
    </row>
    <row r="621" spans="2:36" ht="16.5" customHeight="1">
      <c r="B621" s="15"/>
      <c r="C621" s="15"/>
      <c r="D621" s="8"/>
      <c r="E621" s="9" t="s">
        <v>192</v>
      </c>
      <c r="F621" s="5">
        <v>2</v>
      </c>
      <c r="G621" s="6">
        <v>0</v>
      </c>
      <c r="H621" s="7" t="s">
        <v>224</v>
      </c>
      <c r="I621" s="10"/>
      <c r="J621" s="8"/>
      <c r="K621" s="9" t="s">
        <v>219</v>
      </c>
      <c r="L621" s="5">
        <v>2</v>
      </c>
      <c r="M621" s="6">
        <v>0</v>
      </c>
      <c r="N621" s="7" t="str">
        <f t="shared" si="484"/>
        <v/>
      </c>
      <c r="O621" s="10"/>
      <c r="P621" s="39"/>
      <c r="Q621" s="38"/>
      <c r="T621" s="121" t="str">
        <f t="shared" si="485"/>
        <v/>
      </c>
      <c r="U621" s="118">
        <f t="shared" si="486"/>
        <v>0</v>
      </c>
      <c r="V621" s="117">
        <f t="shared" si="487"/>
        <v>0</v>
      </c>
      <c r="W621" s="117">
        <f t="shared" si="488"/>
        <v>1</v>
      </c>
      <c r="X621" s="117">
        <f t="shared" si="489"/>
        <v>2</v>
      </c>
      <c r="Y621" s="117">
        <f t="shared" si="490"/>
        <v>0</v>
      </c>
      <c r="Z621" s="117">
        <f t="shared" si="491"/>
        <v>0</v>
      </c>
      <c r="AA621" s="117">
        <f t="shared" si="492"/>
        <v>0</v>
      </c>
      <c r="AC621" s="121" t="str">
        <f t="shared" si="493"/>
        <v/>
      </c>
      <c r="AD621" s="118">
        <f t="shared" si="494"/>
        <v>0</v>
      </c>
      <c r="AE621" s="117">
        <f t="shared" si="495"/>
        <v>0</v>
      </c>
      <c r="AF621" s="117">
        <f t="shared" si="496"/>
        <v>1</v>
      </c>
      <c r="AG621" s="117">
        <f t="shared" si="497"/>
        <v>2</v>
      </c>
      <c r="AH621" s="117">
        <f t="shared" si="498"/>
        <v>0</v>
      </c>
      <c r="AI621" s="117">
        <f t="shared" si="499"/>
        <v>0</v>
      </c>
      <c r="AJ621" s="117">
        <f t="shared" si="500"/>
        <v>0</v>
      </c>
    </row>
    <row r="622" spans="2:36" ht="16.5" customHeight="1">
      <c r="B622" s="15"/>
      <c r="C622" s="15"/>
      <c r="D622" s="4"/>
      <c r="E622" s="4" t="s">
        <v>193</v>
      </c>
      <c r="F622" s="5">
        <v>1</v>
      </c>
      <c r="G622" s="6">
        <v>0</v>
      </c>
      <c r="H622" s="7" t="s">
        <v>224</v>
      </c>
      <c r="I622" s="7"/>
      <c r="J622" s="4"/>
      <c r="K622" s="4" t="s">
        <v>220</v>
      </c>
      <c r="L622" s="5">
        <v>2</v>
      </c>
      <c r="M622" s="6">
        <v>1</v>
      </c>
      <c r="N622" s="7" t="str">
        <f t="shared" si="484"/>
        <v/>
      </c>
      <c r="O622" s="7"/>
      <c r="P622" s="39"/>
      <c r="Q622" s="38"/>
      <c r="T622" s="121" t="str">
        <f t="shared" si="485"/>
        <v/>
      </c>
      <c r="U622" s="118">
        <f t="shared" si="486"/>
        <v>0</v>
      </c>
      <c r="V622" s="117">
        <f t="shared" si="487"/>
        <v>0</v>
      </c>
      <c r="W622" s="117">
        <f t="shared" si="488"/>
        <v>1</v>
      </c>
      <c r="X622" s="117">
        <f t="shared" si="489"/>
        <v>1</v>
      </c>
      <c r="Y622" s="117">
        <f t="shared" si="490"/>
        <v>0</v>
      </c>
      <c r="Z622" s="117">
        <f t="shared" si="491"/>
        <v>0</v>
      </c>
      <c r="AA622" s="117">
        <f t="shared" si="492"/>
        <v>0</v>
      </c>
      <c r="AC622" s="121" t="str">
        <f t="shared" si="493"/>
        <v/>
      </c>
      <c r="AD622" s="118">
        <f t="shared" si="494"/>
        <v>0</v>
      </c>
      <c r="AE622" s="117">
        <f t="shared" si="495"/>
        <v>0</v>
      </c>
      <c r="AF622" s="117">
        <f t="shared" si="496"/>
        <v>1</v>
      </c>
      <c r="AG622" s="117">
        <f t="shared" si="497"/>
        <v>1</v>
      </c>
      <c r="AH622" s="117">
        <f t="shared" si="498"/>
        <v>0</v>
      </c>
      <c r="AI622" s="117">
        <f t="shared" si="499"/>
        <v>0</v>
      </c>
      <c r="AJ622" s="117">
        <f t="shared" si="500"/>
        <v>0</v>
      </c>
    </row>
    <row r="623" spans="2:36" ht="16.5" customHeight="1">
      <c r="B623" s="15"/>
      <c r="C623" s="15"/>
      <c r="D623" s="8"/>
      <c r="E623" s="9" t="s">
        <v>194</v>
      </c>
      <c r="F623" s="5">
        <v>2</v>
      </c>
      <c r="G623" s="6">
        <v>1</v>
      </c>
      <c r="H623" s="7" t="s">
        <v>224</v>
      </c>
      <c r="I623" s="10"/>
      <c r="J623" s="8"/>
      <c r="K623" s="9" t="s">
        <v>221</v>
      </c>
      <c r="L623" s="5">
        <v>1</v>
      </c>
      <c r="M623" s="6">
        <v>0</v>
      </c>
      <c r="N623" s="7" t="str">
        <f t="shared" si="484"/>
        <v/>
      </c>
      <c r="O623" s="10"/>
      <c r="P623" s="39"/>
      <c r="Q623" s="38"/>
      <c r="T623" s="121" t="str">
        <f t="shared" si="485"/>
        <v/>
      </c>
      <c r="U623" s="118">
        <f t="shared" si="486"/>
        <v>0</v>
      </c>
      <c r="V623" s="117">
        <f t="shared" si="487"/>
        <v>0</v>
      </c>
      <c r="W623" s="117">
        <f t="shared" si="488"/>
        <v>1</v>
      </c>
      <c r="X623" s="117">
        <f t="shared" si="489"/>
        <v>1</v>
      </c>
      <c r="Y623" s="117">
        <f t="shared" si="490"/>
        <v>0</v>
      </c>
      <c r="Z623" s="117">
        <f t="shared" si="491"/>
        <v>0</v>
      </c>
      <c r="AA623" s="117">
        <f t="shared" si="492"/>
        <v>0</v>
      </c>
      <c r="AC623" s="121" t="str">
        <f t="shared" si="493"/>
        <v/>
      </c>
      <c r="AD623" s="118">
        <f t="shared" si="494"/>
        <v>0</v>
      </c>
      <c r="AE623" s="117">
        <f t="shared" si="495"/>
        <v>0</v>
      </c>
      <c r="AF623" s="117">
        <f t="shared" si="496"/>
        <v>1</v>
      </c>
      <c r="AG623" s="117">
        <f t="shared" si="497"/>
        <v>1</v>
      </c>
      <c r="AH623" s="117">
        <f t="shared" si="498"/>
        <v>0</v>
      </c>
      <c r="AI623" s="117">
        <f t="shared" si="499"/>
        <v>0</v>
      </c>
      <c r="AJ623" s="117">
        <f t="shared" si="500"/>
        <v>0</v>
      </c>
    </row>
    <row r="624" spans="2:36" ht="16.5" customHeight="1">
      <c r="K624" s="3"/>
    </row>
    <row r="625" spans="2:36" ht="23.25">
      <c r="B625" s="33" t="s">
        <v>136</v>
      </c>
      <c r="D625" s="52"/>
      <c r="E625" s="55" t="s">
        <v>24</v>
      </c>
      <c r="F625" s="56"/>
      <c r="G625" s="57"/>
      <c r="H625" s="57"/>
      <c r="I625" s="56"/>
      <c r="J625" s="82"/>
      <c r="K625" s="82" t="s">
        <v>87</v>
      </c>
      <c r="M625" s="91"/>
      <c r="N625" s="92"/>
      <c r="O625" s="92"/>
      <c r="P625" s="93"/>
      <c r="Q625" s="92"/>
      <c r="R625" s="92"/>
    </row>
    <row r="626" spans="2:36" ht="16.5" customHeight="1">
      <c r="C626" s="1"/>
      <c r="D626" s="1"/>
      <c r="E626" s="1"/>
      <c r="H626" s="1"/>
      <c r="I626" s="1"/>
      <c r="J626" s="1"/>
      <c r="P626" s="1"/>
    </row>
    <row r="627" spans="2:36" ht="16.5" customHeight="1">
      <c r="B627" s="12"/>
      <c r="C627" s="12" t="s">
        <v>7</v>
      </c>
      <c r="D627" s="4"/>
      <c r="E627" s="4" t="s">
        <v>32</v>
      </c>
      <c r="F627" s="5">
        <v>4</v>
      </c>
      <c r="G627" s="6">
        <v>0</v>
      </c>
      <c r="H627" s="7" t="s">
        <v>224</v>
      </c>
      <c r="I627" s="7"/>
      <c r="J627" s="4"/>
      <c r="K627" s="4" t="s">
        <v>195</v>
      </c>
      <c r="L627" s="5">
        <v>3</v>
      </c>
      <c r="M627" s="6">
        <v>1</v>
      </c>
      <c r="N627" s="7" t="str">
        <f>AC627</f>
        <v/>
      </c>
      <c r="O627" s="7"/>
      <c r="P627" s="24" t="s">
        <v>13</v>
      </c>
      <c r="Q627" s="13"/>
      <c r="T627" s="121" t="str">
        <f>IF($G$625="","",SUM(Y627:AA627))</f>
        <v/>
      </c>
      <c r="U627" s="118">
        <f t="shared" ref="U627" si="501">IF(V627&gt;0,1,IF(V627=0,0,2))</f>
        <v>0</v>
      </c>
      <c r="V627" s="117">
        <f>$G$625-$H$625</f>
        <v>0</v>
      </c>
      <c r="W627" s="117">
        <f t="shared" ref="W627" si="502">IF(X627&gt;0,1,IF(X627=0,0,2))</f>
        <v>1</v>
      </c>
      <c r="X627" s="117">
        <f>F627-G627</f>
        <v>4</v>
      </c>
      <c r="Y627" s="117">
        <f t="shared" ref="Y627" si="503">IF(U627=W627,3,0)</f>
        <v>0</v>
      </c>
      <c r="Z627" s="117">
        <f t="shared" ref="Z627" si="504">IF(V627=X627,1,0)</f>
        <v>0</v>
      </c>
      <c r="AA627" s="117">
        <f>IF(Z627=1,IF($G$625=F627,1,0),0)</f>
        <v>0</v>
      </c>
      <c r="AC627" s="121" t="str">
        <f>IF($G$625="","",SUM(AH627:AJ627))</f>
        <v/>
      </c>
      <c r="AD627" s="118">
        <f t="shared" ref="AD627" si="505">IF(AE627&gt;0,1,IF(AE627=0,0,2))</f>
        <v>0</v>
      </c>
      <c r="AE627" s="117">
        <f>$G$625-$H$625</f>
        <v>0</v>
      </c>
      <c r="AF627" s="117">
        <f t="shared" ref="AF627" si="506">IF(AG627&gt;0,1,IF(AG627=0,0,2))</f>
        <v>1</v>
      </c>
      <c r="AG627" s="117">
        <f>L627-M627</f>
        <v>2</v>
      </c>
      <c r="AH627" s="117">
        <f t="shared" ref="AH627" si="507">IF(AD627=AF627,3,0)</f>
        <v>0</v>
      </c>
      <c r="AI627" s="117">
        <f t="shared" ref="AI627" si="508">IF(AE627=AG627,1,0)</f>
        <v>0</v>
      </c>
      <c r="AJ627" s="117">
        <f>IF(AI627=1,IF($G$625=L627,1,0),0)</f>
        <v>0</v>
      </c>
    </row>
    <row r="628" spans="2:36" ht="16.5" customHeight="1">
      <c r="B628" s="12"/>
      <c r="C628" s="12"/>
      <c r="D628" s="8"/>
      <c r="E628" s="9" t="s">
        <v>170</v>
      </c>
      <c r="F628" s="5">
        <v>2</v>
      </c>
      <c r="G628" s="6">
        <v>0</v>
      </c>
      <c r="H628" s="7" t="s">
        <v>224</v>
      </c>
      <c r="I628" s="10"/>
      <c r="J628" s="8"/>
      <c r="K628" s="9" t="s">
        <v>196</v>
      </c>
      <c r="L628" s="5">
        <v>2</v>
      </c>
      <c r="M628" s="6">
        <v>0</v>
      </c>
      <c r="N628" s="7" t="str">
        <f t="shared" ref="N628:N654" si="509">AC628</f>
        <v/>
      </c>
      <c r="O628" s="10"/>
      <c r="P628" s="24"/>
      <c r="Q628" s="13"/>
      <c r="T628" s="121" t="str">
        <f t="shared" ref="T628:T654" si="510">IF($G$625="","",SUM(Y628:AA628))</f>
        <v/>
      </c>
      <c r="U628" s="118">
        <f t="shared" ref="U628:U654" si="511">IF(V628&gt;0,1,IF(V628=0,0,2))</f>
        <v>0</v>
      </c>
      <c r="V628" s="117">
        <f t="shared" ref="V628:V654" si="512">$G$625-$H$625</f>
        <v>0</v>
      </c>
      <c r="W628" s="117">
        <f t="shared" ref="W628:W654" si="513">IF(X628&gt;0,1,IF(X628=0,0,2))</f>
        <v>1</v>
      </c>
      <c r="X628" s="117">
        <f t="shared" ref="X628:X654" si="514">F628-G628</f>
        <v>2</v>
      </c>
      <c r="Y628" s="117">
        <f t="shared" ref="Y628:Y654" si="515">IF(U628=W628,3,0)</f>
        <v>0</v>
      </c>
      <c r="Z628" s="117">
        <f t="shared" ref="Z628:Z654" si="516">IF(V628=X628,1,0)</f>
        <v>0</v>
      </c>
      <c r="AA628" s="117">
        <f t="shared" ref="AA628:AA654" si="517">IF(Z628=1,IF($G$625=F628,1,0),0)</f>
        <v>0</v>
      </c>
      <c r="AC628" s="121" t="str">
        <f t="shared" ref="AC628:AC654" si="518">IF($G$625="","",SUM(AH628:AJ628))</f>
        <v/>
      </c>
      <c r="AD628" s="118">
        <f t="shared" ref="AD628:AD654" si="519">IF(AE628&gt;0,1,IF(AE628=0,0,2))</f>
        <v>0</v>
      </c>
      <c r="AE628" s="117">
        <f t="shared" ref="AE628:AE654" si="520">$G$625-$H$625</f>
        <v>0</v>
      </c>
      <c r="AF628" s="117">
        <f t="shared" ref="AF628:AF654" si="521">IF(AG628&gt;0,1,IF(AG628=0,0,2))</f>
        <v>1</v>
      </c>
      <c r="AG628" s="117">
        <f t="shared" ref="AG628:AG654" si="522">L628-M628</f>
        <v>2</v>
      </c>
      <c r="AH628" s="117">
        <f t="shared" ref="AH628:AH654" si="523">IF(AD628=AF628,3,0)</f>
        <v>0</v>
      </c>
      <c r="AI628" s="117">
        <f t="shared" ref="AI628:AI654" si="524">IF(AE628=AG628,1,0)</f>
        <v>0</v>
      </c>
      <c r="AJ628" s="117">
        <f t="shared" ref="AJ628:AJ654" si="525">IF(AI628=1,IF($G$625=L628,1,0),0)</f>
        <v>0</v>
      </c>
    </row>
    <row r="629" spans="2:36" ht="16.5" customHeight="1">
      <c r="B629" s="12"/>
      <c r="C629" s="12"/>
      <c r="D629" s="4"/>
      <c r="E629" s="4" t="s">
        <v>171</v>
      </c>
      <c r="F629" s="5">
        <v>2</v>
      </c>
      <c r="G629" s="6">
        <v>1</v>
      </c>
      <c r="H629" s="7" t="s">
        <v>224</v>
      </c>
      <c r="I629" s="7"/>
      <c r="J629" s="4"/>
      <c r="K629" s="4" t="s">
        <v>197</v>
      </c>
      <c r="L629" s="5">
        <v>4</v>
      </c>
      <c r="M629" s="6">
        <v>1</v>
      </c>
      <c r="N629" s="7" t="str">
        <f t="shared" si="509"/>
        <v/>
      </c>
      <c r="O629" s="7"/>
      <c r="P629" s="24"/>
      <c r="Q629" s="13"/>
      <c r="T629" s="121" t="str">
        <f t="shared" si="510"/>
        <v/>
      </c>
      <c r="U629" s="118">
        <f t="shared" si="511"/>
        <v>0</v>
      </c>
      <c r="V629" s="117">
        <f t="shared" si="512"/>
        <v>0</v>
      </c>
      <c r="W629" s="117">
        <f t="shared" si="513"/>
        <v>1</v>
      </c>
      <c r="X629" s="117">
        <f t="shared" si="514"/>
        <v>1</v>
      </c>
      <c r="Y629" s="117">
        <f t="shared" si="515"/>
        <v>0</v>
      </c>
      <c r="Z629" s="117">
        <f t="shared" si="516"/>
        <v>0</v>
      </c>
      <c r="AA629" s="117">
        <f t="shared" si="517"/>
        <v>0</v>
      </c>
      <c r="AC629" s="121" t="str">
        <f t="shared" si="518"/>
        <v/>
      </c>
      <c r="AD629" s="118">
        <f t="shared" si="519"/>
        <v>0</v>
      </c>
      <c r="AE629" s="117">
        <f t="shared" si="520"/>
        <v>0</v>
      </c>
      <c r="AF629" s="117">
        <f t="shared" si="521"/>
        <v>1</v>
      </c>
      <c r="AG629" s="117">
        <f t="shared" si="522"/>
        <v>3</v>
      </c>
      <c r="AH629" s="117">
        <f t="shared" si="523"/>
        <v>0</v>
      </c>
      <c r="AI629" s="117">
        <f t="shared" si="524"/>
        <v>0</v>
      </c>
      <c r="AJ629" s="117">
        <f t="shared" si="525"/>
        <v>0</v>
      </c>
    </row>
    <row r="630" spans="2:36" ht="16.5" customHeight="1">
      <c r="B630" s="12"/>
      <c r="C630" s="12"/>
      <c r="D630" s="8"/>
      <c r="E630" s="9" t="s">
        <v>172</v>
      </c>
      <c r="F630" s="5">
        <v>2</v>
      </c>
      <c r="G630" s="6">
        <v>0</v>
      </c>
      <c r="H630" s="7" t="s">
        <v>224</v>
      </c>
      <c r="I630" s="10"/>
      <c r="J630" s="8"/>
      <c r="K630" s="9" t="s">
        <v>198</v>
      </c>
      <c r="L630" s="5">
        <v>3</v>
      </c>
      <c r="M630" s="6">
        <v>1</v>
      </c>
      <c r="N630" s="7" t="str">
        <f t="shared" si="509"/>
        <v/>
      </c>
      <c r="O630" s="10"/>
      <c r="P630" s="24"/>
      <c r="Q630" s="13"/>
      <c r="T630" s="121" t="str">
        <f t="shared" si="510"/>
        <v/>
      </c>
      <c r="U630" s="118">
        <f t="shared" si="511"/>
        <v>0</v>
      </c>
      <c r="V630" s="117">
        <f t="shared" si="512"/>
        <v>0</v>
      </c>
      <c r="W630" s="117">
        <f t="shared" si="513"/>
        <v>1</v>
      </c>
      <c r="X630" s="117">
        <f t="shared" si="514"/>
        <v>2</v>
      </c>
      <c r="Y630" s="117">
        <f t="shared" si="515"/>
        <v>0</v>
      </c>
      <c r="Z630" s="117">
        <f t="shared" si="516"/>
        <v>0</v>
      </c>
      <c r="AA630" s="117">
        <f t="shared" si="517"/>
        <v>0</v>
      </c>
      <c r="AC630" s="121" t="str">
        <f t="shared" si="518"/>
        <v/>
      </c>
      <c r="AD630" s="118">
        <f t="shared" si="519"/>
        <v>0</v>
      </c>
      <c r="AE630" s="117">
        <f t="shared" si="520"/>
        <v>0</v>
      </c>
      <c r="AF630" s="117">
        <f t="shared" si="521"/>
        <v>1</v>
      </c>
      <c r="AG630" s="117">
        <f t="shared" si="522"/>
        <v>2</v>
      </c>
      <c r="AH630" s="117">
        <f t="shared" si="523"/>
        <v>0</v>
      </c>
      <c r="AI630" s="117">
        <f t="shared" si="524"/>
        <v>0</v>
      </c>
      <c r="AJ630" s="117">
        <f t="shared" si="525"/>
        <v>0</v>
      </c>
    </row>
    <row r="631" spans="2:36" ht="16.5" customHeight="1">
      <c r="B631" s="12"/>
      <c r="C631" s="12"/>
      <c r="D631" s="4"/>
      <c r="E631" s="4" t="s">
        <v>173</v>
      </c>
      <c r="F631" s="5">
        <v>4</v>
      </c>
      <c r="G631" s="6">
        <v>0</v>
      </c>
      <c r="H631" s="7" t="s">
        <v>224</v>
      </c>
      <c r="I631" s="7"/>
      <c r="J631" s="4"/>
      <c r="K631" s="4" t="s">
        <v>199</v>
      </c>
      <c r="L631" s="5">
        <v>3</v>
      </c>
      <c r="M631" s="6">
        <v>0</v>
      </c>
      <c r="N631" s="7" t="str">
        <f t="shared" si="509"/>
        <v/>
      </c>
      <c r="O631" s="7"/>
      <c r="P631" s="24"/>
      <c r="Q631" s="13"/>
      <c r="T631" s="121" t="str">
        <f t="shared" si="510"/>
        <v/>
      </c>
      <c r="U631" s="118">
        <f t="shared" si="511"/>
        <v>0</v>
      </c>
      <c r="V631" s="117">
        <f t="shared" si="512"/>
        <v>0</v>
      </c>
      <c r="W631" s="117">
        <f t="shared" si="513"/>
        <v>1</v>
      </c>
      <c r="X631" s="117">
        <f t="shared" si="514"/>
        <v>4</v>
      </c>
      <c r="Y631" s="117">
        <f t="shared" si="515"/>
        <v>0</v>
      </c>
      <c r="Z631" s="117">
        <f t="shared" si="516"/>
        <v>0</v>
      </c>
      <c r="AA631" s="117">
        <f t="shared" si="517"/>
        <v>0</v>
      </c>
      <c r="AC631" s="121" t="str">
        <f t="shared" si="518"/>
        <v/>
      </c>
      <c r="AD631" s="118">
        <f t="shared" si="519"/>
        <v>0</v>
      </c>
      <c r="AE631" s="117">
        <f t="shared" si="520"/>
        <v>0</v>
      </c>
      <c r="AF631" s="117">
        <f t="shared" si="521"/>
        <v>1</v>
      </c>
      <c r="AG631" s="117">
        <f t="shared" si="522"/>
        <v>3</v>
      </c>
      <c r="AH631" s="117">
        <f t="shared" si="523"/>
        <v>0</v>
      </c>
      <c r="AI631" s="117">
        <f t="shared" si="524"/>
        <v>0</v>
      </c>
      <c r="AJ631" s="117">
        <f t="shared" si="525"/>
        <v>0</v>
      </c>
    </row>
    <row r="632" spans="2:36" ht="16.5" customHeight="1">
      <c r="B632" s="12"/>
      <c r="C632" s="12"/>
      <c r="D632" s="8"/>
      <c r="E632" s="9" t="s">
        <v>174</v>
      </c>
      <c r="F632" s="5">
        <v>3</v>
      </c>
      <c r="G632" s="6">
        <v>0</v>
      </c>
      <c r="H632" s="7" t="s">
        <v>224</v>
      </c>
      <c r="I632" s="10"/>
      <c r="J632" s="8"/>
      <c r="K632" s="9" t="s">
        <v>200</v>
      </c>
      <c r="L632" s="5">
        <v>3</v>
      </c>
      <c r="M632" s="6">
        <v>0</v>
      </c>
      <c r="N632" s="7" t="str">
        <f t="shared" si="509"/>
        <v/>
      </c>
      <c r="O632" s="10"/>
      <c r="P632" s="24"/>
      <c r="Q632" s="13"/>
      <c r="T632" s="121" t="str">
        <f t="shared" si="510"/>
        <v/>
      </c>
      <c r="U632" s="118">
        <f t="shared" si="511"/>
        <v>0</v>
      </c>
      <c r="V632" s="117">
        <f t="shared" si="512"/>
        <v>0</v>
      </c>
      <c r="W632" s="117">
        <f t="shared" si="513"/>
        <v>1</v>
      </c>
      <c r="X632" s="117">
        <f t="shared" si="514"/>
        <v>3</v>
      </c>
      <c r="Y632" s="117">
        <f t="shared" si="515"/>
        <v>0</v>
      </c>
      <c r="Z632" s="117">
        <f t="shared" si="516"/>
        <v>0</v>
      </c>
      <c r="AA632" s="117">
        <f t="shared" si="517"/>
        <v>0</v>
      </c>
      <c r="AC632" s="121" t="str">
        <f t="shared" si="518"/>
        <v/>
      </c>
      <c r="AD632" s="118">
        <f t="shared" si="519"/>
        <v>0</v>
      </c>
      <c r="AE632" s="117">
        <f t="shared" si="520"/>
        <v>0</v>
      </c>
      <c r="AF632" s="117">
        <f t="shared" si="521"/>
        <v>1</v>
      </c>
      <c r="AG632" s="117">
        <f t="shared" si="522"/>
        <v>3</v>
      </c>
      <c r="AH632" s="117">
        <f t="shared" si="523"/>
        <v>0</v>
      </c>
      <c r="AI632" s="117">
        <f t="shared" si="524"/>
        <v>0</v>
      </c>
      <c r="AJ632" s="117">
        <f t="shared" si="525"/>
        <v>0</v>
      </c>
    </row>
    <row r="633" spans="2:36" ht="16.5" customHeight="1">
      <c r="B633" s="12"/>
      <c r="C633" s="12"/>
      <c r="D633" s="4"/>
      <c r="E633" s="4" t="s">
        <v>175</v>
      </c>
      <c r="F633" s="5">
        <v>4</v>
      </c>
      <c r="G633" s="6">
        <v>1</v>
      </c>
      <c r="H633" s="7" t="s">
        <v>224</v>
      </c>
      <c r="I633" s="7"/>
      <c r="J633" s="4"/>
      <c r="K633" s="4" t="s">
        <v>201</v>
      </c>
      <c r="L633" s="5">
        <v>4</v>
      </c>
      <c r="M633" s="6">
        <v>0</v>
      </c>
      <c r="N633" s="7" t="str">
        <f t="shared" si="509"/>
        <v/>
      </c>
      <c r="O633" s="7"/>
      <c r="P633" s="24"/>
      <c r="Q633" s="13"/>
      <c r="T633" s="121" t="str">
        <f t="shared" si="510"/>
        <v/>
      </c>
      <c r="U633" s="118">
        <f t="shared" si="511"/>
        <v>0</v>
      </c>
      <c r="V633" s="117">
        <f t="shared" si="512"/>
        <v>0</v>
      </c>
      <c r="W633" s="117">
        <f t="shared" si="513"/>
        <v>1</v>
      </c>
      <c r="X633" s="117">
        <f t="shared" si="514"/>
        <v>3</v>
      </c>
      <c r="Y633" s="117">
        <f t="shared" si="515"/>
        <v>0</v>
      </c>
      <c r="Z633" s="117">
        <f t="shared" si="516"/>
        <v>0</v>
      </c>
      <c r="AA633" s="117">
        <f t="shared" si="517"/>
        <v>0</v>
      </c>
      <c r="AC633" s="121" t="str">
        <f t="shared" si="518"/>
        <v/>
      </c>
      <c r="AD633" s="118">
        <f t="shared" si="519"/>
        <v>0</v>
      </c>
      <c r="AE633" s="117">
        <f t="shared" si="520"/>
        <v>0</v>
      </c>
      <c r="AF633" s="117">
        <f t="shared" si="521"/>
        <v>1</v>
      </c>
      <c r="AG633" s="117">
        <f t="shared" si="522"/>
        <v>4</v>
      </c>
      <c r="AH633" s="117">
        <f t="shared" si="523"/>
        <v>0</v>
      </c>
      <c r="AI633" s="117">
        <f t="shared" si="524"/>
        <v>0</v>
      </c>
      <c r="AJ633" s="117">
        <f t="shared" si="525"/>
        <v>0</v>
      </c>
    </row>
    <row r="634" spans="2:36" ht="16.5" customHeight="1">
      <c r="B634" s="14"/>
      <c r="C634" s="14" t="s">
        <v>8</v>
      </c>
      <c r="D634" s="8"/>
      <c r="E634" s="9" t="s">
        <v>33</v>
      </c>
      <c r="F634" s="5">
        <v>2</v>
      </c>
      <c r="G634" s="6">
        <v>0</v>
      </c>
      <c r="H634" s="7" t="s">
        <v>224</v>
      </c>
      <c r="I634" s="10"/>
      <c r="J634" s="8"/>
      <c r="K634" s="9" t="s">
        <v>225</v>
      </c>
      <c r="L634" s="5">
        <v>3</v>
      </c>
      <c r="M634" s="6">
        <v>0</v>
      </c>
      <c r="N634" s="7" t="str">
        <f t="shared" si="509"/>
        <v/>
      </c>
      <c r="O634" s="10"/>
      <c r="P634" s="31" t="s">
        <v>16</v>
      </c>
      <c r="Q634" s="30"/>
      <c r="T634" s="121" t="str">
        <f t="shared" si="510"/>
        <v/>
      </c>
      <c r="U634" s="118">
        <f t="shared" si="511"/>
        <v>0</v>
      </c>
      <c r="V634" s="117">
        <f t="shared" si="512"/>
        <v>0</v>
      </c>
      <c r="W634" s="117">
        <f t="shared" si="513"/>
        <v>1</v>
      </c>
      <c r="X634" s="117">
        <f t="shared" si="514"/>
        <v>2</v>
      </c>
      <c r="Y634" s="117">
        <f t="shared" si="515"/>
        <v>0</v>
      </c>
      <c r="Z634" s="117">
        <f t="shared" si="516"/>
        <v>0</v>
      </c>
      <c r="AA634" s="117">
        <f t="shared" si="517"/>
        <v>0</v>
      </c>
      <c r="AC634" s="121" t="str">
        <f t="shared" si="518"/>
        <v/>
      </c>
      <c r="AD634" s="118">
        <f t="shared" si="519"/>
        <v>0</v>
      </c>
      <c r="AE634" s="117">
        <f t="shared" si="520"/>
        <v>0</v>
      </c>
      <c r="AF634" s="117">
        <f t="shared" si="521"/>
        <v>1</v>
      </c>
      <c r="AG634" s="117">
        <f t="shared" si="522"/>
        <v>3</v>
      </c>
      <c r="AH634" s="117">
        <f t="shared" si="523"/>
        <v>0</v>
      </c>
      <c r="AI634" s="117">
        <f t="shared" si="524"/>
        <v>0</v>
      </c>
      <c r="AJ634" s="117">
        <f t="shared" si="525"/>
        <v>0</v>
      </c>
    </row>
    <row r="635" spans="2:36" ht="16.5" customHeight="1">
      <c r="B635" s="14"/>
      <c r="C635" s="14"/>
      <c r="D635" s="4"/>
      <c r="E635" s="4" t="s">
        <v>176</v>
      </c>
      <c r="F635" s="5">
        <v>3</v>
      </c>
      <c r="G635" s="6">
        <v>1</v>
      </c>
      <c r="H635" s="7" t="s">
        <v>224</v>
      </c>
      <c r="I635" s="7"/>
      <c r="J635" s="4"/>
      <c r="K635" s="4" t="s">
        <v>203</v>
      </c>
      <c r="L635" s="5">
        <v>3</v>
      </c>
      <c r="M635" s="6">
        <v>0</v>
      </c>
      <c r="N635" s="7" t="str">
        <f t="shared" si="509"/>
        <v/>
      </c>
      <c r="O635" s="7"/>
      <c r="P635" s="31"/>
      <c r="Q635" s="30"/>
      <c r="T635" s="121" t="str">
        <f t="shared" si="510"/>
        <v/>
      </c>
      <c r="U635" s="118">
        <f t="shared" si="511"/>
        <v>0</v>
      </c>
      <c r="V635" s="117">
        <f t="shared" si="512"/>
        <v>0</v>
      </c>
      <c r="W635" s="117">
        <f t="shared" si="513"/>
        <v>1</v>
      </c>
      <c r="X635" s="117">
        <f t="shared" si="514"/>
        <v>2</v>
      </c>
      <c r="Y635" s="117">
        <f t="shared" si="515"/>
        <v>0</v>
      </c>
      <c r="Z635" s="117">
        <f t="shared" si="516"/>
        <v>0</v>
      </c>
      <c r="AA635" s="117">
        <f t="shared" si="517"/>
        <v>0</v>
      </c>
      <c r="AC635" s="121" t="str">
        <f t="shared" si="518"/>
        <v/>
      </c>
      <c r="AD635" s="118">
        <f t="shared" si="519"/>
        <v>0</v>
      </c>
      <c r="AE635" s="117">
        <f t="shared" si="520"/>
        <v>0</v>
      </c>
      <c r="AF635" s="117">
        <f t="shared" si="521"/>
        <v>1</v>
      </c>
      <c r="AG635" s="117">
        <f t="shared" si="522"/>
        <v>3</v>
      </c>
      <c r="AH635" s="117">
        <f t="shared" si="523"/>
        <v>0</v>
      </c>
      <c r="AI635" s="117">
        <f t="shared" si="524"/>
        <v>0</v>
      </c>
      <c r="AJ635" s="117">
        <f t="shared" si="525"/>
        <v>0</v>
      </c>
    </row>
    <row r="636" spans="2:36" ht="16.5" customHeight="1">
      <c r="B636" s="14"/>
      <c r="C636" s="14"/>
      <c r="D636" s="8"/>
      <c r="E636" s="9" t="s">
        <v>177</v>
      </c>
      <c r="F636" s="5">
        <v>3</v>
      </c>
      <c r="G636" s="6">
        <v>2</v>
      </c>
      <c r="H636" s="7" t="s">
        <v>224</v>
      </c>
      <c r="I636" s="10"/>
      <c r="J636" s="8"/>
      <c r="K636" s="9" t="s">
        <v>204</v>
      </c>
      <c r="L636" s="5">
        <v>4</v>
      </c>
      <c r="M636" s="6">
        <v>1</v>
      </c>
      <c r="N636" s="7" t="str">
        <f t="shared" si="509"/>
        <v/>
      </c>
      <c r="O636" s="10"/>
      <c r="P636" s="31"/>
      <c r="Q636" s="30"/>
      <c r="T636" s="121" t="str">
        <f t="shared" si="510"/>
        <v/>
      </c>
      <c r="U636" s="118">
        <f t="shared" si="511"/>
        <v>0</v>
      </c>
      <c r="V636" s="117">
        <f t="shared" si="512"/>
        <v>0</v>
      </c>
      <c r="W636" s="117">
        <f t="shared" si="513"/>
        <v>1</v>
      </c>
      <c r="X636" s="117">
        <f t="shared" si="514"/>
        <v>1</v>
      </c>
      <c r="Y636" s="117">
        <f t="shared" si="515"/>
        <v>0</v>
      </c>
      <c r="Z636" s="117">
        <f t="shared" si="516"/>
        <v>0</v>
      </c>
      <c r="AA636" s="117">
        <f t="shared" si="517"/>
        <v>0</v>
      </c>
      <c r="AC636" s="121" t="str">
        <f t="shared" si="518"/>
        <v/>
      </c>
      <c r="AD636" s="118">
        <f t="shared" si="519"/>
        <v>0</v>
      </c>
      <c r="AE636" s="117">
        <f t="shared" si="520"/>
        <v>0</v>
      </c>
      <c r="AF636" s="117">
        <f t="shared" si="521"/>
        <v>1</v>
      </c>
      <c r="AG636" s="117">
        <f t="shared" si="522"/>
        <v>3</v>
      </c>
      <c r="AH636" s="117">
        <f t="shared" si="523"/>
        <v>0</v>
      </c>
      <c r="AI636" s="117">
        <f t="shared" si="524"/>
        <v>0</v>
      </c>
      <c r="AJ636" s="117">
        <f t="shared" si="525"/>
        <v>0</v>
      </c>
    </row>
    <row r="637" spans="2:36" ht="16.5" customHeight="1">
      <c r="B637" s="14"/>
      <c r="C637" s="14"/>
      <c r="D637" s="4"/>
      <c r="E637" s="4" t="s">
        <v>178</v>
      </c>
      <c r="F637" s="5">
        <v>2</v>
      </c>
      <c r="G637" s="6">
        <v>0</v>
      </c>
      <c r="H637" s="7" t="s">
        <v>224</v>
      </c>
      <c r="I637" s="7"/>
      <c r="J637" s="4"/>
      <c r="K637" s="4" t="s">
        <v>223</v>
      </c>
      <c r="L637" s="5">
        <v>3</v>
      </c>
      <c r="M637" s="6">
        <v>0</v>
      </c>
      <c r="N637" s="7" t="str">
        <f t="shared" si="509"/>
        <v/>
      </c>
      <c r="O637" s="7"/>
      <c r="P637" s="31"/>
      <c r="Q637" s="30"/>
      <c r="T637" s="121" t="str">
        <f t="shared" si="510"/>
        <v/>
      </c>
      <c r="U637" s="118">
        <f t="shared" si="511"/>
        <v>0</v>
      </c>
      <c r="V637" s="117">
        <f t="shared" si="512"/>
        <v>0</v>
      </c>
      <c r="W637" s="117">
        <f t="shared" si="513"/>
        <v>1</v>
      </c>
      <c r="X637" s="117">
        <f t="shared" si="514"/>
        <v>2</v>
      </c>
      <c r="Y637" s="117">
        <f t="shared" si="515"/>
        <v>0</v>
      </c>
      <c r="Z637" s="117">
        <f t="shared" si="516"/>
        <v>0</v>
      </c>
      <c r="AA637" s="117">
        <f t="shared" si="517"/>
        <v>0</v>
      </c>
      <c r="AC637" s="121" t="str">
        <f t="shared" si="518"/>
        <v/>
      </c>
      <c r="AD637" s="118">
        <f t="shared" si="519"/>
        <v>0</v>
      </c>
      <c r="AE637" s="117">
        <f t="shared" si="520"/>
        <v>0</v>
      </c>
      <c r="AF637" s="117">
        <f t="shared" si="521"/>
        <v>1</v>
      </c>
      <c r="AG637" s="117">
        <f t="shared" si="522"/>
        <v>3</v>
      </c>
      <c r="AH637" s="117">
        <f t="shared" si="523"/>
        <v>0</v>
      </c>
      <c r="AI637" s="117">
        <f t="shared" si="524"/>
        <v>0</v>
      </c>
      <c r="AJ637" s="117">
        <f t="shared" si="525"/>
        <v>0</v>
      </c>
    </row>
    <row r="638" spans="2:36" ht="16.5" customHeight="1">
      <c r="B638" s="14"/>
      <c r="C638" s="14"/>
      <c r="D638" s="8"/>
      <c r="E638" s="9" t="s">
        <v>179</v>
      </c>
      <c r="F638" s="5">
        <v>3</v>
      </c>
      <c r="G638" s="6">
        <v>1</v>
      </c>
      <c r="H638" s="7" t="s">
        <v>224</v>
      </c>
      <c r="I638" s="10"/>
      <c r="J638" s="8"/>
      <c r="K638" s="9" t="s">
        <v>205</v>
      </c>
      <c r="L638" s="5">
        <v>2</v>
      </c>
      <c r="M638" s="6">
        <v>0</v>
      </c>
      <c r="N638" s="7" t="str">
        <f t="shared" si="509"/>
        <v/>
      </c>
      <c r="O638" s="10"/>
      <c r="P638" s="31"/>
      <c r="Q638" s="30"/>
      <c r="T638" s="121" t="str">
        <f t="shared" si="510"/>
        <v/>
      </c>
      <c r="U638" s="118">
        <f t="shared" si="511"/>
        <v>0</v>
      </c>
      <c r="V638" s="117">
        <f t="shared" si="512"/>
        <v>0</v>
      </c>
      <c r="W638" s="117">
        <f t="shared" si="513"/>
        <v>1</v>
      </c>
      <c r="X638" s="117">
        <f t="shared" si="514"/>
        <v>2</v>
      </c>
      <c r="Y638" s="117">
        <f t="shared" si="515"/>
        <v>0</v>
      </c>
      <c r="Z638" s="117">
        <f t="shared" si="516"/>
        <v>0</v>
      </c>
      <c r="AA638" s="117">
        <f t="shared" si="517"/>
        <v>0</v>
      </c>
      <c r="AC638" s="121" t="str">
        <f t="shared" si="518"/>
        <v/>
      </c>
      <c r="AD638" s="118">
        <f t="shared" si="519"/>
        <v>0</v>
      </c>
      <c r="AE638" s="117">
        <f t="shared" si="520"/>
        <v>0</v>
      </c>
      <c r="AF638" s="117">
        <f t="shared" si="521"/>
        <v>1</v>
      </c>
      <c r="AG638" s="117">
        <f t="shared" si="522"/>
        <v>2</v>
      </c>
      <c r="AH638" s="117">
        <f t="shared" si="523"/>
        <v>0</v>
      </c>
      <c r="AI638" s="117">
        <f t="shared" si="524"/>
        <v>0</v>
      </c>
      <c r="AJ638" s="117">
        <f t="shared" si="525"/>
        <v>0</v>
      </c>
    </row>
    <row r="639" spans="2:36" ht="16.5" customHeight="1">
      <c r="B639" s="14"/>
      <c r="C639" s="14"/>
      <c r="D639" s="4"/>
      <c r="E639" s="4" t="s">
        <v>180</v>
      </c>
      <c r="F639" s="5">
        <v>3</v>
      </c>
      <c r="G639" s="6">
        <v>0</v>
      </c>
      <c r="H639" s="7" t="s">
        <v>224</v>
      </c>
      <c r="I639" s="7"/>
      <c r="J639" s="4"/>
      <c r="K639" s="4" t="s">
        <v>206</v>
      </c>
      <c r="L639" s="5">
        <v>2</v>
      </c>
      <c r="M639" s="6">
        <v>0</v>
      </c>
      <c r="N639" s="7" t="str">
        <f t="shared" si="509"/>
        <v/>
      </c>
      <c r="O639" s="7"/>
      <c r="P639" s="31"/>
      <c r="Q639" s="30"/>
      <c r="T639" s="121" t="str">
        <f t="shared" si="510"/>
        <v/>
      </c>
      <c r="U639" s="118">
        <f t="shared" si="511"/>
        <v>0</v>
      </c>
      <c r="V639" s="117">
        <f t="shared" si="512"/>
        <v>0</v>
      </c>
      <c r="W639" s="117">
        <f t="shared" si="513"/>
        <v>1</v>
      </c>
      <c r="X639" s="117">
        <f t="shared" si="514"/>
        <v>3</v>
      </c>
      <c r="Y639" s="117">
        <f t="shared" si="515"/>
        <v>0</v>
      </c>
      <c r="Z639" s="117">
        <f t="shared" si="516"/>
        <v>0</v>
      </c>
      <c r="AA639" s="117">
        <f t="shared" si="517"/>
        <v>0</v>
      </c>
      <c r="AC639" s="121" t="str">
        <f t="shared" si="518"/>
        <v/>
      </c>
      <c r="AD639" s="118">
        <f t="shared" si="519"/>
        <v>0</v>
      </c>
      <c r="AE639" s="117">
        <f t="shared" si="520"/>
        <v>0</v>
      </c>
      <c r="AF639" s="117">
        <f t="shared" si="521"/>
        <v>1</v>
      </c>
      <c r="AG639" s="117">
        <f t="shared" si="522"/>
        <v>2</v>
      </c>
      <c r="AH639" s="117">
        <f t="shared" si="523"/>
        <v>0</v>
      </c>
      <c r="AI639" s="117">
        <f t="shared" si="524"/>
        <v>0</v>
      </c>
      <c r="AJ639" s="117">
        <f t="shared" si="525"/>
        <v>0</v>
      </c>
    </row>
    <row r="640" spans="2:36" ht="16.5" customHeight="1">
      <c r="B640" s="14"/>
      <c r="C640" s="14"/>
      <c r="D640" s="8"/>
      <c r="E640" s="9" t="s">
        <v>181</v>
      </c>
      <c r="F640" s="5">
        <v>2</v>
      </c>
      <c r="G640" s="6">
        <v>0</v>
      </c>
      <c r="H640" s="7" t="s">
        <v>224</v>
      </c>
      <c r="I640" s="10"/>
      <c r="J640" s="8"/>
      <c r="K640" s="9" t="s">
        <v>207</v>
      </c>
      <c r="L640" s="5">
        <v>4</v>
      </c>
      <c r="M640" s="6">
        <v>1</v>
      </c>
      <c r="N640" s="7" t="str">
        <f t="shared" si="509"/>
        <v/>
      </c>
      <c r="O640" s="10"/>
      <c r="P640" s="31"/>
      <c r="Q640" s="30"/>
      <c r="T640" s="121" t="str">
        <f t="shared" si="510"/>
        <v/>
      </c>
      <c r="U640" s="118">
        <f t="shared" si="511"/>
        <v>0</v>
      </c>
      <c r="V640" s="117">
        <f t="shared" si="512"/>
        <v>0</v>
      </c>
      <c r="W640" s="117">
        <f t="shared" si="513"/>
        <v>1</v>
      </c>
      <c r="X640" s="117">
        <f t="shared" si="514"/>
        <v>2</v>
      </c>
      <c r="Y640" s="117">
        <f t="shared" si="515"/>
        <v>0</v>
      </c>
      <c r="Z640" s="117">
        <f t="shared" si="516"/>
        <v>0</v>
      </c>
      <c r="AA640" s="117">
        <f t="shared" si="517"/>
        <v>0</v>
      </c>
      <c r="AC640" s="121" t="str">
        <f t="shared" si="518"/>
        <v/>
      </c>
      <c r="AD640" s="118">
        <f t="shared" si="519"/>
        <v>0</v>
      </c>
      <c r="AE640" s="117">
        <f t="shared" si="520"/>
        <v>0</v>
      </c>
      <c r="AF640" s="117">
        <f t="shared" si="521"/>
        <v>1</v>
      </c>
      <c r="AG640" s="117">
        <f t="shared" si="522"/>
        <v>3</v>
      </c>
      <c r="AH640" s="117">
        <f t="shared" si="523"/>
        <v>0</v>
      </c>
      <c r="AI640" s="117">
        <f t="shared" si="524"/>
        <v>0</v>
      </c>
      <c r="AJ640" s="117">
        <f t="shared" si="525"/>
        <v>0</v>
      </c>
    </row>
    <row r="641" spans="2:36" ht="16.5" customHeight="1">
      <c r="B641" s="11"/>
      <c r="C641" s="11" t="s">
        <v>9</v>
      </c>
      <c r="D641" s="4"/>
      <c r="E641" s="4" t="s">
        <v>182</v>
      </c>
      <c r="F641" s="5">
        <v>2</v>
      </c>
      <c r="G641" s="6">
        <v>0</v>
      </c>
      <c r="H641" s="7" t="s">
        <v>224</v>
      </c>
      <c r="I641" s="7"/>
      <c r="J641" s="4"/>
      <c r="K641" s="4" t="s">
        <v>208</v>
      </c>
      <c r="L641" s="5">
        <v>3</v>
      </c>
      <c r="M641" s="6">
        <v>0</v>
      </c>
      <c r="N641" s="7" t="str">
        <f t="shared" si="509"/>
        <v/>
      </c>
      <c r="O641" s="7"/>
      <c r="P641" s="36" t="s">
        <v>25</v>
      </c>
      <c r="Q641" s="35"/>
      <c r="T641" s="121" t="str">
        <f t="shared" si="510"/>
        <v/>
      </c>
      <c r="U641" s="118">
        <f t="shared" si="511"/>
        <v>0</v>
      </c>
      <c r="V641" s="117">
        <f t="shared" si="512"/>
        <v>0</v>
      </c>
      <c r="W641" s="117">
        <f t="shared" si="513"/>
        <v>1</v>
      </c>
      <c r="X641" s="117">
        <f t="shared" si="514"/>
        <v>2</v>
      </c>
      <c r="Y641" s="117">
        <f t="shared" si="515"/>
        <v>0</v>
      </c>
      <c r="Z641" s="117">
        <f t="shared" si="516"/>
        <v>0</v>
      </c>
      <c r="AA641" s="117">
        <f t="shared" si="517"/>
        <v>0</v>
      </c>
      <c r="AC641" s="121" t="str">
        <f t="shared" si="518"/>
        <v/>
      </c>
      <c r="AD641" s="118">
        <f t="shared" si="519"/>
        <v>0</v>
      </c>
      <c r="AE641" s="117">
        <f t="shared" si="520"/>
        <v>0</v>
      </c>
      <c r="AF641" s="117">
        <f t="shared" si="521"/>
        <v>1</v>
      </c>
      <c r="AG641" s="117">
        <f t="shared" si="522"/>
        <v>3</v>
      </c>
      <c r="AH641" s="117">
        <f t="shared" si="523"/>
        <v>0</v>
      </c>
      <c r="AI641" s="117">
        <f t="shared" si="524"/>
        <v>0</v>
      </c>
      <c r="AJ641" s="117">
        <f t="shared" si="525"/>
        <v>0</v>
      </c>
    </row>
    <row r="642" spans="2:36" ht="16.5" customHeight="1">
      <c r="B642" s="11"/>
      <c r="C642" s="11"/>
      <c r="D642" s="8"/>
      <c r="E642" s="9" t="s">
        <v>183</v>
      </c>
      <c r="F642" s="5">
        <v>2</v>
      </c>
      <c r="G642" s="6">
        <v>1</v>
      </c>
      <c r="H642" s="7" t="s">
        <v>224</v>
      </c>
      <c r="I642" s="10"/>
      <c r="J642" s="8"/>
      <c r="K642" s="9" t="s">
        <v>209</v>
      </c>
      <c r="L642" s="5">
        <v>3</v>
      </c>
      <c r="M642" s="6">
        <v>2</v>
      </c>
      <c r="N642" s="7" t="str">
        <f t="shared" si="509"/>
        <v/>
      </c>
      <c r="O642" s="10"/>
      <c r="P642" s="36"/>
      <c r="Q642" s="35"/>
      <c r="T642" s="121" t="str">
        <f t="shared" si="510"/>
        <v/>
      </c>
      <c r="U642" s="118">
        <f t="shared" si="511"/>
        <v>0</v>
      </c>
      <c r="V642" s="117">
        <f t="shared" si="512"/>
        <v>0</v>
      </c>
      <c r="W642" s="117">
        <f t="shared" si="513"/>
        <v>1</v>
      </c>
      <c r="X642" s="117">
        <f t="shared" si="514"/>
        <v>1</v>
      </c>
      <c r="Y642" s="117">
        <f t="shared" si="515"/>
        <v>0</v>
      </c>
      <c r="Z642" s="117">
        <f t="shared" si="516"/>
        <v>0</v>
      </c>
      <c r="AA642" s="117">
        <f t="shared" si="517"/>
        <v>0</v>
      </c>
      <c r="AC642" s="121" t="str">
        <f t="shared" si="518"/>
        <v/>
      </c>
      <c r="AD642" s="118">
        <f t="shared" si="519"/>
        <v>0</v>
      </c>
      <c r="AE642" s="117">
        <f t="shared" si="520"/>
        <v>0</v>
      </c>
      <c r="AF642" s="117">
        <f t="shared" si="521"/>
        <v>1</v>
      </c>
      <c r="AG642" s="117">
        <f t="shared" si="522"/>
        <v>1</v>
      </c>
      <c r="AH642" s="117">
        <f t="shared" si="523"/>
        <v>0</v>
      </c>
      <c r="AI642" s="117">
        <f t="shared" si="524"/>
        <v>0</v>
      </c>
      <c r="AJ642" s="117">
        <f t="shared" si="525"/>
        <v>0</v>
      </c>
    </row>
    <row r="643" spans="2:36" ht="16.5" customHeight="1">
      <c r="B643" s="11"/>
      <c r="C643" s="11"/>
      <c r="D643" s="4"/>
      <c r="E643" s="4" t="s">
        <v>184</v>
      </c>
      <c r="F643" s="5">
        <v>2</v>
      </c>
      <c r="G643" s="6">
        <v>1</v>
      </c>
      <c r="H643" s="7" t="s">
        <v>224</v>
      </c>
      <c r="I643" s="7"/>
      <c r="J643" s="4"/>
      <c r="K643" s="4" t="s">
        <v>210</v>
      </c>
      <c r="L643" s="5">
        <v>2</v>
      </c>
      <c r="M643" s="6">
        <v>0</v>
      </c>
      <c r="N643" s="7" t="str">
        <f t="shared" si="509"/>
        <v/>
      </c>
      <c r="O643" s="7"/>
      <c r="P643" s="36"/>
      <c r="Q643" s="35"/>
      <c r="T643" s="121" t="str">
        <f t="shared" si="510"/>
        <v/>
      </c>
      <c r="U643" s="118">
        <f t="shared" si="511"/>
        <v>0</v>
      </c>
      <c r="V643" s="117">
        <f t="shared" si="512"/>
        <v>0</v>
      </c>
      <c r="W643" s="117">
        <f t="shared" si="513"/>
        <v>1</v>
      </c>
      <c r="X643" s="117">
        <f t="shared" si="514"/>
        <v>1</v>
      </c>
      <c r="Y643" s="117">
        <f t="shared" si="515"/>
        <v>0</v>
      </c>
      <c r="Z643" s="117">
        <f t="shared" si="516"/>
        <v>0</v>
      </c>
      <c r="AA643" s="117">
        <f t="shared" si="517"/>
        <v>0</v>
      </c>
      <c r="AC643" s="121" t="str">
        <f t="shared" si="518"/>
        <v/>
      </c>
      <c r="AD643" s="118">
        <f t="shared" si="519"/>
        <v>0</v>
      </c>
      <c r="AE643" s="117">
        <f t="shared" si="520"/>
        <v>0</v>
      </c>
      <c r="AF643" s="117">
        <f t="shared" si="521"/>
        <v>1</v>
      </c>
      <c r="AG643" s="117">
        <f t="shared" si="522"/>
        <v>2</v>
      </c>
      <c r="AH643" s="117">
        <f t="shared" si="523"/>
        <v>0</v>
      </c>
      <c r="AI643" s="117">
        <f t="shared" si="524"/>
        <v>0</v>
      </c>
      <c r="AJ643" s="117">
        <f t="shared" si="525"/>
        <v>0</v>
      </c>
    </row>
    <row r="644" spans="2:36" ht="16.5" customHeight="1">
      <c r="B644" s="11"/>
      <c r="C644" s="11"/>
      <c r="D644" s="8"/>
      <c r="E644" s="9" t="s">
        <v>222</v>
      </c>
      <c r="F644" s="5">
        <v>3</v>
      </c>
      <c r="G644" s="6">
        <v>0</v>
      </c>
      <c r="H644" s="7" t="s">
        <v>224</v>
      </c>
      <c r="I644" s="10"/>
      <c r="J644" s="8"/>
      <c r="K644" s="9" t="s">
        <v>211</v>
      </c>
      <c r="L644" s="5">
        <v>3</v>
      </c>
      <c r="M644" s="6">
        <v>0</v>
      </c>
      <c r="N644" s="7" t="str">
        <f t="shared" si="509"/>
        <v/>
      </c>
      <c r="O644" s="10"/>
      <c r="P644" s="36"/>
      <c r="Q644" s="35"/>
      <c r="T644" s="121" t="str">
        <f t="shared" si="510"/>
        <v/>
      </c>
      <c r="U644" s="118">
        <f t="shared" si="511"/>
        <v>0</v>
      </c>
      <c r="V644" s="117">
        <f t="shared" si="512"/>
        <v>0</v>
      </c>
      <c r="W644" s="117">
        <f t="shared" si="513"/>
        <v>1</v>
      </c>
      <c r="X644" s="117">
        <f t="shared" si="514"/>
        <v>3</v>
      </c>
      <c r="Y644" s="117">
        <f t="shared" si="515"/>
        <v>0</v>
      </c>
      <c r="Z644" s="117">
        <f t="shared" si="516"/>
        <v>0</v>
      </c>
      <c r="AA644" s="117">
        <f t="shared" si="517"/>
        <v>0</v>
      </c>
      <c r="AC644" s="121" t="str">
        <f t="shared" si="518"/>
        <v/>
      </c>
      <c r="AD644" s="118">
        <f t="shared" si="519"/>
        <v>0</v>
      </c>
      <c r="AE644" s="117">
        <f t="shared" si="520"/>
        <v>0</v>
      </c>
      <c r="AF644" s="117">
        <f t="shared" si="521"/>
        <v>1</v>
      </c>
      <c r="AG644" s="117">
        <f t="shared" si="522"/>
        <v>3</v>
      </c>
      <c r="AH644" s="117">
        <f t="shared" si="523"/>
        <v>0</v>
      </c>
      <c r="AI644" s="117">
        <f t="shared" si="524"/>
        <v>0</v>
      </c>
      <c r="AJ644" s="117">
        <f t="shared" si="525"/>
        <v>0</v>
      </c>
    </row>
    <row r="645" spans="2:36" ht="16.5" customHeight="1">
      <c r="B645" s="11"/>
      <c r="C645" s="11"/>
      <c r="D645" s="4"/>
      <c r="E645" s="4" t="s">
        <v>185</v>
      </c>
      <c r="F645" s="5">
        <v>3</v>
      </c>
      <c r="G645" s="6">
        <v>1</v>
      </c>
      <c r="H645" s="7" t="s">
        <v>224</v>
      </c>
      <c r="I645" s="7"/>
      <c r="J645" s="4"/>
      <c r="K645" s="4" t="s">
        <v>212</v>
      </c>
      <c r="L645" s="5">
        <v>3</v>
      </c>
      <c r="M645" s="6">
        <v>1</v>
      </c>
      <c r="N645" s="7" t="str">
        <f t="shared" si="509"/>
        <v/>
      </c>
      <c r="O645" s="7"/>
      <c r="P645" s="36"/>
      <c r="Q645" s="35"/>
      <c r="T645" s="121" t="str">
        <f t="shared" si="510"/>
        <v/>
      </c>
      <c r="U645" s="118">
        <f t="shared" si="511"/>
        <v>0</v>
      </c>
      <c r="V645" s="117">
        <f t="shared" si="512"/>
        <v>0</v>
      </c>
      <c r="W645" s="117">
        <f t="shared" si="513"/>
        <v>1</v>
      </c>
      <c r="X645" s="117">
        <f t="shared" si="514"/>
        <v>2</v>
      </c>
      <c r="Y645" s="117">
        <f t="shared" si="515"/>
        <v>0</v>
      </c>
      <c r="Z645" s="117">
        <f t="shared" si="516"/>
        <v>0</v>
      </c>
      <c r="AA645" s="117">
        <f t="shared" si="517"/>
        <v>0</v>
      </c>
      <c r="AC645" s="121" t="str">
        <f t="shared" si="518"/>
        <v/>
      </c>
      <c r="AD645" s="118">
        <f t="shared" si="519"/>
        <v>0</v>
      </c>
      <c r="AE645" s="117">
        <f t="shared" si="520"/>
        <v>0</v>
      </c>
      <c r="AF645" s="117">
        <f t="shared" si="521"/>
        <v>1</v>
      </c>
      <c r="AG645" s="117">
        <f t="shared" si="522"/>
        <v>2</v>
      </c>
      <c r="AH645" s="117">
        <f t="shared" si="523"/>
        <v>0</v>
      </c>
      <c r="AI645" s="117">
        <f t="shared" si="524"/>
        <v>0</v>
      </c>
      <c r="AJ645" s="117">
        <f t="shared" si="525"/>
        <v>0</v>
      </c>
    </row>
    <row r="646" spans="2:36" ht="16.5" customHeight="1">
      <c r="B646" s="11"/>
      <c r="C646" s="11"/>
      <c r="D646" s="8"/>
      <c r="E646" s="9" t="s">
        <v>186</v>
      </c>
      <c r="F646" s="5">
        <v>4</v>
      </c>
      <c r="G646" s="6">
        <v>1</v>
      </c>
      <c r="H646" s="7" t="s">
        <v>224</v>
      </c>
      <c r="I646" s="10"/>
      <c r="J646" s="8"/>
      <c r="K646" s="9" t="s">
        <v>213</v>
      </c>
      <c r="L646" s="5">
        <v>1</v>
      </c>
      <c r="M646" s="6">
        <v>1</v>
      </c>
      <c r="N646" s="7" t="str">
        <f t="shared" si="509"/>
        <v/>
      </c>
      <c r="O646" s="10"/>
      <c r="P646" s="36"/>
      <c r="Q646" s="35"/>
      <c r="T646" s="121" t="str">
        <f t="shared" si="510"/>
        <v/>
      </c>
      <c r="U646" s="118">
        <f t="shared" si="511"/>
        <v>0</v>
      </c>
      <c r="V646" s="117">
        <f t="shared" si="512"/>
        <v>0</v>
      </c>
      <c r="W646" s="117">
        <f t="shared" si="513"/>
        <v>1</v>
      </c>
      <c r="X646" s="117">
        <f t="shared" si="514"/>
        <v>3</v>
      </c>
      <c r="Y646" s="117">
        <f t="shared" si="515"/>
        <v>0</v>
      </c>
      <c r="Z646" s="117">
        <f t="shared" si="516"/>
        <v>0</v>
      </c>
      <c r="AA646" s="117">
        <f t="shared" si="517"/>
        <v>0</v>
      </c>
      <c r="AC646" s="121" t="str">
        <f t="shared" si="518"/>
        <v/>
      </c>
      <c r="AD646" s="118">
        <f t="shared" si="519"/>
        <v>0</v>
      </c>
      <c r="AE646" s="117">
        <f t="shared" si="520"/>
        <v>0</v>
      </c>
      <c r="AF646" s="117">
        <f t="shared" si="521"/>
        <v>0</v>
      </c>
      <c r="AG646" s="117">
        <f t="shared" si="522"/>
        <v>0</v>
      </c>
      <c r="AH646" s="117">
        <f t="shared" si="523"/>
        <v>3</v>
      </c>
      <c r="AI646" s="117">
        <f t="shared" si="524"/>
        <v>1</v>
      </c>
      <c r="AJ646" s="117">
        <f t="shared" si="525"/>
        <v>0</v>
      </c>
    </row>
    <row r="647" spans="2:36" ht="16.5" customHeight="1">
      <c r="B647" s="11"/>
      <c r="C647" s="11"/>
      <c r="D647" s="4"/>
      <c r="E647" s="4" t="s">
        <v>187</v>
      </c>
      <c r="F647" s="5">
        <v>4</v>
      </c>
      <c r="G647" s="6">
        <v>0</v>
      </c>
      <c r="H647" s="7" t="s">
        <v>224</v>
      </c>
      <c r="I647" s="7"/>
      <c r="J647" s="4"/>
      <c r="K647" s="4" t="s">
        <v>214</v>
      </c>
      <c r="L647" s="5">
        <v>3</v>
      </c>
      <c r="M647" s="6">
        <v>0</v>
      </c>
      <c r="N647" s="7" t="str">
        <f t="shared" si="509"/>
        <v/>
      </c>
      <c r="O647" s="7"/>
      <c r="P647" s="36"/>
      <c r="Q647" s="35"/>
      <c r="T647" s="121" t="str">
        <f t="shared" si="510"/>
        <v/>
      </c>
      <c r="U647" s="118">
        <f t="shared" si="511"/>
        <v>0</v>
      </c>
      <c r="V647" s="117">
        <f t="shared" si="512"/>
        <v>0</v>
      </c>
      <c r="W647" s="117">
        <f t="shared" si="513"/>
        <v>1</v>
      </c>
      <c r="X647" s="117">
        <f t="shared" si="514"/>
        <v>4</v>
      </c>
      <c r="Y647" s="117">
        <f t="shared" si="515"/>
        <v>0</v>
      </c>
      <c r="Z647" s="117">
        <f t="shared" si="516"/>
        <v>0</v>
      </c>
      <c r="AA647" s="117">
        <f t="shared" si="517"/>
        <v>0</v>
      </c>
      <c r="AC647" s="121" t="str">
        <f t="shared" si="518"/>
        <v/>
      </c>
      <c r="AD647" s="118">
        <f t="shared" si="519"/>
        <v>0</v>
      </c>
      <c r="AE647" s="117">
        <f t="shared" si="520"/>
        <v>0</v>
      </c>
      <c r="AF647" s="117">
        <f t="shared" si="521"/>
        <v>1</v>
      </c>
      <c r="AG647" s="117">
        <f t="shared" si="522"/>
        <v>3</v>
      </c>
      <c r="AH647" s="117">
        <f t="shared" si="523"/>
        <v>0</v>
      </c>
      <c r="AI647" s="117">
        <f t="shared" si="524"/>
        <v>0</v>
      </c>
      <c r="AJ647" s="117">
        <f t="shared" si="525"/>
        <v>0</v>
      </c>
    </row>
    <row r="648" spans="2:36" ht="16.5" customHeight="1">
      <c r="B648" s="15"/>
      <c r="C648" s="15" t="s">
        <v>10</v>
      </c>
      <c r="D648" s="8"/>
      <c r="E648" s="9" t="s">
        <v>188</v>
      </c>
      <c r="F648" s="5">
        <v>2</v>
      </c>
      <c r="G648" s="6">
        <v>0</v>
      </c>
      <c r="H648" s="7" t="s">
        <v>224</v>
      </c>
      <c r="I648" s="10"/>
      <c r="J648" s="8"/>
      <c r="K648" s="9" t="s">
        <v>215</v>
      </c>
      <c r="L648" s="5">
        <v>2</v>
      </c>
      <c r="M648" s="6">
        <v>0</v>
      </c>
      <c r="N648" s="7" t="str">
        <f t="shared" si="509"/>
        <v/>
      </c>
      <c r="O648" s="10"/>
      <c r="P648" s="39" t="s">
        <v>26</v>
      </c>
      <c r="Q648" s="38"/>
      <c r="T648" s="121" t="str">
        <f t="shared" si="510"/>
        <v/>
      </c>
      <c r="U648" s="118">
        <f t="shared" si="511"/>
        <v>0</v>
      </c>
      <c r="V648" s="117">
        <f t="shared" si="512"/>
        <v>0</v>
      </c>
      <c r="W648" s="117">
        <f t="shared" si="513"/>
        <v>1</v>
      </c>
      <c r="X648" s="117">
        <f t="shared" si="514"/>
        <v>2</v>
      </c>
      <c r="Y648" s="117">
        <f t="shared" si="515"/>
        <v>0</v>
      </c>
      <c r="Z648" s="117">
        <f t="shared" si="516"/>
        <v>0</v>
      </c>
      <c r="AA648" s="117">
        <f t="shared" si="517"/>
        <v>0</v>
      </c>
      <c r="AC648" s="121" t="str">
        <f t="shared" si="518"/>
        <v/>
      </c>
      <c r="AD648" s="118">
        <f t="shared" si="519"/>
        <v>0</v>
      </c>
      <c r="AE648" s="117">
        <f t="shared" si="520"/>
        <v>0</v>
      </c>
      <c r="AF648" s="117">
        <f t="shared" si="521"/>
        <v>1</v>
      </c>
      <c r="AG648" s="117">
        <f t="shared" si="522"/>
        <v>2</v>
      </c>
      <c r="AH648" s="117">
        <f t="shared" si="523"/>
        <v>0</v>
      </c>
      <c r="AI648" s="117">
        <f t="shared" si="524"/>
        <v>0</v>
      </c>
      <c r="AJ648" s="117">
        <f t="shared" si="525"/>
        <v>0</v>
      </c>
    </row>
    <row r="649" spans="2:36" ht="16.5" customHeight="1">
      <c r="B649" s="15"/>
      <c r="C649" s="15"/>
      <c r="D649" s="4"/>
      <c r="E649" s="4" t="s">
        <v>189</v>
      </c>
      <c r="F649" s="5">
        <v>3</v>
      </c>
      <c r="G649" s="6">
        <v>0</v>
      </c>
      <c r="H649" s="7" t="s">
        <v>224</v>
      </c>
      <c r="I649" s="7"/>
      <c r="J649" s="4"/>
      <c r="K649" s="4" t="s">
        <v>216</v>
      </c>
      <c r="L649" s="5">
        <v>3</v>
      </c>
      <c r="M649" s="6">
        <v>1</v>
      </c>
      <c r="N649" s="7" t="str">
        <f t="shared" si="509"/>
        <v/>
      </c>
      <c r="O649" s="7"/>
      <c r="P649" s="39"/>
      <c r="Q649" s="38"/>
      <c r="T649" s="121" t="str">
        <f t="shared" si="510"/>
        <v/>
      </c>
      <c r="U649" s="118">
        <f t="shared" si="511"/>
        <v>0</v>
      </c>
      <c r="V649" s="117">
        <f t="shared" si="512"/>
        <v>0</v>
      </c>
      <c r="W649" s="117">
        <f t="shared" si="513"/>
        <v>1</v>
      </c>
      <c r="X649" s="117">
        <f t="shared" si="514"/>
        <v>3</v>
      </c>
      <c r="Y649" s="117">
        <f t="shared" si="515"/>
        <v>0</v>
      </c>
      <c r="Z649" s="117">
        <f t="shared" si="516"/>
        <v>0</v>
      </c>
      <c r="AA649" s="117">
        <f t="shared" si="517"/>
        <v>0</v>
      </c>
      <c r="AC649" s="121" t="str">
        <f t="shared" si="518"/>
        <v/>
      </c>
      <c r="AD649" s="118">
        <f t="shared" si="519"/>
        <v>0</v>
      </c>
      <c r="AE649" s="117">
        <f t="shared" si="520"/>
        <v>0</v>
      </c>
      <c r="AF649" s="117">
        <f t="shared" si="521"/>
        <v>1</v>
      </c>
      <c r="AG649" s="117">
        <f t="shared" si="522"/>
        <v>2</v>
      </c>
      <c r="AH649" s="117">
        <f t="shared" si="523"/>
        <v>0</v>
      </c>
      <c r="AI649" s="117">
        <f t="shared" si="524"/>
        <v>0</v>
      </c>
      <c r="AJ649" s="117">
        <f t="shared" si="525"/>
        <v>0</v>
      </c>
    </row>
    <row r="650" spans="2:36" ht="16.5" customHeight="1">
      <c r="B650" s="15"/>
      <c r="C650" s="15"/>
      <c r="D650" s="8"/>
      <c r="E650" s="9" t="s">
        <v>190</v>
      </c>
      <c r="F650" s="5">
        <v>4</v>
      </c>
      <c r="G650" s="6">
        <v>0</v>
      </c>
      <c r="H650" s="7" t="s">
        <v>224</v>
      </c>
      <c r="I650" s="10"/>
      <c r="J650" s="8"/>
      <c r="K650" s="9" t="s">
        <v>217</v>
      </c>
      <c r="L650" s="5">
        <v>2</v>
      </c>
      <c r="M650" s="6">
        <v>0</v>
      </c>
      <c r="N650" s="7" t="str">
        <f t="shared" si="509"/>
        <v/>
      </c>
      <c r="O650" s="10"/>
      <c r="P650" s="39"/>
      <c r="Q650" s="38"/>
      <c r="T650" s="121" t="str">
        <f t="shared" si="510"/>
        <v/>
      </c>
      <c r="U650" s="118">
        <f t="shared" si="511"/>
        <v>0</v>
      </c>
      <c r="V650" s="117">
        <f t="shared" si="512"/>
        <v>0</v>
      </c>
      <c r="W650" s="117">
        <f t="shared" si="513"/>
        <v>1</v>
      </c>
      <c r="X650" s="117">
        <f t="shared" si="514"/>
        <v>4</v>
      </c>
      <c r="Y650" s="117">
        <f t="shared" si="515"/>
        <v>0</v>
      </c>
      <c r="Z650" s="117">
        <f t="shared" si="516"/>
        <v>0</v>
      </c>
      <c r="AA650" s="117">
        <f t="shared" si="517"/>
        <v>0</v>
      </c>
      <c r="AC650" s="121" t="str">
        <f t="shared" si="518"/>
        <v/>
      </c>
      <c r="AD650" s="118">
        <f t="shared" si="519"/>
        <v>0</v>
      </c>
      <c r="AE650" s="117">
        <f t="shared" si="520"/>
        <v>0</v>
      </c>
      <c r="AF650" s="117">
        <f t="shared" si="521"/>
        <v>1</v>
      </c>
      <c r="AG650" s="117">
        <f t="shared" si="522"/>
        <v>2</v>
      </c>
      <c r="AH650" s="117">
        <f t="shared" si="523"/>
        <v>0</v>
      </c>
      <c r="AI650" s="117">
        <f t="shared" si="524"/>
        <v>0</v>
      </c>
      <c r="AJ650" s="117">
        <f t="shared" si="525"/>
        <v>0</v>
      </c>
    </row>
    <row r="651" spans="2:36" ht="16.5" customHeight="1">
      <c r="B651" s="15"/>
      <c r="C651" s="15"/>
      <c r="D651" s="4"/>
      <c r="E651" s="4" t="s">
        <v>191</v>
      </c>
      <c r="F651" s="5">
        <v>2</v>
      </c>
      <c r="G651" s="6">
        <v>0</v>
      </c>
      <c r="H651" s="7" t="s">
        <v>224</v>
      </c>
      <c r="I651" s="7"/>
      <c r="J651" s="4"/>
      <c r="K651" s="4" t="s">
        <v>218</v>
      </c>
      <c r="L651" s="5">
        <v>4</v>
      </c>
      <c r="M651" s="6">
        <v>2</v>
      </c>
      <c r="N651" s="7" t="str">
        <f t="shared" si="509"/>
        <v/>
      </c>
      <c r="O651" s="7"/>
      <c r="P651" s="39"/>
      <c r="Q651" s="38"/>
      <c r="T651" s="121" t="str">
        <f t="shared" si="510"/>
        <v/>
      </c>
      <c r="U651" s="118">
        <f t="shared" si="511"/>
        <v>0</v>
      </c>
      <c r="V651" s="117">
        <f t="shared" si="512"/>
        <v>0</v>
      </c>
      <c r="W651" s="117">
        <f t="shared" si="513"/>
        <v>1</v>
      </c>
      <c r="X651" s="117">
        <f t="shared" si="514"/>
        <v>2</v>
      </c>
      <c r="Y651" s="117">
        <f t="shared" si="515"/>
        <v>0</v>
      </c>
      <c r="Z651" s="117">
        <f t="shared" si="516"/>
        <v>0</v>
      </c>
      <c r="AA651" s="117">
        <f t="shared" si="517"/>
        <v>0</v>
      </c>
      <c r="AC651" s="121" t="str">
        <f t="shared" si="518"/>
        <v/>
      </c>
      <c r="AD651" s="118">
        <f t="shared" si="519"/>
        <v>0</v>
      </c>
      <c r="AE651" s="117">
        <f t="shared" si="520"/>
        <v>0</v>
      </c>
      <c r="AF651" s="117">
        <f t="shared" si="521"/>
        <v>1</v>
      </c>
      <c r="AG651" s="117">
        <f t="shared" si="522"/>
        <v>2</v>
      </c>
      <c r="AH651" s="117">
        <f t="shared" si="523"/>
        <v>0</v>
      </c>
      <c r="AI651" s="117">
        <f t="shared" si="524"/>
        <v>0</v>
      </c>
      <c r="AJ651" s="117">
        <f t="shared" si="525"/>
        <v>0</v>
      </c>
    </row>
    <row r="652" spans="2:36" ht="16.5" customHeight="1">
      <c r="B652" s="15"/>
      <c r="C652" s="15"/>
      <c r="D652" s="8"/>
      <c r="E652" s="9" t="s">
        <v>192</v>
      </c>
      <c r="F652" s="5">
        <v>3</v>
      </c>
      <c r="G652" s="6">
        <v>0</v>
      </c>
      <c r="H652" s="7" t="s">
        <v>224</v>
      </c>
      <c r="I652" s="10"/>
      <c r="J652" s="8"/>
      <c r="K652" s="9" t="s">
        <v>219</v>
      </c>
      <c r="L652" s="5">
        <v>2</v>
      </c>
      <c r="M652" s="6">
        <v>0</v>
      </c>
      <c r="N652" s="7" t="str">
        <f t="shared" si="509"/>
        <v/>
      </c>
      <c r="O652" s="10"/>
      <c r="P652" s="39"/>
      <c r="Q652" s="38"/>
      <c r="T652" s="121" t="str">
        <f t="shared" si="510"/>
        <v/>
      </c>
      <c r="U652" s="118">
        <f t="shared" si="511"/>
        <v>0</v>
      </c>
      <c r="V652" s="117">
        <f t="shared" si="512"/>
        <v>0</v>
      </c>
      <c r="W652" s="117">
        <f t="shared" si="513"/>
        <v>1</v>
      </c>
      <c r="X652" s="117">
        <f t="shared" si="514"/>
        <v>3</v>
      </c>
      <c r="Y652" s="117">
        <f t="shared" si="515"/>
        <v>0</v>
      </c>
      <c r="Z652" s="117">
        <f t="shared" si="516"/>
        <v>0</v>
      </c>
      <c r="AA652" s="117">
        <f t="shared" si="517"/>
        <v>0</v>
      </c>
      <c r="AC652" s="121" t="str">
        <f t="shared" si="518"/>
        <v/>
      </c>
      <c r="AD652" s="118">
        <f t="shared" si="519"/>
        <v>0</v>
      </c>
      <c r="AE652" s="117">
        <f t="shared" si="520"/>
        <v>0</v>
      </c>
      <c r="AF652" s="117">
        <f t="shared" si="521"/>
        <v>1</v>
      </c>
      <c r="AG652" s="117">
        <f t="shared" si="522"/>
        <v>2</v>
      </c>
      <c r="AH652" s="117">
        <f t="shared" si="523"/>
        <v>0</v>
      </c>
      <c r="AI652" s="117">
        <f t="shared" si="524"/>
        <v>0</v>
      </c>
      <c r="AJ652" s="117">
        <f t="shared" si="525"/>
        <v>0</v>
      </c>
    </row>
    <row r="653" spans="2:36" ht="16.5" customHeight="1">
      <c r="B653" s="15"/>
      <c r="C653" s="15"/>
      <c r="D653" s="4"/>
      <c r="E653" s="4" t="s">
        <v>193</v>
      </c>
      <c r="F653" s="5">
        <v>2</v>
      </c>
      <c r="G653" s="6">
        <v>0</v>
      </c>
      <c r="H653" s="7" t="s">
        <v>224</v>
      </c>
      <c r="I653" s="7"/>
      <c r="J653" s="4"/>
      <c r="K653" s="4" t="s">
        <v>220</v>
      </c>
      <c r="L653" s="5">
        <v>2</v>
      </c>
      <c r="M653" s="6">
        <v>1</v>
      </c>
      <c r="N653" s="7" t="str">
        <f t="shared" si="509"/>
        <v/>
      </c>
      <c r="O653" s="7"/>
      <c r="P653" s="39"/>
      <c r="Q653" s="38"/>
      <c r="T653" s="121" t="str">
        <f t="shared" si="510"/>
        <v/>
      </c>
      <c r="U653" s="118">
        <f t="shared" si="511"/>
        <v>0</v>
      </c>
      <c r="V653" s="117">
        <f t="shared" si="512"/>
        <v>0</v>
      </c>
      <c r="W653" s="117">
        <f t="shared" si="513"/>
        <v>1</v>
      </c>
      <c r="X653" s="117">
        <f t="shared" si="514"/>
        <v>2</v>
      </c>
      <c r="Y653" s="117">
        <f t="shared" si="515"/>
        <v>0</v>
      </c>
      <c r="Z653" s="117">
        <f t="shared" si="516"/>
        <v>0</v>
      </c>
      <c r="AA653" s="117">
        <f t="shared" si="517"/>
        <v>0</v>
      </c>
      <c r="AC653" s="121" t="str">
        <f t="shared" si="518"/>
        <v/>
      </c>
      <c r="AD653" s="118">
        <f t="shared" si="519"/>
        <v>0</v>
      </c>
      <c r="AE653" s="117">
        <f t="shared" si="520"/>
        <v>0</v>
      </c>
      <c r="AF653" s="117">
        <f t="shared" si="521"/>
        <v>1</v>
      </c>
      <c r="AG653" s="117">
        <f t="shared" si="522"/>
        <v>1</v>
      </c>
      <c r="AH653" s="117">
        <f t="shared" si="523"/>
        <v>0</v>
      </c>
      <c r="AI653" s="117">
        <f t="shared" si="524"/>
        <v>0</v>
      </c>
      <c r="AJ653" s="117">
        <f t="shared" si="525"/>
        <v>0</v>
      </c>
    </row>
    <row r="654" spans="2:36" ht="16.5" customHeight="1">
      <c r="B654" s="15"/>
      <c r="C654" s="15"/>
      <c r="D654" s="8"/>
      <c r="E654" s="9" t="s">
        <v>194</v>
      </c>
      <c r="F654" s="5">
        <v>3</v>
      </c>
      <c r="G654" s="6">
        <v>1</v>
      </c>
      <c r="H654" s="7" t="s">
        <v>224</v>
      </c>
      <c r="I654" s="10"/>
      <c r="J654" s="8"/>
      <c r="K654" s="9" t="s">
        <v>221</v>
      </c>
      <c r="L654" s="5">
        <v>3</v>
      </c>
      <c r="M654" s="6">
        <v>0</v>
      </c>
      <c r="N654" s="7" t="str">
        <f t="shared" si="509"/>
        <v/>
      </c>
      <c r="O654" s="10"/>
      <c r="P654" s="39"/>
      <c r="Q654" s="38"/>
      <c r="T654" s="121" t="str">
        <f t="shared" si="510"/>
        <v/>
      </c>
      <c r="U654" s="118">
        <f t="shared" si="511"/>
        <v>0</v>
      </c>
      <c r="V654" s="117">
        <f t="shared" si="512"/>
        <v>0</v>
      </c>
      <c r="W654" s="117">
        <f t="shared" si="513"/>
        <v>1</v>
      </c>
      <c r="X654" s="117">
        <f t="shared" si="514"/>
        <v>2</v>
      </c>
      <c r="Y654" s="117">
        <f t="shared" si="515"/>
        <v>0</v>
      </c>
      <c r="Z654" s="117">
        <f t="shared" si="516"/>
        <v>0</v>
      </c>
      <c r="AA654" s="117">
        <f t="shared" si="517"/>
        <v>0</v>
      </c>
      <c r="AC654" s="121" t="str">
        <f t="shared" si="518"/>
        <v/>
      </c>
      <c r="AD654" s="118">
        <f t="shared" si="519"/>
        <v>0</v>
      </c>
      <c r="AE654" s="117">
        <f t="shared" si="520"/>
        <v>0</v>
      </c>
      <c r="AF654" s="117">
        <f t="shared" si="521"/>
        <v>1</v>
      </c>
      <c r="AG654" s="117">
        <f t="shared" si="522"/>
        <v>3</v>
      </c>
      <c r="AH654" s="117">
        <f t="shared" si="523"/>
        <v>0</v>
      </c>
      <c r="AI654" s="117">
        <f t="shared" si="524"/>
        <v>0</v>
      </c>
      <c r="AJ654" s="117">
        <f t="shared" si="525"/>
        <v>0</v>
      </c>
    </row>
    <row r="655" spans="2:36" ht="16.5" customHeight="1">
      <c r="K655" s="3"/>
    </row>
    <row r="656" spans="2:36" ht="23.25">
      <c r="B656" s="33" t="s">
        <v>137</v>
      </c>
      <c r="D656" s="52"/>
      <c r="E656" s="55" t="s">
        <v>17</v>
      </c>
      <c r="F656" s="56"/>
      <c r="G656" s="57"/>
      <c r="H656" s="57"/>
      <c r="I656" s="56"/>
      <c r="J656" s="82"/>
      <c r="K656" s="82" t="s">
        <v>20</v>
      </c>
      <c r="M656" s="91"/>
      <c r="N656" s="92"/>
      <c r="O656" s="92"/>
      <c r="P656" s="93"/>
      <c r="Q656" s="92"/>
      <c r="R656" s="92"/>
    </row>
    <row r="657" spans="2:36" ht="16.5" customHeight="1">
      <c r="C657" s="1"/>
      <c r="D657" s="1"/>
      <c r="E657" s="1"/>
      <c r="H657" s="1"/>
      <c r="I657" s="1"/>
      <c r="J657" s="1"/>
      <c r="P657" s="1"/>
    </row>
    <row r="658" spans="2:36" ht="16.5" customHeight="1">
      <c r="B658" s="12"/>
      <c r="C658" s="12" t="s">
        <v>7</v>
      </c>
      <c r="D658" s="4"/>
      <c r="E658" s="4" t="s">
        <v>32</v>
      </c>
      <c r="F658" s="5">
        <v>2</v>
      </c>
      <c r="G658" s="6">
        <v>1</v>
      </c>
      <c r="H658" s="7" t="s">
        <v>224</v>
      </c>
      <c r="I658" s="7"/>
      <c r="J658" s="4"/>
      <c r="K658" s="4" t="s">
        <v>195</v>
      </c>
      <c r="L658" s="5">
        <v>2</v>
      </c>
      <c r="M658" s="6">
        <v>1</v>
      </c>
      <c r="N658" s="7" t="str">
        <f>AC658</f>
        <v/>
      </c>
      <c r="O658" s="7"/>
      <c r="P658" s="24" t="s">
        <v>13</v>
      </c>
      <c r="Q658" s="13"/>
      <c r="T658" s="121" t="str">
        <f>IF($G$656="","",SUM(Y658:AA658))</f>
        <v/>
      </c>
      <c r="U658" s="118">
        <f t="shared" ref="U658" si="526">IF(V658&gt;0,1,IF(V658=0,0,2))</f>
        <v>0</v>
      </c>
      <c r="V658" s="117">
        <f>$G$656-$H$656</f>
        <v>0</v>
      </c>
      <c r="W658" s="117">
        <f t="shared" ref="W658" si="527">IF(X658&gt;0,1,IF(X658=0,0,2))</f>
        <v>1</v>
      </c>
      <c r="X658" s="117">
        <f>F658-G658</f>
        <v>1</v>
      </c>
      <c r="Y658" s="117">
        <f t="shared" ref="Y658" si="528">IF(U658=W658,3,0)</f>
        <v>0</v>
      </c>
      <c r="Z658" s="117">
        <f t="shared" ref="Z658" si="529">IF(V658=X658,1,0)</f>
        <v>0</v>
      </c>
      <c r="AA658" s="117">
        <f>IF(Z658=1,IF($G$656=F658,1,0),0)</f>
        <v>0</v>
      </c>
      <c r="AC658" s="121" t="str">
        <f>IF($G$656="","",SUM(AH658:AJ658))</f>
        <v/>
      </c>
      <c r="AD658" s="118">
        <f t="shared" ref="AD658" si="530">IF(AE658&gt;0,1,IF(AE658=0,0,2))</f>
        <v>0</v>
      </c>
      <c r="AE658" s="117">
        <f>$G$656-$H$656</f>
        <v>0</v>
      </c>
      <c r="AF658" s="117">
        <f t="shared" ref="AF658" si="531">IF(AG658&gt;0,1,IF(AG658=0,0,2))</f>
        <v>1</v>
      </c>
      <c r="AG658" s="117">
        <f>L658-M658</f>
        <v>1</v>
      </c>
      <c r="AH658" s="117">
        <f t="shared" ref="AH658" si="532">IF(AD658=AF658,3,0)</f>
        <v>0</v>
      </c>
      <c r="AI658" s="117">
        <f t="shared" ref="AI658" si="533">IF(AE658=AG658,1,0)</f>
        <v>0</v>
      </c>
      <c r="AJ658" s="117">
        <f>IF(AI658=1,IF($G$656=L658,1,0),0)</f>
        <v>0</v>
      </c>
    </row>
    <row r="659" spans="2:36" ht="16.5" customHeight="1">
      <c r="B659" s="12"/>
      <c r="C659" s="12"/>
      <c r="D659" s="8"/>
      <c r="E659" s="9" t="s">
        <v>170</v>
      </c>
      <c r="F659" s="5">
        <v>2</v>
      </c>
      <c r="G659" s="6">
        <v>1</v>
      </c>
      <c r="H659" s="7" t="s">
        <v>224</v>
      </c>
      <c r="I659" s="10"/>
      <c r="J659" s="8"/>
      <c r="K659" s="9" t="s">
        <v>196</v>
      </c>
      <c r="L659" s="5">
        <v>2</v>
      </c>
      <c r="M659" s="6">
        <v>1</v>
      </c>
      <c r="N659" s="7" t="str">
        <f t="shared" ref="N659:N685" si="534">AC659</f>
        <v/>
      </c>
      <c r="O659" s="10"/>
      <c r="P659" s="24"/>
      <c r="Q659" s="13"/>
      <c r="T659" s="121" t="str">
        <f t="shared" ref="T659:T685" si="535">IF($G$656="","",SUM(Y659:AA659))</f>
        <v/>
      </c>
      <c r="U659" s="118">
        <f t="shared" ref="U659:U685" si="536">IF(V659&gt;0,1,IF(V659=0,0,2))</f>
        <v>0</v>
      </c>
      <c r="V659" s="117">
        <f t="shared" ref="V659:V685" si="537">$G$656-$H$656</f>
        <v>0</v>
      </c>
      <c r="W659" s="117">
        <f t="shared" ref="W659:W685" si="538">IF(X659&gt;0,1,IF(X659=0,0,2))</f>
        <v>1</v>
      </c>
      <c r="X659" s="117">
        <f t="shared" ref="X659:X685" si="539">F659-G659</f>
        <v>1</v>
      </c>
      <c r="Y659" s="117">
        <f t="shared" ref="Y659:Y685" si="540">IF(U659=W659,3,0)</f>
        <v>0</v>
      </c>
      <c r="Z659" s="117">
        <f t="shared" ref="Z659:Z685" si="541">IF(V659=X659,1,0)</f>
        <v>0</v>
      </c>
      <c r="AA659" s="117">
        <f t="shared" ref="AA659:AA685" si="542">IF(Z659=1,IF($G$656=F659,1,0),0)</f>
        <v>0</v>
      </c>
      <c r="AC659" s="121" t="str">
        <f t="shared" ref="AC659:AC685" si="543">IF($G$656="","",SUM(AH659:AJ659))</f>
        <v/>
      </c>
      <c r="AD659" s="118">
        <f t="shared" ref="AD659:AD685" si="544">IF(AE659&gt;0,1,IF(AE659=0,0,2))</f>
        <v>0</v>
      </c>
      <c r="AE659" s="117">
        <f t="shared" ref="AE659:AE685" si="545">$G$656-$H$656</f>
        <v>0</v>
      </c>
      <c r="AF659" s="117">
        <f t="shared" ref="AF659:AF685" si="546">IF(AG659&gt;0,1,IF(AG659=0,0,2))</f>
        <v>1</v>
      </c>
      <c r="AG659" s="117">
        <f t="shared" ref="AG659:AG685" si="547">L659-M659</f>
        <v>1</v>
      </c>
      <c r="AH659" s="117">
        <f t="shared" ref="AH659:AH685" si="548">IF(AD659=AF659,3,0)</f>
        <v>0</v>
      </c>
      <c r="AI659" s="117">
        <f t="shared" ref="AI659:AI685" si="549">IF(AE659=AG659,1,0)</f>
        <v>0</v>
      </c>
      <c r="AJ659" s="117">
        <f t="shared" ref="AJ659:AJ685" si="550">IF(AI659=1,IF($G$656=L659,1,0),0)</f>
        <v>0</v>
      </c>
    </row>
    <row r="660" spans="2:36" ht="16.5" customHeight="1">
      <c r="B660" s="12"/>
      <c r="C660" s="12"/>
      <c r="D660" s="4"/>
      <c r="E660" s="4" t="s">
        <v>171</v>
      </c>
      <c r="F660" s="5">
        <v>2</v>
      </c>
      <c r="G660" s="6">
        <v>1</v>
      </c>
      <c r="H660" s="7" t="s">
        <v>224</v>
      </c>
      <c r="I660" s="7"/>
      <c r="J660" s="4"/>
      <c r="K660" s="4" t="s">
        <v>197</v>
      </c>
      <c r="L660" s="5">
        <v>2</v>
      </c>
      <c r="M660" s="6">
        <v>2</v>
      </c>
      <c r="N660" s="7" t="str">
        <f t="shared" si="534"/>
        <v/>
      </c>
      <c r="O660" s="7"/>
      <c r="P660" s="24"/>
      <c r="Q660" s="13"/>
      <c r="T660" s="121" t="str">
        <f t="shared" si="535"/>
        <v/>
      </c>
      <c r="U660" s="118">
        <f t="shared" si="536"/>
        <v>0</v>
      </c>
      <c r="V660" s="117">
        <f t="shared" si="537"/>
        <v>0</v>
      </c>
      <c r="W660" s="117">
        <f t="shared" si="538"/>
        <v>1</v>
      </c>
      <c r="X660" s="117">
        <f t="shared" si="539"/>
        <v>1</v>
      </c>
      <c r="Y660" s="117">
        <f t="shared" si="540"/>
        <v>0</v>
      </c>
      <c r="Z660" s="117">
        <f t="shared" si="541"/>
        <v>0</v>
      </c>
      <c r="AA660" s="117">
        <f t="shared" si="542"/>
        <v>0</v>
      </c>
      <c r="AC660" s="121" t="str">
        <f t="shared" si="543"/>
        <v/>
      </c>
      <c r="AD660" s="118">
        <f t="shared" si="544"/>
        <v>0</v>
      </c>
      <c r="AE660" s="117">
        <f t="shared" si="545"/>
        <v>0</v>
      </c>
      <c r="AF660" s="117">
        <f t="shared" si="546"/>
        <v>0</v>
      </c>
      <c r="AG660" s="117">
        <f t="shared" si="547"/>
        <v>0</v>
      </c>
      <c r="AH660" s="117">
        <f t="shared" si="548"/>
        <v>3</v>
      </c>
      <c r="AI660" s="117">
        <f t="shared" si="549"/>
        <v>1</v>
      </c>
      <c r="AJ660" s="117">
        <f t="shared" si="550"/>
        <v>0</v>
      </c>
    </row>
    <row r="661" spans="2:36" ht="16.5" customHeight="1">
      <c r="B661" s="12"/>
      <c r="C661" s="12"/>
      <c r="D661" s="8"/>
      <c r="E661" s="9" t="s">
        <v>172</v>
      </c>
      <c r="F661" s="5">
        <v>3</v>
      </c>
      <c r="G661" s="6">
        <v>2</v>
      </c>
      <c r="H661" s="7" t="s">
        <v>224</v>
      </c>
      <c r="I661" s="10"/>
      <c r="J661" s="8"/>
      <c r="K661" s="9" t="s">
        <v>198</v>
      </c>
      <c r="L661" s="5">
        <v>2</v>
      </c>
      <c r="M661" s="6">
        <v>1</v>
      </c>
      <c r="N661" s="7" t="str">
        <f t="shared" si="534"/>
        <v/>
      </c>
      <c r="O661" s="10"/>
      <c r="P661" s="24"/>
      <c r="Q661" s="13"/>
      <c r="T661" s="121" t="str">
        <f t="shared" si="535"/>
        <v/>
      </c>
      <c r="U661" s="118">
        <f t="shared" si="536"/>
        <v>0</v>
      </c>
      <c r="V661" s="117">
        <f t="shared" si="537"/>
        <v>0</v>
      </c>
      <c r="W661" s="117">
        <f t="shared" si="538"/>
        <v>1</v>
      </c>
      <c r="X661" s="117">
        <f t="shared" si="539"/>
        <v>1</v>
      </c>
      <c r="Y661" s="117">
        <f t="shared" si="540"/>
        <v>0</v>
      </c>
      <c r="Z661" s="117">
        <f t="shared" si="541"/>
        <v>0</v>
      </c>
      <c r="AA661" s="117">
        <f t="shared" si="542"/>
        <v>0</v>
      </c>
      <c r="AC661" s="121" t="str">
        <f t="shared" si="543"/>
        <v/>
      </c>
      <c r="AD661" s="118">
        <f t="shared" si="544"/>
        <v>0</v>
      </c>
      <c r="AE661" s="117">
        <f t="shared" si="545"/>
        <v>0</v>
      </c>
      <c r="AF661" s="117">
        <f t="shared" si="546"/>
        <v>1</v>
      </c>
      <c r="AG661" s="117">
        <f t="shared" si="547"/>
        <v>1</v>
      </c>
      <c r="AH661" s="117">
        <f t="shared" si="548"/>
        <v>0</v>
      </c>
      <c r="AI661" s="117">
        <f t="shared" si="549"/>
        <v>0</v>
      </c>
      <c r="AJ661" s="117">
        <f t="shared" si="550"/>
        <v>0</v>
      </c>
    </row>
    <row r="662" spans="2:36" ht="16.5" customHeight="1">
      <c r="B662" s="12"/>
      <c r="C662" s="12"/>
      <c r="D662" s="4"/>
      <c r="E662" s="4" t="s">
        <v>173</v>
      </c>
      <c r="F662" s="5">
        <v>3</v>
      </c>
      <c r="G662" s="6">
        <v>2</v>
      </c>
      <c r="H662" s="7" t="s">
        <v>224</v>
      </c>
      <c r="I662" s="7"/>
      <c r="J662" s="4"/>
      <c r="K662" s="4" t="s">
        <v>199</v>
      </c>
      <c r="L662" s="5">
        <v>2</v>
      </c>
      <c r="M662" s="6">
        <v>2</v>
      </c>
      <c r="N662" s="7" t="str">
        <f t="shared" si="534"/>
        <v/>
      </c>
      <c r="O662" s="7"/>
      <c r="P662" s="24"/>
      <c r="Q662" s="13"/>
      <c r="T662" s="121" t="str">
        <f t="shared" si="535"/>
        <v/>
      </c>
      <c r="U662" s="118">
        <f t="shared" si="536"/>
        <v>0</v>
      </c>
      <c r="V662" s="117">
        <f t="shared" si="537"/>
        <v>0</v>
      </c>
      <c r="W662" s="117">
        <f t="shared" si="538"/>
        <v>1</v>
      </c>
      <c r="X662" s="117">
        <f t="shared" si="539"/>
        <v>1</v>
      </c>
      <c r="Y662" s="117">
        <f t="shared" si="540"/>
        <v>0</v>
      </c>
      <c r="Z662" s="117">
        <f t="shared" si="541"/>
        <v>0</v>
      </c>
      <c r="AA662" s="117">
        <f t="shared" si="542"/>
        <v>0</v>
      </c>
      <c r="AC662" s="121" t="str">
        <f t="shared" si="543"/>
        <v/>
      </c>
      <c r="AD662" s="118">
        <f t="shared" si="544"/>
        <v>0</v>
      </c>
      <c r="AE662" s="117">
        <f t="shared" si="545"/>
        <v>0</v>
      </c>
      <c r="AF662" s="117">
        <f t="shared" si="546"/>
        <v>0</v>
      </c>
      <c r="AG662" s="117">
        <f t="shared" si="547"/>
        <v>0</v>
      </c>
      <c r="AH662" s="117">
        <f t="shared" si="548"/>
        <v>3</v>
      </c>
      <c r="AI662" s="117">
        <f t="shared" si="549"/>
        <v>1</v>
      </c>
      <c r="AJ662" s="117">
        <f t="shared" si="550"/>
        <v>0</v>
      </c>
    </row>
    <row r="663" spans="2:36" ht="16.5" customHeight="1">
      <c r="B663" s="12"/>
      <c r="C663" s="12"/>
      <c r="D663" s="8"/>
      <c r="E663" s="9" t="s">
        <v>174</v>
      </c>
      <c r="F663" s="5">
        <v>2</v>
      </c>
      <c r="G663" s="6">
        <v>1</v>
      </c>
      <c r="H663" s="7" t="s">
        <v>224</v>
      </c>
      <c r="I663" s="10"/>
      <c r="J663" s="8"/>
      <c r="K663" s="9" t="s">
        <v>200</v>
      </c>
      <c r="L663" s="5">
        <v>2</v>
      </c>
      <c r="M663" s="6">
        <v>1</v>
      </c>
      <c r="N663" s="7" t="str">
        <f t="shared" si="534"/>
        <v/>
      </c>
      <c r="O663" s="10"/>
      <c r="P663" s="24"/>
      <c r="Q663" s="13"/>
      <c r="T663" s="121" t="str">
        <f t="shared" si="535"/>
        <v/>
      </c>
      <c r="U663" s="118">
        <f t="shared" si="536"/>
        <v>0</v>
      </c>
      <c r="V663" s="117">
        <f t="shared" si="537"/>
        <v>0</v>
      </c>
      <c r="W663" s="117">
        <f t="shared" si="538"/>
        <v>1</v>
      </c>
      <c r="X663" s="117">
        <f t="shared" si="539"/>
        <v>1</v>
      </c>
      <c r="Y663" s="117">
        <f t="shared" si="540"/>
        <v>0</v>
      </c>
      <c r="Z663" s="117">
        <f t="shared" si="541"/>
        <v>0</v>
      </c>
      <c r="AA663" s="117">
        <f t="shared" si="542"/>
        <v>0</v>
      </c>
      <c r="AC663" s="121" t="str">
        <f t="shared" si="543"/>
        <v/>
      </c>
      <c r="AD663" s="118">
        <f t="shared" si="544"/>
        <v>0</v>
      </c>
      <c r="AE663" s="117">
        <f t="shared" si="545"/>
        <v>0</v>
      </c>
      <c r="AF663" s="117">
        <f t="shared" si="546"/>
        <v>1</v>
      </c>
      <c r="AG663" s="117">
        <f t="shared" si="547"/>
        <v>1</v>
      </c>
      <c r="AH663" s="117">
        <f t="shared" si="548"/>
        <v>0</v>
      </c>
      <c r="AI663" s="117">
        <f t="shared" si="549"/>
        <v>0</v>
      </c>
      <c r="AJ663" s="117">
        <f t="shared" si="550"/>
        <v>0</v>
      </c>
    </row>
    <row r="664" spans="2:36" ht="16.5" customHeight="1">
      <c r="B664" s="12"/>
      <c r="C664" s="12"/>
      <c r="D664" s="4"/>
      <c r="E664" s="4" t="s">
        <v>175</v>
      </c>
      <c r="F664" s="5">
        <v>2</v>
      </c>
      <c r="G664" s="6">
        <v>1</v>
      </c>
      <c r="H664" s="7" t="s">
        <v>224</v>
      </c>
      <c r="I664" s="7"/>
      <c r="J664" s="4"/>
      <c r="K664" s="4" t="s">
        <v>201</v>
      </c>
      <c r="L664" s="5">
        <v>2</v>
      </c>
      <c r="M664" s="6">
        <v>1</v>
      </c>
      <c r="N664" s="7" t="str">
        <f t="shared" si="534"/>
        <v/>
      </c>
      <c r="O664" s="7"/>
      <c r="P664" s="24"/>
      <c r="Q664" s="13"/>
      <c r="T664" s="121" t="str">
        <f t="shared" si="535"/>
        <v/>
      </c>
      <c r="U664" s="118">
        <f t="shared" si="536"/>
        <v>0</v>
      </c>
      <c r="V664" s="117">
        <f t="shared" si="537"/>
        <v>0</v>
      </c>
      <c r="W664" s="117">
        <f t="shared" si="538"/>
        <v>1</v>
      </c>
      <c r="X664" s="117">
        <f t="shared" si="539"/>
        <v>1</v>
      </c>
      <c r="Y664" s="117">
        <f t="shared" si="540"/>
        <v>0</v>
      </c>
      <c r="Z664" s="117">
        <f t="shared" si="541"/>
        <v>0</v>
      </c>
      <c r="AA664" s="117">
        <f t="shared" si="542"/>
        <v>0</v>
      </c>
      <c r="AC664" s="121" t="str">
        <f t="shared" si="543"/>
        <v/>
      </c>
      <c r="AD664" s="118">
        <f t="shared" si="544"/>
        <v>0</v>
      </c>
      <c r="AE664" s="117">
        <f t="shared" si="545"/>
        <v>0</v>
      </c>
      <c r="AF664" s="117">
        <f t="shared" si="546"/>
        <v>1</v>
      </c>
      <c r="AG664" s="117">
        <f t="shared" si="547"/>
        <v>1</v>
      </c>
      <c r="AH664" s="117">
        <f t="shared" si="548"/>
        <v>0</v>
      </c>
      <c r="AI664" s="117">
        <f t="shared" si="549"/>
        <v>0</v>
      </c>
      <c r="AJ664" s="117">
        <f t="shared" si="550"/>
        <v>0</v>
      </c>
    </row>
    <row r="665" spans="2:36" ht="16.5" customHeight="1">
      <c r="B665" s="14"/>
      <c r="C665" s="14" t="s">
        <v>8</v>
      </c>
      <c r="D665" s="8"/>
      <c r="E665" s="9" t="s">
        <v>33</v>
      </c>
      <c r="F665" s="5">
        <v>2</v>
      </c>
      <c r="G665" s="6">
        <v>0</v>
      </c>
      <c r="H665" s="7" t="s">
        <v>224</v>
      </c>
      <c r="I665" s="10"/>
      <c r="J665" s="8"/>
      <c r="K665" s="9" t="s">
        <v>225</v>
      </c>
      <c r="L665" s="5">
        <v>1</v>
      </c>
      <c r="M665" s="6">
        <v>1</v>
      </c>
      <c r="N665" s="7" t="str">
        <f t="shared" si="534"/>
        <v/>
      </c>
      <c r="O665" s="10"/>
      <c r="P665" s="31" t="s">
        <v>16</v>
      </c>
      <c r="Q665" s="30"/>
      <c r="T665" s="121" t="str">
        <f t="shared" si="535"/>
        <v/>
      </c>
      <c r="U665" s="118">
        <f t="shared" si="536"/>
        <v>0</v>
      </c>
      <c r="V665" s="117">
        <f t="shared" si="537"/>
        <v>0</v>
      </c>
      <c r="W665" s="117">
        <f t="shared" si="538"/>
        <v>1</v>
      </c>
      <c r="X665" s="117">
        <f t="shared" si="539"/>
        <v>2</v>
      </c>
      <c r="Y665" s="117">
        <f t="shared" si="540"/>
        <v>0</v>
      </c>
      <c r="Z665" s="117">
        <f t="shared" si="541"/>
        <v>0</v>
      </c>
      <c r="AA665" s="117">
        <f t="shared" si="542"/>
        <v>0</v>
      </c>
      <c r="AC665" s="121" t="str">
        <f t="shared" si="543"/>
        <v/>
      </c>
      <c r="AD665" s="118">
        <f t="shared" si="544"/>
        <v>0</v>
      </c>
      <c r="AE665" s="117">
        <f t="shared" si="545"/>
        <v>0</v>
      </c>
      <c r="AF665" s="117">
        <f t="shared" si="546"/>
        <v>0</v>
      </c>
      <c r="AG665" s="117">
        <f t="shared" si="547"/>
        <v>0</v>
      </c>
      <c r="AH665" s="117">
        <f t="shared" si="548"/>
        <v>3</v>
      </c>
      <c r="AI665" s="117">
        <f t="shared" si="549"/>
        <v>1</v>
      </c>
      <c r="AJ665" s="117">
        <f t="shared" si="550"/>
        <v>0</v>
      </c>
    </row>
    <row r="666" spans="2:36" ht="16.5" customHeight="1">
      <c r="B666" s="14"/>
      <c r="C666" s="14"/>
      <c r="D666" s="4"/>
      <c r="E666" s="4" t="s">
        <v>176</v>
      </c>
      <c r="F666" s="5">
        <v>2</v>
      </c>
      <c r="G666" s="6">
        <v>1</v>
      </c>
      <c r="H666" s="7" t="s">
        <v>224</v>
      </c>
      <c r="I666" s="7"/>
      <c r="J666" s="4"/>
      <c r="K666" s="4" t="s">
        <v>203</v>
      </c>
      <c r="L666" s="5">
        <v>2</v>
      </c>
      <c r="M666" s="6">
        <v>0</v>
      </c>
      <c r="N666" s="7" t="str">
        <f t="shared" si="534"/>
        <v/>
      </c>
      <c r="O666" s="7"/>
      <c r="P666" s="31"/>
      <c r="Q666" s="30"/>
      <c r="T666" s="121" t="str">
        <f t="shared" si="535"/>
        <v/>
      </c>
      <c r="U666" s="118">
        <f t="shared" si="536"/>
        <v>0</v>
      </c>
      <c r="V666" s="117">
        <f t="shared" si="537"/>
        <v>0</v>
      </c>
      <c r="W666" s="117">
        <f t="shared" si="538"/>
        <v>1</v>
      </c>
      <c r="X666" s="117">
        <f t="shared" si="539"/>
        <v>1</v>
      </c>
      <c r="Y666" s="117">
        <f t="shared" si="540"/>
        <v>0</v>
      </c>
      <c r="Z666" s="117">
        <f t="shared" si="541"/>
        <v>0</v>
      </c>
      <c r="AA666" s="117">
        <f t="shared" si="542"/>
        <v>0</v>
      </c>
      <c r="AC666" s="121" t="str">
        <f t="shared" si="543"/>
        <v/>
      </c>
      <c r="AD666" s="118">
        <f t="shared" si="544"/>
        <v>0</v>
      </c>
      <c r="AE666" s="117">
        <f t="shared" si="545"/>
        <v>0</v>
      </c>
      <c r="AF666" s="117">
        <f t="shared" si="546"/>
        <v>1</v>
      </c>
      <c r="AG666" s="117">
        <f t="shared" si="547"/>
        <v>2</v>
      </c>
      <c r="AH666" s="117">
        <f t="shared" si="548"/>
        <v>0</v>
      </c>
      <c r="AI666" s="117">
        <f t="shared" si="549"/>
        <v>0</v>
      </c>
      <c r="AJ666" s="117">
        <f t="shared" si="550"/>
        <v>0</v>
      </c>
    </row>
    <row r="667" spans="2:36" ht="16.5" customHeight="1">
      <c r="B667" s="14"/>
      <c r="C667" s="14"/>
      <c r="D667" s="8"/>
      <c r="E667" s="9" t="s">
        <v>177</v>
      </c>
      <c r="F667" s="5">
        <v>3</v>
      </c>
      <c r="G667" s="6">
        <v>2</v>
      </c>
      <c r="H667" s="7" t="s">
        <v>224</v>
      </c>
      <c r="I667" s="10"/>
      <c r="J667" s="8"/>
      <c r="K667" s="9" t="s">
        <v>204</v>
      </c>
      <c r="L667" s="5">
        <v>2</v>
      </c>
      <c r="M667" s="6">
        <v>0</v>
      </c>
      <c r="N667" s="7" t="str">
        <f t="shared" si="534"/>
        <v/>
      </c>
      <c r="O667" s="10"/>
      <c r="P667" s="31"/>
      <c r="Q667" s="30"/>
      <c r="T667" s="121" t="str">
        <f t="shared" si="535"/>
        <v/>
      </c>
      <c r="U667" s="118">
        <f t="shared" si="536"/>
        <v>0</v>
      </c>
      <c r="V667" s="117">
        <f t="shared" si="537"/>
        <v>0</v>
      </c>
      <c r="W667" s="117">
        <f t="shared" si="538"/>
        <v>1</v>
      </c>
      <c r="X667" s="117">
        <f t="shared" si="539"/>
        <v>1</v>
      </c>
      <c r="Y667" s="117">
        <f t="shared" si="540"/>
        <v>0</v>
      </c>
      <c r="Z667" s="117">
        <f t="shared" si="541"/>
        <v>0</v>
      </c>
      <c r="AA667" s="117">
        <f t="shared" si="542"/>
        <v>0</v>
      </c>
      <c r="AC667" s="121" t="str">
        <f t="shared" si="543"/>
        <v/>
      </c>
      <c r="AD667" s="118">
        <f t="shared" si="544"/>
        <v>0</v>
      </c>
      <c r="AE667" s="117">
        <f t="shared" si="545"/>
        <v>0</v>
      </c>
      <c r="AF667" s="117">
        <f t="shared" si="546"/>
        <v>1</v>
      </c>
      <c r="AG667" s="117">
        <f t="shared" si="547"/>
        <v>2</v>
      </c>
      <c r="AH667" s="117">
        <f t="shared" si="548"/>
        <v>0</v>
      </c>
      <c r="AI667" s="117">
        <f t="shared" si="549"/>
        <v>0</v>
      </c>
      <c r="AJ667" s="117">
        <f t="shared" si="550"/>
        <v>0</v>
      </c>
    </row>
    <row r="668" spans="2:36" ht="16.5" customHeight="1">
      <c r="B668" s="14"/>
      <c r="C668" s="14"/>
      <c r="D668" s="4"/>
      <c r="E668" s="4" t="s">
        <v>178</v>
      </c>
      <c r="F668" s="5">
        <v>2</v>
      </c>
      <c r="G668" s="6">
        <v>1</v>
      </c>
      <c r="H668" s="7" t="s">
        <v>224</v>
      </c>
      <c r="I668" s="7"/>
      <c r="J668" s="4"/>
      <c r="K668" s="4" t="s">
        <v>223</v>
      </c>
      <c r="L668" s="5">
        <v>1</v>
      </c>
      <c r="M668" s="6">
        <v>2</v>
      </c>
      <c r="N668" s="7" t="str">
        <f t="shared" si="534"/>
        <v/>
      </c>
      <c r="O668" s="7"/>
      <c r="P668" s="31"/>
      <c r="Q668" s="30"/>
      <c r="T668" s="121" t="str">
        <f t="shared" si="535"/>
        <v/>
      </c>
      <c r="U668" s="118">
        <f t="shared" si="536"/>
        <v>0</v>
      </c>
      <c r="V668" s="117">
        <f t="shared" si="537"/>
        <v>0</v>
      </c>
      <c r="W668" s="117">
        <f t="shared" si="538"/>
        <v>1</v>
      </c>
      <c r="X668" s="117">
        <f t="shared" si="539"/>
        <v>1</v>
      </c>
      <c r="Y668" s="117">
        <f t="shared" si="540"/>
        <v>0</v>
      </c>
      <c r="Z668" s="117">
        <f t="shared" si="541"/>
        <v>0</v>
      </c>
      <c r="AA668" s="117">
        <f t="shared" si="542"/>
        <v>0</v>
      </c>
      <c r="AC668" s="121" t="str">
        <f t="shared" si="543"/>
        <v/>
      </c>
      <c r="AD668" s="118">
        <f t="shared" si="544"/>
        <v>0</v>
      </c>
      <c r="AE668" s="117">
        <f t="shared" si="545"/>
        <v>0</v>
      </c>
      <c r="AF668" s="117">
        <f t="shared" si="546"/>
        <v>2</v>
      </c>
      <c r="AG668" s="117">
        <f t="shared" si="547"/>
        <v>-1</v>
      </c>
      <c r="AH668" s="117">
        <f t="shared" si="548"/>
        <v>0</v>
      </c>
      <c r="AI668" s="117">
        <f t="shared" si="549"/>
        <v>0</v>
      </c>
      <c r="AJ668" s="117">
        <f t="shared" si="550"/>
        <v>0</v>
      </c>
    </row>
    <row r="669" spans="2:36" ht="16.5" customHeight="1">
      <c r="B669" s="14"/>
      <c r="C669" s="14"/>
      <c r="D669" s="8"/>
      <c r="E669" s="9" t="s">
        <v>179</v>
      </c>
      <c r="F669" s="5">
        <v>1</v>
      </c>
      <c r="G669" s="6">
        <v>1</v>
      </c>
      <c r="H669" s="7" t="s">
        <v>224</v>
      </c>
      <c r="I669" s="10"/>
      <c r="J669" s="8"/>
      <c r="K669" s="9" t="s">
        <v>205</v>
      </c>
      <c r="L669" s="5">
        <v>1</v>
      </c>
      <c r="M669" s="6">
        <v>1</v>
      </c>
      <c r="N669" s="7" t="str">
        <f t="shared" si="534"/>
        <v/>
      </c>
      <c r="O669" s="10"/>
      <c r="P669" s="31"/>
      <c r="Q669" s="30"/>
      <c r="T669" s="121" t="str">
        <f t="shared" si="535"/>
        <v/>
      </c>
      <c r="U669" s="118">
        <f t="shared" si="536"/>
        <v>0</v>
      </c>
      <c r="V669" s="117">
        <f t="shared" si="537"/>
        <v>0</v>
      </c>
      <c r="W669" s="117">
        <f t="shared" si="538"/>
        <v>0</v>
      </c>
      <c r="X669" s="117">
        <f t="shared" si="539"/>
        <v>0</v>
      </c>
      <c r="Y669" s="117">
        <f t="shared" si="540"/>
        <v>3</v>
      </c>
      <c r="Z669" s="117">
        <f t="shared" si="541"/>
        <v>1</v>
      </c>
      <c r="AA669" s="117">
        <f t="shared" si="542"/>
        <v>0</v>
      </c>
      <c r="AC669" s="121" t="str">
        <f t="shared" si="543"/>
        <v/>
      </c>
      <c r="AD669" s="118">
        <f t="shared" si="544"/>
        <v>0</v>
      </c>
      <c r="AE669" s="117">
        <f t="shared" si="545"/>
        <v>0</v>
      </c>
      <c r="AF669" s="117">
        <f t="shared" si="546"/>
        <v>0</v>
      </c>
      <c r="AG669" s="117">
        <f t="shared" si="547"/>
        <v>0</v>
      </c>
      <c r="AH669" s="117">
        <f t="shared" si="548"/>
        <v>3</v>
      </c>
      <c r="AI669" s="117">
        <f t="shared" si="549"/>
        <v>1</v>
      </c>
      <c r="AJ669" s="117">
        <f t="shared" si="550"/>
        <v>0</v>
      </c>
    </row>
    <row r="670" spans="2:36" ht="16.5" customHeight="1">
      <c r="B670" s="14"/>
      <c r="C670" s="14"/>
      <c r="D670" s="4"/>
      <c r="E670" s="4" t="s">
        <v>180</v>
      </c>
      <c r="F670" s="5">
        <v>1</v>
      </c>
      <c r="G670" s="6">
        <v>1</v>
      </c>
      <c r="H670" s="7" t="s">
        <v>224</v>
      </c>
      <c r="I670" s="7"/>
      <c r="J670" s="4"/>
      <c r="K670" s="4" t="s">
        <v>206</v>
      </c>
      <c r="L670" s="5">
        <v>4</v>
      </c>
      <c r="M670" s="6">
        <v>3</v>
      </c>
      <c r="N670" s="7" t="str">
        <f t="shared" si="534"/>
        <v/>
      </c>
      <c r="O670" s="7"/>
      <c r="P670" s="31"/>
      <c r="Q670" s="30"/>
      <c r="T670" s="121" t="str">
        <f t="shared" si="535"/>
        <v/>
      </c>
      <c r="U670" s="118">
        <f t="shared" si="536"/>
        <v>0</v>
      </c>
      <c r="V670" s="117">
        <f t="shared" si="537"/>
        <v>0</v>
      </c>
      <c r="W670" s="117">
        <f t="shared" si="538"/>
        <v>0</v>
      </c>
      <c r="X670" s="117">
        <f t="shared" si="539"/>
        <v>0</v>
      </c>
      <c r="Y670" s="117">
        <f t="shared" si="540"/>
        <v>3</v>
      </c>
      <c r="Z670" s="117">
        <f t="shared" si="541"/>
        <v>1</v>
      </c>
      <c r="AA670" s="117">
        <f t="shared" si="542"/>
        <v>0</v>
      </c>
      <c r="AC670" s="121" t="str">
        <f t="shared" si="543"/>
        <v/>
      </c>
      <c r="AD670" s="118">
        <f t="shared" si="544"/>
        <v>0</v>
      </c>
      <c r="AE670" s="117">
        <f t="shared" si="545"/>
        <v>0</v>
      </c>
      <c r="AF670" s="117">
        <f t="shared" si="546"/>
        <v>1</v>
      </c>
      <c r="AG670" s="117">
        <f t="shared" si="547"/>
        <v>1</v>
      </c>
      <c r="AH670" s="117">
        <f t="shared" si="548"/>
        <v>0</v>
      </c>
      <c r="AI670" s="117">
        <f t="shared" si="549"/>
        <v>0</v>
      </c>
      <c r="AJ670" s="117">
        <f t="shared" si="550"/>
        <v>0</v>
      </c>
    </row>
    <row r="671" spans="2:36" ht="16.5" customHeight="1">
      <c r="B671" s="14"/>
      <c r="C671" s="14"/>
      <c r="D671" s="8"/>
      <c r="E671" s="9" t="s">
        <v>181</v>
      </c>
      <c r="F671" s="5">
        <v>1</v>
      </c>
      <c r="G671" s="6">
        <v>1</v>
      </c>
      <c r="H671" s="7" t="s">
        <v>224</v>
      </c>
      <c r="I671" s="10"/>
      <c r="J671" s="8"/>
      <c r="K671" s="9" t="s">
        <v>207</v>
      </c>
      <c r="L671" s="5">
        <v>1</v>
      </c>
      <c r="M671" s="6">
        <v>1</v>
      </c>
      <c r="N671" s="7" t="str">
        <f t="shared" si="534"/>
        <v/>
      </c>
      <c r="O671" s="10"/>
      <c r="P671" s="31"/>
      <c r="Q671" s="30"/>
      <c r="T671" s="121" t="str">
        <f t="shared" si="535"/>
        <v/>
      </c>
      <c r="U671" s="118">
        <f t="shared" si="536"/>
        <v>0</v>
      </c>
      <c r="V671" s="117">
        <f t="shared" si="537"/>
        <v>0</v>
      </c>
      <c r="W671" s="117">
        <f t="shared" si="538"/>
        <v>0</v>
      </c>
      <c r="X671" s="117">
        <f t="shared" si="539"/>
        <v>0</v>
      </c>
      <c r="Y671" s="117">
        <f t="shared" si="540"/>
        <v>3</v>
      </c>
      <c r="Z671" s="117">
        <f t="shared" si="541"/>
        <v>1</v>
      </c>
      <c r="AA671" s="117">
        <f t="shared" si="542"/>
        <v>0</v>
      </c>
      <c r="AC671" s="121" t="str">
        <f t="shared" si="543"/>
        <v/>
      </c>
      <c r="AD671" s="118">
        <f t="shared" si="544"/>
        <v>0</v>
      </c>
      <c r="AE671" s="117">
        <f t="shared" si="545"/>
        <v>0</v>
      </c>
      <c r="AF671" s="117">
        <f t="shared" si="546"/>
        <v>0</v>
      </c>
      <c r="AG671" s="117">
        <f t="shared" si="547"/>
        <v>0</v>
      </c>
      <c r="AH671" s="117">
        <f t="shared" si="548"/>
        <v>3</v>
      </c>
      <c r="AI671" s="117">
        <f t="shared" si="549"/>
        <v>1</v>
      </c>
      <c r="AJ671" s="117">
        <f t="shared" si="550"/>
        <v>0</v>
      </c>
    </row>
    <row r="672" spans="2:36" ht="16.5" customHeight="1">
      <c r="B672" s="11"/>
      <c r="C672" s="11" t="s">
        <v>9</v>
      </c>
      <c r="D672" s="4"/>
      <c r="E672" s="4" t="s">
        <v>182</v>
      </c>
      <c r="F672" s="5">
        <v>1</v>
      </c>
      <c r="G672" s="6">
        <v>1</v>
      </c>
      <c r="H672" s="7" t="s">
        <v>224</v>
      </c>
      <c r="I672" s="7"/>
      <c r="J672" s="4"/>
      <c r="K672" s="4" t="s">
        <v>208</v>
      </c>
      <c r="L672" s="5">
        <v>0</v>
      </c>
      <c r="M672" s="6">
        <v>0</v>
      </c>
      <c r="N672" s="7" t="str">
        <f t="shared" si="534"/>
        <v/>
      </c>
      <c r="O672" s="7"/>
      <c r="P672" s="36" t="s">
        <v>25</v>
      </c>
      <c r="Q672" s="35"/>
      <c r="T672" s="121" t="str">
        <f t="shared" si="535"/>
        <v/>
      </c>
      <c r="U672" s="118">
        <f t="shared" si="536"/>
        <v>0</v>
      </c>
      <c r="V672" s="117">
        <f t="shared" si="537"/>
        <v>0</v>
      </c>
      <c r="W672" s="117">
        <f t="shared" si="538"/>
        <v>0</v>
      </c>
      <c r="X672" s="117">
        <f t="shared" si="539"/>
        <v>0</v>
      </c>
      <c r="Y672" s="117">
        <f t="shared" si="540"/>
        <v>3</v>
      </c>
      <c r="Z672" s="117">
        <f t="shared" si="541"/>
        <v>1</v>
      </c>
      <c r="AA672" s="117">
        <f t="shared" si="542"/>
        <v>0</v>
      </c>
      <c r="AC672" s="121" t="str">
        <f t="shared" si="543"/>
        <v/>
      </c>
      <c r="AD672" s="118">
        <f t="shared" si="544"/>
        <v>0</v>
      </c>
      <c r="AE672" s="117">
        <f t="shared" si="545"/>
        <v>0</v>
      </c>
      <c r="AF672" s="117">
        <f t="shared" si="546"/>
        <v>0</v>
      </c>
      <c r="AG672" s="117">
        <f t="shared" si="547"/>
        <v>0</v>
      </c>
      <c r="AH672" s="117">
        <f t="shared" si="548"/>
        <v>3</v>
      </c>
      <c r="AI672" s="117">
        <f t="shared" si="549"/>
        <v>1</v>
      </c>
      <c r="AJ672" s="117">
        <f t="shared" si="550"/>
        <v>1</v>
      </c>
    </row>
    <row r="673" spans="2:36" ht="16.5" customHeight="1">
      <c r="B673" s="11"/>
      <c r="C673" s="11"/>
      <c r="D673" s="8"/>
      <c r="E673" s="9" t="s">
        <v>183</v>
      </c>
      <c r="F673" s="5">
        <v>1</v>
      </c>
      <c r="G673" s="6">
        <v>1</v>
      </c>
      <c r="H673" s="7" t="s">
        <v>224</v>
      </c>
      <c r="I673" s="10"/>
      <c r="J673" s="8"/>
      <c r="K673" s="9" t="s">
        <v>209</v>
      </c>
      <c r="L673" s="5">
        <v>1</v>
      </c>
      <c r="M673" s="6">
        <v>1</v>
      </c>
      <c r="N673" s="7" t="str">
        <f t="shared" si="534"/>
        <v/>
      </c>
      <c r="O673" s="10"/>
      <c r="P673" s="36"/>
      <c r="Q673" s="35"/>
      <c r="T673" s="121" t="str">
        <f t="shared" si="535"/>
        <v/>
      </c>
      <c r="U673" s="118">
        <f t="shared" si="536"/>
        <v>0</v>
      </c>
      <c r="V673" s="117">
        <f t="shared" si="537"/>
        <v>0</v>
      </c>
      <c r="W673" s="117">
        <f t="shared" si="538"/>
        <v>0</v>
      </c>
      <c r="X673" s="117">
        <f t="shared" si="539"/>
        <v>0</v>
      </c>
      <c r="Y673" s="117">
        <f t="shared" si="540"/>
        <v>3</v>
      </c>
      <c r="Z673" s="117">
        <f t="shared" si="541"/>
        <v>1</v>
      </c>
      <c r="AA673" s="117">
        <f t="shared" si="542"/>
        <v>0</v>
      </c>
      <c r="AC673" s="121" t="str">
        <f t="shared" si="543"/>
        <v/>
      </c>
      <c r="AD673" s="118">
        <f t="shared" si="544"/>
        <v>0</v>
      </c>
      <c r="AE673" s="117">
        <f t="shared" si="545"/>
        <v>0</v>
      </c>
      <c r="AF673" s="117">
        <f t="shared" si="546"/>
        <v>0</v>
      </c>
      <c r="AG673" s="117">
        <f t="shared" si="547"/>
        <v>0</v>
      </c>
      <c r="AH673" s="117">
        <f t="shared" si="548"/>
        <v>3</v>
      </c>
      <c r="AI673" s="117">
        <f t="shared" si="549"/>
        <v>1</v>
      </c>
      <c r="AJ673" s="117">
        <f t="shared" si="550"/>
        <v>0</v>
      </c>
    </row>
    <row r="674" spans="2:36" ht="16.5" customHeight="1">
      <c r="B674" s="11"/>
      <c r="C674" s="11"/>
      <c r="D674" s="4"/>
      <c r="E674" s="4" t="s">
        <v>184</v>
      </c>
      <c r="F674" s="5">
        <v>1</v>
      </c>
      <c r="G674" s="6">
        <v>1</v>
      </c>
      <c r="H674" s="7" t="s">
        <v>224</v>
      </c>
      <c r="I674" s="7"/>
      <c r="J674" s="4"/>
      <c r="K674" s="4" t="s">
        <v>210</v>
      </c>
      <c r="L674" s="5">
        <v>1</v>
      </c>
      <c r="M674" s="6">
        <v>1</v>
      </c>
      <c r="N674" s="7" t="str">
        <f t="shared" si="534"/>
        <v/>
      </c>
      <c r="O674" s="7"/>
      <c r="P674" s="36"/>
      <c r="Q674" s="35"/>
      <c r="T674" s="121" t="str">
        <f t="shared" si="535"/>
        <v/>
      </c>
      <c r="U674" s="118">
        <f t="shared" si="536"/>
        <v>0</v>
      </c>
      <c r="V674" s="117">
        <f t="shared" si="537"/>
        <v>0</v>
      </c>
      <c r="W674" s="117">
        <f t="shared" si="538"/>
        <v>0</v>
      </c>
      <c r="X674" s="117">
        <f t="shared" si="539"/>
        <v>0</v>
      </c>
      <c r="Y674" s="117">
        <f t="shared" si="540"/>
        <v>3</v>
      </c>
      <c r="Z674" s="117">
        <f t="shared" si="541"/>
        <v>1</v>
      </c>
      <c r="AA674" s="117">
        <f t="shared" si="542"/>
        <v>0</v>
      </c>
      <c r="AC674" s="121" t="str">
        <f t="shared" si="543"/>
        <v/>
      </c>
      <c r="AD674" s="118">
        <f t="shared" si="544"/>
        <v>0</v>
      </c>
      <c r="AE674" s="117">
        <f t="shared" si="545"/>
        <v>0</v>
      </c>
      <c r="AF674" s="117">
        <f t="shared" si="546"/>
        <v>0</v>
      </c>
      <c r="AG674" s="117">
        <f t="shared" si="547"/>
        <v>0</v>
      </c>
      <c r="AH674" s="117">
        <f t="shared" si="548"/>
        <v>3</v>
      </c>
      <c r="AI674" s="117">
        <f t="shared" si="549"/>
        <v>1</v>
      </c>
      <c r="AJ674" s="117">
        <f t="shared" si="550"/>
        <v>0</v>
      </c>
    </row>
    <row r="675" spans="2:36" ht="16.5" customHeight="1">
      <c r="B675" s="11"/>
      <c r="C675" s="11"/>
      <c r="D675" s="8"/>
      <c r="E675" s="9" t="s">
        <v>222</v>
      </c>
      <c r="F675" s="5">
        <v>3</v>
      </c>
      <c r="G675" s="6">
        <v>1</v>
      </c>
      <c r="H675" s="7" t="s">
        <v>224</v>
      </c>
      <c r="I675" s="10"/>
      <c r="J675" s="8"/>
      <c r="K675" s="9" t="s">
        <v>211</v>
      </c>
      <c r="L675" s="5">
        <v>2</v>
      </c>
      <c r="M675" s="6">
        <v>2</v>
      </c>
      <c r="N675" s="7" t="str">
        <f t="shared" si="534"/>
        <v/>
      </c>
      <c r="O675" s="10"/>
      <c r="P675" s="36"/>
      <c r="Q675" s="35"/>
      <c r="T675" s="121" t="str">
        <f t="shared" si="535"/>
        <v/>
      </c>
      <c r="U675" s="118">
        <f t="shared" si="536"/>
        <v>0</v>
      </c>
      <c r="V675" s="117">
        <f t="shared" si="537"/>
        <v>0</v>
      </c>
      <c r="W675" s="117">
        <f t="shared" si="538"/>
        <v>1</v>
      </c>
      <c r="X675" s="117">
        <f t="shared" si="539"/>
        <v>2</v>
      </c>
      <c r="Y675" s="117">
        <f t="shared" si="540"/>
        <v>0</v>
      </c>
      <c r="Z675" s="117">
        <f t="shared" si="541"/>
        <v>0</v>
      </c>
      <c r="AA675" s="117">
        <f t="shared" si="542"/>
        <v>0</v>
      </c>
      <c r="AC675" s="121" t="str">
        <f t="shared" si="543"/>
        <v/>
      </c>
      <c r="AD675" s="118">
        <f t="shared" si="544"/>
        <v>0</v>
      </c>
      <c r="AE675" s="117">
        <f t="shared" si="545"/>
        <v>0</v>
      </c>
      <c r="AF675" s="117">
        <f t="shared" si="546"/>
        <v>0</v>
      </c>
      <c r="AG675" s="117">
        <f t="shared" si="547"/>
        <v>0</v>
      </c>
      <c r="AH675" s="117">
        <f t="shared" si="548"/>
        <v>3</v>
      </c>
      <c r="AI675" s="117">
        <f t="shared" si="549"/>
        <v>1</v>
      </c>
      <c r="AJ675" s="117">
        <f t="shared" si="550"/>
        <v>0</v>
      </c>
    </row>
    <row r="676" spans="2:36" ht="16.5" customHeight="1">
      <c r="B676" s="11"/>
      <c r="C676" s="11"/>
      <c r="D676" s="4"/>
      <c r="E676" s="4" t="s">
        <v>185</v>
      </c>
      <c r="F676" s="5">
        <v>2</v>
      </c>
      <c r="G676" s="6">
        <v>1</v>
      </c>
      <c r="H676" s="7" t="s">
        <v>224</v>
      </c>
      <c r="I676" s="7"/>
      <c r="J676" s="4"/>
      <c r="K676" s="4" t="s">
        <v>212</v>
      </c>
      <c r="L676" s="5">
        <v>2</v>
      </c>
      <c r="M676" s="6">
        <v>0</v>
      </c>
      <c r="N676" s="7" t="str">
        <f t="shared" si="534"/>
        <v/>
      </c>
      <c r="O676" s="7"/>
      <c r="P676" s="36"/>
      <c r="Q676" s="35"/>
      <c r="T676" s="121" t="str">
        <f t="shared" si="535"/>
        <v/>
      </c>
      <c r="U676" s="118">
        <f t="shared" si="536"/>
        <v>0</v>
      </c>
      <c r="V676" s="117">
        <f t="shared" si="537"/>
        <v>0</v>
      </c>
      <c r="W676" s="117">
        <f t="shared" si="538"/>
        <v>1</v>
      </c>
      <c r="X676" s="117">
        <f t="shared" si="539"/>
        <v>1</v>
      </c>
      <c r="Y676" s="117">
        <f t="shared" si="540"/>
        <v>0</v>
      </c>
      <c r="Z676" s="117">
        <f t="shared" si="541"/>
        <v>0</v>
      </c>
      <c r="AA676" s="117">
        <f t="shared" si="542"/>
        <v>0</v>
      </c>
      <c r="AC676" s="121" t="str">
        <f t="shared" si="543"/>
        <v/>
      </c>
      <c r="AD676" s="118">
        <f t="shared" si="544"/>
        <v>0</v>
      </c>
      <c r="AE676" s="117">
        <f t="shared" si="545"/>
        <v>0</v>
      </c>
      <c r="AF676" s="117">
        <f t="shared" si="546"/>
        <v>1</v>
      </c>
      <c r="AG676" s="117">
        <f t="shared" si="547"/>
        <v>2</v>
      </c>
      <c r="AH676" s="117">
        <f t="shared" si="548"/>
        <v>0</v>
      </c>
      <c r="AI676" s="117">
        <f t="shared" si="549"/>
        <v>0</v>
      </c>
      <c r="AJ676" s="117">
        <f t="shared" si="550"/>
        <v>0</v>
      </c>
    </row>
    <row r="677" spans="2:36" ht="16.5" customHeight="1">
      <c r="B677" s="11"/>
      <c r="C677" s="11"/>
      <c r="D677" s="8"/>
      <c r="E677" s="9" t="s">
        <v>186</v>
      </c>
      <c r="F677" s="5">
        <v>3</v>
      </c>
      <c r="G677" s="6">
        <v>3</v>
      </c>
      <c r="H677" s="7" t="s">
        <v>224</v>
      </c>
      <c r="I677" s="10"/>
      <c r="J677" s="8"/>
      <c r="K677" s="9" t="s">
        <v>213</v>
      </c>
      <c r="L677" s="5">
        <v>1</v>
      </c>
      <c r="M677" s="6">
        <v>1</v>
      </c>
      <c r="N677" s="7" t="str">
        <f t="shared" si="534"/>
        <v/>
      </c>
      <c r="O677" s="10"/>
      <c r="P677" s="36"/>
      <c r="Q677" s="35"/>
      <c r="T677" s="121" t="str">
        <f t="shared" si="535"/>
        <v/>
      </c>
      <c r="U677" s="118">
        <f t="shared" si="536"/>
        <v>0</v>
      </c>
      <c r="V677" s="117">
        <f t="shared" si="537"/>
        <v>0</v>
      </c>
      <c r="W677" s="117">
        <f t="shared" si="538"/>
        <v>0</v>
      </c>
      <c r="X677" s="117">
        <f t="shared" si="539"/>
        <v>0</v>
      </c>
      <c r="Y677" s="117">
        <f t="shared" si="540"/>
        <v>3</v>
      </c>
      <c r="Z677" s="117">
        <f t="shared" si="541"/>
        <v>1</v>
      </c>
      <c r="AA677" s="117">
        <f t="shared" si="542"/>
        <v>0</v>
      </c>
      <c r="AC677" s="121" t="str">
        <f t="shared" si="543"/>
        <v/>
      </c>
      <c r="AD677" s="118">
        <f t="shared" si="544"/>
        <v>0</v>
      </c>
      <c r="AE677" s="117">
        <f t="shared" si="545"/>
        <v>0</v>
      </c>
      <c r="AF677" s="117">
        <f t="shared" si="546"/>
        <v>0</v>
      </c>
      <c r="AG677" s="117">
        <f t="shared" si="547"/>
        <v>0</v>
      </c>
      <c r="AH677" s="117">
        <f t="shared" si="548"/>
        <v>3</v>
      </c>
      <c r="AI677" s="117">
        <f t="shared" si="549"/>
        <v>1</v>
      </c>
      <c r="AJ677" s="117">
        <f t="shared" si="550"/>
        <v>0</v>
      </c>
    </row>
    <row r="678" spans="2:36" ht="16.5" customHeight="1">
      <c r="B678" s="11"/>
      <c r="C678" s="11"/>
      <c r="D678" s="4"/>
      <c r="E678" s="4" t="s">
        <v>187</v>
      </c>
      <c r="F678" s="5">
        <v>2</v>
      </c>
      <c r="G678" s="6">
        <v>1</v>
      </c>
      <c r="H678" s="7" t="s">
        <v>224</v>
      </c>
      <c r="I678" s="7"/>
      <c r="J678" s="4"/>
      <c r="K678" s="4" t="s">
        <v>214</v>
      </c>
      <c r="L678" s="5">
        <v>1</v>
      </c>
      <c r="M678" s="6">
        <v>1</v>
      </c>
      <c r="N678" s="7" t="str">
        <f t="shared" si="534"/>
        <v/>
      </c>
      <c r="O678" s="7"/>
      <c r="P678" s="36"/>
      <c r="Q678" s="35"/>
      <c r="T678" s="121" t="str">
        <f t="shared" si="535"/>
        <v/>
      </c>
      <c r="U678" s="118">
        <f t="shared" si="536"/>
        <v>0</v>
      </c>
      <c r="V678" s="117">
        <f t="shared" si="537"/>
        <v>0</v>
      </c>
      <c r="W678" s="117">
        <f t="shared" si="538"/>
        <v>1</v>
      </c>
      <c r="X678" s="117">
        <f t="shared" si="539"/>
        <v>1</v>
      </c>
      <c r="Y678" s="117">
        <f t="shared" si="540"/>
        <v>0</v>
      </c>
      <c r="Z678" s="117">
        <f t="shared" si="541"/>
        <v>0</v>
      </c>
      <c r="AA678" s="117">
        <f t="shared" si="542"/>
        <v>0</v>
      </c>
      <c r="AC678" s="121" t="str">
        <f t="shared" si="543"/>
        <v/>
      </c>
      <c r="AD678" s="118">
        <f t="shared" si="544"/>
        <v>0</v>
      </c>
      <c r="AE678" s="117">
        <f t="shared" si="545"/>
        <v>0</v>
      </c>
      <c r="AF678" s="117">
        <f t="shared" si="546"/>
        <v>0</v>
      </c>
      <c r="AG678" s="117">
        <f t="shared" si="547"/>
        <v>0</v>
      </c>
      <c r="AH678" s="117">
        <f t="shared" si="548"/>
        <v>3</v>
      </c>
      <c r="AI678" s="117">
        <f t="shared" si="549"/>
        <v>1</v>
      </c>
      <c r="AJ678" s="117">
        <f t="shared" si="550"/>
        <v>0</v>
      </c>
    </row>
    <row r="679" spans="2:36" ht="16.5" customHeight="1">
      <c r="B679" s="15"/>
      <c r="C679" s="15" t="s">
        <v>10</v>
      </c>
      <c r="D679" s="8"/>
      <c r="E679" s="9" t="s">
        <v>188</v>
      </c>
      <c r="F679" s="5">
        <v>2</v>
      </c>
      <c r="G679" s="6">
        <v>1</v>
      </c>
      <c r="H679" s="7" t="s">
        <v>224</v>
      </c>
      <c r="I679" s="10"/>
      <c r="J679" s="8"/>
      <c r="K679" s="9" t="s">
        <v>215</v>
      </c>
      <c r="L679" s="5">
        <v>2</v>
      </c>
      <c r="M679" s="6">
        <v>1</v>
      </c>
      <c r="N679" s="7" t="str">
        <f t="shared" si="534"/>
        <v/>
      </c>
      <c r="O679" s="10"/>
      <c r="P679" s="39" t="s">
        <v>26</v>
      </c>
      <c r="Q679" s="38"/>
      <c r="T679" s="121" t="str">
        <f t="shared" si="535"/>
        <v/>
      </c>
      <c r="U679" s="118">
        <f t="shared" si="536"/>
        <v>0</v>
      </c>
      <c r="V679" s="117">
        <f t="shared" si="537"/>
        <v>0</v>
      </c>
      <c r="W679" s="117">
        <f t="shared" si="538"/>
        <v>1</v>
      </c>
      <c r="X679" s="117">
        <f t="shared" si="539"/>
        <v>1</v>
      </c>
      <c r="Y679" s="117">
        <f t="shared" si="540"/>
        <v>0</v>
      </c>
      <c r="Z679" s="117">
        <f t="shared" si="541"/>
        <v>0</v>
      </c>
      <c r="AA679" s="117">
        <f t="shared" si="542"/>
        <v>0</v>
      </c>
      <c r="AC679" s="121" t="str">
        <f t="shared" si="543"/>
        <v/>
      </c>
      <c r="AD679" s="118">
        <f t="shared" si="544"/>
        <v>0</v>
      </c>
      <c r="AE679" s="117">
        <f t="shared" si="545"/>
        <v>0</v>
      </c>
      <c r="AF679" s="117">
        <f t="shared" si="546"/>
        <v>1</v>
      </c>
      <c r="AG679" s="117">
        <f t="shared" si="547"/>
        <v>1</v>
      </c>
      <c r="AH679" s="117">
        <f t="shared" si="548"/>
        <v>0</v>
      </c>
      <c r="AI679" s="117">
        <f t="shared" si="549"/>
        <v>0</v>
      </c>
      <c r="AJ679" s="117">
        <f t="shared" si="550"/>
        <v>0</v>
      </c>
    </row>
    <row r="680" spans="2:36" ht="16.5" customHeight="1">
      <c r="B680" s="15"/>
      <c r="C680" s="15"/>
      <c r="D680" s="4"/>
      <c r="E680" s="4" t="s">
        <v>189</v>
      </c>
      <c r="F680" s="5">
        <v>1</v>
      </c>
      <c r="G680" s="6">
        <v>3</v>
      </c>
      <c r="H680" s="7" t="s">
        <v>224</v>
      </c>
      <c r="I680" s="7"/>
      <c r="J680" s="4"/>
      <c r="K680" s="4" t="s">
        <v>216</v>
      </c>
      <c r="L680" s="5">
        <v>2</v>
      </c>
      <c r="M680" s="6">
        <v>1</v>
      </c>
      <c r="N680" s="7" t="str">
        <f t="shared" si="534"/>
        <v/>
      </c>
      <c r="O680" s="7"/>
      <c r="P680" s="39"/>
      <c r="Q680" s="38"/>
      <c r="T680" s="121" t="str">
        <f t="shared" si="535"/>
        <v/>
      </c>
      <c r="U680" s="118">
        <f t="shared" si="536"/>
        <v>0</v>
      </c>
      <c r="V680" s="117">
        <f t="shared" si="537"/>
        <v>0</v>
      </c>
      <c r="W680" s="117">
        <f t="shared" si="538"/>
        <v>2</v>
      </c>
      <c r="X680" s="117">
        <f t="shared" si="539"/>
        <v>-2</v>
      </c>
      <c r="Y680" s="117">
        <f t="shared" si="540"/>
        <v>0</v>
      </c>
      <c r="Z680" s="117">
        <f t="shared" si="541"/>
        <v>0</v>
      </c>
      <c r="AA680" s="117">
        <f t="shared" si="542"/>
        <v>0</v>
      </c>
      <c r="AC680" s="121" t="str">
        <f t="shared" si="543"/>
        <v/>
      </c>
      <c r="AD680" s="118">
        <f t="shared" si="544"/>
        <v>0</v>
      </c>
      <c r="AE680" s="117">
        <f t="shared" si="545"/>
        <v>0</v>
      </c>
      <c r="AF680" s="117">
        <f t="shared" si="546"/>
        <v>1</v>
      </c>
      <c r="AG680" s="117">
        <f t="shared" si="547"/>
        <v>1</v>
      </c>
      <c r="AH680" s="117">
        <f t="shared" si="548"/>
        <v>0</v>
      </c>
      <c r="AI680" s="117">
        <f t="shared" si="549"/>
        <v>0</v>
      </c>
      <c r="AJ680" s="117">
        <f t="shared" si="550"/>
        <v>0</v>
      </c>
    </row>
    <row r="681" spans="2:36" ht="16.5" customHeight="1">
      <c r="B681" s="15"/>
      <c r="C681" s="15"/>
      <c r="D681" s="8"/>
      <c r="E681" s="9" t="s">
        <v>190</v>
      </c>
      <c r="F681" s="5">
        <v>2</v>
      </c>
      <c r="G681" s="6">
        <v>2</v>
      </c>
      <c r="H681" s="7" t="s">
        <v>224</v>
      </c>
      <c r="I681" s="10"/>
      <c r="J681" s="8"/>
      <c r="K681" s="9" t="s">
        <v>217</v>
      </c>
      <c r="L681" s="5">
        <v>2</v>
      </c>
      <c r="M681" s="6">
        <v>0</v>
      </c>
      <c r="N681" s="7" t="str">
        <f t="shared" si="534"/>
        <v/>
      </c>
      <c r="O681" s="10"/>
      <c r="P681" s="39"/>
      <c r="Q681" s="38"/>
      <c r="T681" s="121" t="str">
        <f t="shared" si="535"/>
        <v/>
      </c>
      <c r="U681" s="118">
        <f t="shared" si="536"/>
        <v>0</v>
      </c>
      <c r="V681" s="117">
        <f t="shared" si="537"/>
        <v>0</v>
      </c>
      <c r="W681" s="117">
        <f t="shared" si="538"/>
        <v>0</v>
      </c>
      <c r="X681" s="117">
        <f t="shared" si="539"/>
        <v>0</v>
      </c>
      <c r="Y681" s="117">
        <f t="shared" si="540"/>
        <v>3</v>
      </c>
      <c r="Z681" s="117">
        <f t="shared" si="541"/>
        <v>1</v>
      </c>
      <c r="AA681" s="117">
        <f t="shared" si="542"/>
        <v>0</v>
      </c>
      <c r="AC681" s="121" t="str">
        <f t="shared" si="543"/>
        <v/>
      </c>
      <c r="AD681" s="118">
        <f t="shared" si="544"/>
        <v>0</v>
      </c>
      <c r="AE681" s="117">
        <f t="shared" si="545"/>
        <v>0</v>
      </c>
      <c r="AF681" s="117">
        <f t="shared" si="546"/>
        <v>1</v>
      </c>
      <c r="AG681" s="117">
        <f t="shared" si="547"/>
        <v>2</v>
      </c>
      <c r="AH681" s="117">
        <f t="shared" si="548"/>
        <v>0</v>
      </c>
      <c r="AI681" s="117">
        <f t="shared" si="549"/>
        <v>0</v>
      </c>
      <c r="AJ681" s="117">
        <f t="shared" si="550"/>
        <v>0</v>
      </c>
    </row>
    <row r="682" spans="2:36" ht="16.5" customHeight="1">
      <c r="B682" s="15"/>
      <c r="C682" s="15"/>
      <c r="D682" s="4"/>
      <c r="E682" s="4" t="s">
        <v>191</v>
      </c>
      <c r="F682" s="5">
        <v>1</v>
      </c>
      <c r="G682" s="6">
        <v>0</v>
      </c>
      <c r="H682" s="7" t="s">
        <v>224</v>
      </c>
      <c r="I682" s="7"/>
      <c r="J682" s="4"/>
      <c r="K682" s="4" t="s">
        <v>218</v>
      </c>
      <c r="L682" s="5">
        <v>1</v>
      </c>
      <c r="M682" s="6">
        <v>2</v>
      </c>
      <c r="N682" s="7" t="str">
        <f t="shared" si="534"/>
        <v/>
      </c>
      <c r="O682" s="7"/>
      <c r="P682" s="39"/>
      <c r="Q682" s="38"/>
      <c r="T682" s="121" t="str">
        <f t="shared" si="535"/>
        <v/>
      </c>
      <c r="U682" s="118">
        <f t="shared" si="536"/>
        <v>0</v>
      </c>
      <c r="V682" s="117">
        <f t="shared" si="537"/>
        <v>0</v>
      </c>
      <c r="W682" s="117">
        <f t="shared" si="538"/>
        <v>1</v>
      </c>
      <c r="X682" s="117">
        <f t="shared" si="539"/>
        <v>1</v>
      </c>
      <c r="Y682" s="117">
        <f t="shared" si="540"/>
        <v>0</v>
      </c>
      <c r="Z682" s="117">
        <f t="shared" si="541"/>
        <v>0</v>
      </c>
      <c r="AA682" s="117">
        <f t="shared" si="542"/>
        <v>0</v>
      </c>
      <c r="AC682" s="121" t="str">
        <f t="shared" si="543"/>
        <v/>
      </c>
      <c r="AD682" s="118">
        <f t="shared" si="544"/>
        <v>0</v>
      </c>
      <c r="AE682" s="117">
        <f t="shared" si="545"/>
        <v>0</v>
      </c>
      <c r="AF682" s="117">
        <f t="shared" si="546"/>
        <v>2</v>
      </c>
      <c r="AG682" s="117">
        <f t="shared" si="547"/>
        <v>-1</v>
      </c>
      <c r="AH682" s="117">
        <f t="shared" si="548"/>
        <v>0</v>
      </c>
      <c r="AI682" s="117">
        <f t="shared" si="549"/>
        <v>0</v>
      </c>
      <c r="AJ682" s="117">
        <f t="shared" si="550"/>
        <v>0</v>
      </c>
    </row>
    <row r="683" spans="2:36" ht="16.5" customHeight="1">
      <c r="B683" s="15"/>
      <c r="C683" s="15"/>
      <c r="D683" s="8"/>
      <c r="E683" s="9" t="s">
        <v>192</v>
      </c>
      <c r="F683" s="5">
        <v>2</v>
      </c>
      <c r="G683" s="6">
        <v>1</v>
      </c>
      <c r="H683" s="7" t="s">
        <v>224</v>
      </c>
      <c r="I683" s="10"/>
      <c r="J683" s="8"/>
      <c r="K683" s="9" t="s">
        <v>219</v>
      </c>
      <c r="L683" s="5">
        <v>2</v>
      </c>
      <c r="M683" s="6">
        <v>1</v>
      </c>
      <c r="N683" s="7" t="str">
        <f t="shared" si="534"/>
        <v/>
      </c>
      <c r="O683" s="10"/>
      <c r="P683" s="39"/>
      <c r="Q683" s="38"/>
      <c r="T683" s="121" t="str">
        <f t="shared" si="535"/>
        <v/>
      </c>
      <c r="U683" s="118">
        <f t="shared" si="536"/>
        <v>0</v>
      </c>
      <c r="V683" s="117">
        <f t="shared" si="537"/>
        <v>0</v>
      </c>
      <c r="W683" s="117">
        <f t="shared" si="538"/>
        <v>1</v>
      </c>
      <c r="X683" s="117">
        <f t="shared" si="539"/>
        <v>1</v>
      </c>
      <c r="Y683" s="117">
        <f t="shared" si="540"/>
        <v>0</v>
      </c>
      <c r="Z683" s="117">
        <f t="shared" si="541"/>
        <v>0</v>
      </c>
      <c r="AA683" s="117">
        <f t="shared" si="542"/>
        <v>0</v>
      </c>
      <c r="AC683" s="121" t="str">
        <f t="shared" si="543"/>
        <v/>
      </c>
      <c r="AD683" s="118">
        <f t="shared" si="544"/>
        <v>0</v>
      </c>
      <c r="AE683" s="117">
        <f t="shared" si="545"/>
        <v>0</v>
      </c>
      <c r="AF683" s="117">
        <f t="shared" si="546"/>
        <v>1</v>
      </c>
      <c r="AG683" s="117">
        <f t="shared" si="547"/>
        <v>1</v>
      </c>
      <c r="AH683" s="117">
        <f t="shared" si="548"/>
        <v>0</v>
      </c>
      <c r="AI683" s="117">
        <f t="shared" si="549"/>
        <v>0</v>
      </c>
      <c r="AJ683" s="117">
        <f t="shared" si="550"/>
        <v>0</v>
      </c>
    </row>
    <row r="684" spans="2:36" ht="16.5" customHeight="1">
      <c r="B684" s="15"/>
      <c r="C684" s="15"/>
      <c r="D684" s="4"/>
      <c r="E684" s="4" t="s">
        <v>193</v>
      </c>
      <c r="F684" s="5">
        <v>1</v>
      </c>
      <c r="G684" s="6">
        <v>1</v>
      </c>
      <c r="H684" s="7" t="s">
        <v>224</v>
      </c>
      <c r="I684" s="7"/>
      <c r="J684" s="4"/>
      <c r="K684" s="4" t="s">
        <v>220</v>
      </c>
      <c r="L684" s="5">
        <v>1</v>
      </c>
      <c r="M684" s="6">
        <v>1</v>
      </c>
      <c r="N684" s="7" t="str">
        <f t="shared" si="534"/>
        <v/>
      </c>
      <c r="O684" s="7"/>
      <c r="P684" s="39"/>
      <c r="Q684" s="38"/>
      <c r="T684" s="121" t="str">
        <f t="shared" si="535"/>
        <v/>
      </c>
      <c r="U684" s="118">
        <f t="shared" si="536"/>
        <v>0</v>
      </c>
      <c r="V684" s="117">
        <f t="shared" si="537"/>
        <v>0</v>
      </c>
      <c r="W684" s="117">
        <f t="shared" si="538"/>
        <v>0</v>
      </c>
      <c r="X684" s="117">
        <f t="shared" si="539"/>
        <v>0</v>
      </c>
      <c r="Y684" s="117">
        <f t="shared" si="540"/>
        <v>3</v>
      </c>
      <c r="Z684" s="117">
        <f t="shared" si="541"/>
        <v>1</v>
      </c>
      <c r="AA684" s="117">
        <f t="shared" si="542"/>
        <v>0</v>
      </c>
      <c r="AC684" s="121" t="str">
        <f t="shared" si="543"/>
        <v/>
      </c>
      <c r="AD684" s="118">
        <f t="shared" si="544"/>
        <v>0</v>
      </c>
      <c r="AE684" s="117">
        <f t="shared" si="545"/>
        <v>0</v>
      </c>
      <c r="AF684" s="117">
        <f t="shared" si="546"/>
        <v>0</v>
      </c>
      <c r="AG684" s="117">
        <f t="shared" si="547"/>
        <v>0</v>
      </c>
      <c r="AH684" s="117">
        <f t="shared" si="548"/>
        <v>3</v>
      </c>
      <c r="AI684" s="117">
        <f t="shared" si="549"/>
        <v>1</v>
      </c>
      <c r="AJ684" s="117">
        <f t="shared" si="550"/>
        <v>0</v>
      </c>
    </row>
    <row r="685" spans="2:36" ht="16.5" customHeight="1">
      <c r="B685" s="15"/>
      <c r="C685" s="15"/>
      <c r="D685" s="8"/>
      <c r="E685" s="9" t="s">
        <v>194</v>
      </c>
      <c r="F685" s="5">
        <v>2</v>
      </c>
      <c r="G685" s="6">
        <v>1</v>
      </c>
      <c r="H685" s="7" t="s">
        <v>224</v>
      </c>
      <c r="I685" s="10"/>
      <c r="J685" s="8"/>
      <c r="K685" s="9" t="s">
        <v>221</v>
      </c>
      <c r="L685" s="5">
        <v>2</v>
      </c>
      <c r="M685" s="6">
        <v>2</v>
      </c>
      <c r="N685" s="7" t="str">
        <f t="shared" si="534"/>
        <v/>
      </c>
      <c r="O685" s="10"/>
      <c r="P685" s="39"/>
      <c r="Q685" s="38"/>
      <c r="T685" s="121" t="str">
        <f t="shared" si="535"/>
        <v/>
      </c>
      <c r="U685" s="118">
        <f t="shared" si="536"/>
        <v>0</v>
      </c>
      <c r="V685" s="117">
        <f t="shared" si="537"/>
        <v>0</v>
      </c>
      <c r="W685" s="117">
        <f t="shared" si="538"/>
        <v>1</v>
      </c>
      <c r="X685" s="117">
        <f t="shared" si="539"/>
        <v>1</v>
      </c>
      <c r="Y685" s="117">
        <f t="shared" si="540"/>
        <v>0</v>
      </c>
      <c r="Z685" s="117">
        <f t="shared" si="541"/>
        <v>0</v>
      </c>
      <c r="AA685" s="117">
        <f t="shared" si="542"/>
        <v>0</v>
      </c>
      <c r="AC685" s="121" t="str">
        <f t="shared" si="543"/>
        <v/>
      </c>
      <c r="AD685" s="118">
        <f t="shared" si="544"/>
        <v>0</v>
      </c>
      <c r="AE685" s="117">
        <f t="shared" si="545"/>
        <v>0</v>
      </c>
      <c r="AF685" s="117">
        <f t="shared" si="546"/>
        <v>0</v>
      </c>
      <c r="AG685" s="117">
        <f t="shared" si="547"/>
        <v>0</v>
      </c>
      <c r="AH685" s="117">
        <f t="shared" si="548"/>
        <v>3</v>
      </c>
      <c r="AI685" s="117">
        <f t="shared" si="549"/>
        <v>1</v>
      </c>
      <c r="AJ685" s="117">
        <f t="shared" si="550"/>
        <v>0</v>
      </c>
    </row>
    <row r="686" spans="2:36" ht="16.5" customHeight="1">
      <c r="K686" s="3"/>
    </row>
    <row r="687" spans="2:36" ht="23.25">
      <c r="B687" s="33" t="s">
        <v>138</v>
      </c>
      <c r="D687" s="52"/>
      <c r="E687" s="55" t="s">
        <v>88</v>
      </c>
      <c r="F687" s="56"/>
      <c r="G687" s="57"/>
      <c r="H687" s="57"/>
      <c r="I687" s="56"/>
      <c r="J687" s="82"/>
      <c r="K687" s="82" t="s">
        <v>89</v>
      </c>
      <c r="M687" s="12"/>
      <c r="N687" s="17"/>
      <c r="O687" s="17"/>
      <c r="P687" s="90"/>
      <c r="Q687" s="17"/>
      <c r="R687" s="17"/>
    </row>
    <row r="688" spans="2:36" ht="16.5" customHeight="1">
      <c r="C688" s="1"/>
      <c r="D688" s="1"/>
      <c r="E688" s="1"/>
      <c r="H688" s="1"/>
      <c r="I688" s="1"/>
      <c r="J688" s="1"/>
      <c r="P688" s="1"/>
    </row>
    <row r="689" spans="2:36" ht="16.5" customHeight="1">
      <c r="B689" s="12"/>
      <c r="C689" s="12" t="s">
        <v>7</v>
      </c>
      <c r="D689" s="4"/>
      <c r="E689" s="4" t="s">
        <v>32</v>
      </c>
      <c r="F689" s="5">
        <v>1</v>
      </c>
      <c r="G689" s="6">
        <v>0</v>
      </c>
      <c r="H689" s="7" t="s">
        <v>224</v>
      </c>
      <c r="I689" s="7"/>
      <c r="J689" s="4"/>
      <c r="K689" s="4" t="s">
        <v>195</v>
      </c>
      <c r="L689" s="5">
        <v>2</v>
      </c>
      <c r="M689" s="6">
        <v>1</v>
      </c>
      <c r="N689" s="7" t="str">
        <f>AC689</f>
        <v/>
      </c>
      <c r="O689" s="7"/>
      <c r="P689" s="24" t="s">
        <v>13</v>
      </c>
      <c r="Q689" s="13"/>
      <c r="T689" s="121" t="str">
        <f>IF($G$687="","",SUM(Y689:AA689))</f>
        <v/>
      </c>
      <c r="U689" s="118">
        <f t="shared" ref="U689" si="551">IF(V689&gt;0,1,IF(V689=0,0,2))</f>
        <v>0</v>
      </c>
      <c r="V689" s="117">
        <f>$G$687-$H$687</f>
        <v>0</v>
      </c>
      <c r="W689" s="117">
        <f t="shared" ref="W689" si="552">IF(X689&gt;0,1,IF(X689=0,0,2))</f>
        <v>1</v>
      </c>
      <c r="X689" s="117">
        <f>F689-G689</f>
        <v>1</v>
      </c>
      <c r="Y689" s="117">
        <f t="shared" ref="Y689" si="553">IF(U689=W689,3,0)</f>
        <v>0</v>
      </c>
      <c r="Z689" s="117">
        <f t="shared" ref="Z689" si="554">IF(V689=X689,1,0)</f>
        <v>0</v>
      </c>
      <c r="AA689" s="117">
        <f>IF(Z689=1,IF($G$687=F689,1,0),0)</f>
        <v>0</v>
      </c>
      <c r="AC689" s="121" t="str">
        <f>IF($G$687="","",SUM(AH689:AJ689))</f>
        <v/>
      </c>
      <c r="AD689" s="118">
        <f t="shared" ref="AD689" si="555">IF(AE689&gt;0,1,IF(AE689=0,0,2))</f>
        <v>0</v>
      </c>
      <c r="AE689" s="117">
        <f>$G$687-$H$687</f>
        <v>0</v>
      </c>
      <c r="AF689" s="117">
        <f t="shared" ref="AF689" si="556">IF(AG689&gt;0,1,IF(AG689=0,0,2))</f>
        <v>1</v>
      </c>
      <c r="AG689" s="117">
        <f>L689-M689</f>
        <v>1</v>
      </c>
      <c r="AH689" s="117">
        <f t="shared" ref="AH689" si="557">IF(AD689=AF689,3,0)</f>
        <v>0</v>
      </c>
      <c r="AI689" s="117">
        <f t="shared" ref="AI689" si="558">IF(AE689=AG689,1,0)</f>
        <v>0</v>
      </c>
      <c r="AJ689" s="117">
        <f>IF(AI689=1,IF($G$687=L689,1,0),0)</f>
        <v>0</v>
      </c>
    </row>
    <row r="690" spans="2:36" ht="16.5" customHeight="1">
      <c r="B690" s="12"/>
      <c r="C690" s="12"/>
      <c r="D690" s="8"/>
      <c r="E690" s="9" t="s">
        <v>170</v>
      </c>
      <c r="F690" s="5">
        <v>2</v>
      </c>
      <c r="G690" s="6">
        <v>0</v>
      </c>
      <c r="H690" s="7" t="s">
        <v>224</v>
      </c>
      <c r="I690" s="10"/>
      <c r="J690" s="8"/>
      <c r="K690" s="9" t="s">
        <v>196</v>
      </c>
      <c r="L690" s="5">
        <v>2</v>
      </c>
      <c r="M690" s="6">
        <v>0</v>
      </c>
      <c r="N690" s="7" t="str">
        <f t="shared" ref="N690:N716" si="559">AC690</f>
        <v/>
      </c>
      <c r="O690" s="10"/>
      <c r="P690" s="24"/>
      <c r="Q690" s="13"/>
      <c r="T690" s="121" t="str">
        <f t="shared" ref="T690:T716" si="560">IF($G$687="","",SUM(Y690:AA690))</f>
        <v/>
      </c>
      <c r="U690" s="118">
        <f t="shared" ref="U690:U716" si="561">IF(V690&gt;0,1,IF(V690=0,0,2))</f>
        <v>0</v>
      </c>
      <c r="V690" s="117">
        <f t="shared" ref="V690:V716" si="562">$G$687-$H$687</f>
        <v>0</v>
      </c>
      <c r="W690" s="117">
        <f t="shared" ref="W690:W716" si="563">IF(X690&gt;0,1,IF(X690=0,0,2))</f>
        <v>1</v>
      </c>
      <c r="X690" s="117">
        <f t="shared" ref="X690:X716" si="564">F690-G690</f>
        <v>2</v>
      </c>
      <c r="Y690" s="117">
        <f t="shared" ref="Y690:Y716" si="565">IF(U690=W690,3,0)</f>
        <v>0</v>
      </c>
      <c r="Z690" s="117">
        <f t="shared" ref="Z690:Z716" si="566">IF(V690=X690,1,0)</f>
        <v>0</v>
      </c>
      <c r="AA690" s="117">
        <f t="shared" ref="AA690:AA716" si="567">IF(Z690=1,IF($G$687=F690,1,0),0)</f>
        <v>0</v>
      </c>
      <c r="AC690" s="121" t="str">
        <f t="shared" ref="AC690:AC716" si="568">IF($G$687="","",SUM(AH690:AJ690))</f>
        <v/>
      </c>
      <c r="AD690" s="118">
        <f t="shared" ref="AD690:AD716" si="569">IF(AE690&gt;0,1,IF(AE690=0,0,2))</f>
        <v>0</v>
      </c>
      <c r="AE690" s="117">
        <f t="shared" ref="AE690:AE716" si="570">$G$687-$H$687</f>
        <v>0</v>
      </c>
      <c r="AF690" s="117">
        <f t="shared" ref="AF690:AF716" si="571">IF(AG690&gt;0,1,IF(AG690=0,0,2))</f>
        <v>1</v>
      </c>
      <c r="AG690" s="117">
        <f t="shared" ref="AG690:AG716" si="572">L690-M690</f>
        <v>2</v>
      </c>
      <c r="AH690" s="117">
        <f t="shared" ref="AH690:AH716" si="573">IF(AD690=AF690,3,0)</f>
        <v>0</v>
      </c>
      <c r="AI690" s="117">
        <f t="shared" ref="AI690:AI716" si="574">IF(AE690=AG690,1,0)</f>
        <v>0</v>
      </c>
      <c r="AJ690" s="117">
        <f t="shared" ref="AJ690:AJ716" si="575">IF(AI690=1,IF($G$687=L690,1,0),0)</f>
        <v>0</v>
      </c>
    </row>
    <row r="691" spans="2:36" ht="16.5" customHeight="1">
      <c r="B691" s="12"/>
      <c r="C691" s="12"/>
      <c r="D691" s="4"/>
      <c r="E691" s="4" t="s">
        <v>171</v>
      </c>
      <c r="F691" s="5">
        <v>2</v>
      </c>
      <c r="G691" s="6">
        <v>2</v>
      </c>
      <c r="H691" s="7" t="s">
        <v>224</v>
      </c>
      <c r="I691" s="7"/>
      <c r="J691" s="4"/>
      <c r="K691" s="4" t="s">
        <v>197</v>
      </c>
      <c r="L691" s="5">
        <v>2</v>
      </c>
      <c r="M691" s="6">
        <v>1</v>
      </c>
      <c r="N691" s="7" t="str">
        <f t="shared" si="559"/>
        <v/>
      </c>
      <c r="O691" s="7"/>
      <c r="P691" s="24"/>
      <c r="Q691" s="13"/>
      <c r="T691" s="121" t="str">
        <f t="shared" si="560"/>
        <v/>
      </c>
      <c r="U691" s="118">
        <f t="shared" si="561"/>
        <v>0</v>
      </c>
      <c r="V691" s="117">
        <f t="shared" si="562"/>
        <v>0</v>
      </c>
      <c r="W691" s="117">
        <f t="shared" si="563"/>
        <v>0</v>
      </c>
      <c r="X691" s="117">
        <f t="shared" si="564"/>
        <v>0</v>
      </c>
      <c r="Y691" s="117">
        <f t="shared" si="565"/>
        <v>3</v>
      </c>
      <c r="Z691" s="117">
        <f t="shared" si="566"/>
        <v>1</v>
      </c>
      <c r="AA691" s="117">
        <f t="shared" si="567"/>
        <v>0</v>
      </c>
      <c r="AC691" s="121" t="str">
        <f t="shared" si="568"/>
        <v/>
      </c>
      <c r="AD691" s="118">
        <f t="shared" si="569"/>
        <v>0</v>
      </c>
      <c r="AE691" s="117">
        <f t="shared" si="570"/>
        <v>0</v>
      </c>
      <c r="AF691" s="117">
        <f t="shared" si="571"/>
        <v>1</v>
      </c>
      <c r="AG691" s="117">
        <f t="shared" si="572"/>
        <v>1</v>
      </c>
      <c r="AH691" s="117">
        <f t="shared" si="573"/>
        <v>0</v>
      </c>
      <c r="AI691" s="117">
        <f t="shared" si="574"/>
        <v>0</v>
      </c>
      <c r="AJ691" s="117">
        <f t="shared" si="575"/>
        <v>0</v>
      </c>
    </row>
    <row r="692" spans="2:36" ht="16.5" customHeight="1">
      <c r="B692" s="12"/>
      <c r="C692" s="12"/>
      <c r="D692" s="8"/>
      <c r="E692" s="9" t="s">
        <v>172</v>
      </c>
      <c r="F692" s="5">
        <v>1</v>
      </c>
      <c r="G692" s="6">
        <v>1</v>
      </c>
      <c r="H692" s="7" t="s">
        <v>224</v>
      </c>
      <c r="I692" s="10"/>
      <c r="J692" s="8"/>
      <c r="K692" s="9" t="s">
        <v>198</v>
      </c>
      <c r="L692" s="5">
        <v>0</v>
      </c>
      <c r="M692" s="6">
        <v>0</v>
      </c>
      <c r="N692" s="7" t="str">
        <f t="shared" si="559"/>
        <v/>
      </c>
      <c r="O692" s="10"/>
      <c r="P692" s="24"/>
      <c r="Q692" s="13"/>
      <c r="T692" s="121" t="str">
        <f t="shared" si="560"/>
        <v/>
      </c>
      <c r="U692" s="118">
        <f t="shared" si="561"/>
        <v>0</v>
      </c>
      <c r="V692" s="117">
        <f t="shared" si="562"/>
        <v>0</v>
      </c>
      <c r="W692" s="117">
        <f t="shared" si="563"/>
        <v>0</v>
      </c>
      <c r="X692" s="117">
        <f t="shared" si="564"/>
        <v>0</v>
      </c>
      <c r="Y692" s="117">
        <f t="shared" si="565"/>
        <v>3</v>
      </c>
      <c r="Z692" s="117">
        <f t="shared" si="566"/>
        <v>1</v>
      </c>
      <c r="AA692" s="117">
        <f t="shared" si="567"/>
        <v>0</v>
      </c>
      <c r="AC692" s="121" t="str">
        <f t="shared" si="568"/>
        <v/>
      </c>
      <c r="AD692" s="118">
        <f t="shared" si="569"/>
        <v>0</v>
      </c>
      <c r="AE692" s="117">
        <f t="shared" si="570"/>
        <v>0</v>
      </c>
      <c r="AF692" s="117">
        <f t="shared" si="571"/>
        <v>0</v>
      </c>
      <c r="AG692" s="117">
        <f t="shared" si="572"/>
        <v>0</v>
      </c>
      <c r="AH692" s="117">
        <f t="shared" si="573"/>
        <v>3</v>
      </c>
      <c r="AI692" s="117">
        <f t="shared" si="574"/>
        <v>1</v>
      </c>
      <c r="AJ692" s="117">
        <f t="shared" si="575"/>
        <v>1</v>
      </c>
    </row>
    <row r="693" spans="2:36" ht="16.5" customHeight="1">
      <c r="B693" s="12"/>
      <c r="C693" s="12"/>
      <c r="D693" s="4"/>
      <c r="E693" s="4" t="s">
        <v>173</v>
      </c>
      <c r="F693" s="5">
        <v>1</v>
      </c>
      <c r="G693" s="6">
        <v>1</v>
      </c>
      <c r="H693" s="7" t="s">
        <v>224</v>
      </c>
      <c r="I693" s="7"/>
      <c r="J693" s="4"/>
      <c r="K693" s="4" t="s">
        <v>199</v>
      </c>
      <c r="L693" s="5">
        <v>1</v>
      </c>
      <c r="M693" s="6">
        <v>1</v>
      </c>
      <c r="N693" s="7" t="str">
        <f t="shared" si="559"/>
        <v/>
      </c>
      <c r="O693" s="7"/>
      <c r="P693" s="24"/>
      <c r="Q693" s="13"/>
      <c r="T693" s="121" t="str">
        <f t="shared" si="560"/>
        <v/>
      </c>
      <c r="U693" s="118">
        <f t="shared" si="561"/>
        <v>0</v>
      </c>
      <c r="V693" s="117">
        <f t="shared" si="562"/>
        <v>0</v>
      </c>
      <c r="W693" s="117">
        <f t="shared" si="563"/>
        <v>0</v>
      </c>
      <c r="X693" s="117">
        <f t="shared" si="564"/>
        <v>0</v>
      </c>
      <c r="Y693" s="117">
        <f t="shared" si="565"/>
        <v>3</v>
      </c>
      <c r="Z693" s="117">
        <f t="shared" si="566"/>
        <v>1</v>
      </c>
      <c r="AA693" s="117">
        <f t="shared" si="567"/>
        <v>0</v>
      </c>
      <c r="AC693" s="121" t="str">
        <f t="shared" si="568"/>
        <v/>
      </c>
      <c r="AD693" s="118">
        <f t="shared" si="569"/>
        <v>0</v>
      </c>
      <c r="AE693" s="117">
        <f t="shared" si="570"/>
        <v>0</v>
      </c>
      <c r="AF693" s="117">
        <f t="shared" si="571"/>
        <v>0</v>
      </c>
      <c r="AG693" s="117">
        <f t="shared" si="572"/>
        <v>0</v>
      </c>
      <c r="AH693" s="117">
        <f t="shared" si="573"/>
        <v>3</v>
      </c>
      <c r="AI693" s="117">
        <f t="shared" si="574"/>
        <v>1</v>
      </c>
      <c r="AJ693" s="117">
        <f t="shared" si="575"/>
        <v>0</v>
      </c>
    </row>
    <row r="694" spans="2:36" ht="16.5" customHeight="1">
      <c r="B694" s="12"/>
      <c r="C694" s="12"/>
      <c r="D694" s="8"/>
      <c r="E694" s="9" t="s">
        <v>174</v>
      </c>
      <c r="F694" s="5">
        <v>2</v>
      </c>
      <c r="G694" s="6">
        <v>0</v>
      </c>
      <c r="H694" s="7" t="s">
        <v>224</v>
      </c>
      <c r="I694" s="10"/>
      <c r="J694" s="8"/>
      <c r="K694" s="9" t="s">
        <v>200</v>
      </c>
      <c r="L694" s="5">
        <v>1</v>
      </c>
      <c r="M694" s="6">
        <v>0</v>
      </c>
      <c r="N694" s="7" t="str">
        <f t="shared" si="559"/>
        <v/>
      </c>
      <c r="O694" s="10"/>
      <c r="P694" s="24"/>
      <c r="Q694" s="13"/>
      <c r="T694" s="121" t="str">
        <f t="shared" si="560"/>
        <v/>
      </c>
      <c r="U694" s="118">
        <f t="shared" si="561"/>
        <v>0</v>
      </c>
      <c r="V694" s="117">
        <f t="shared" si="562"/>
        <v>0</v>
      </c>
      <c r="W694" s="117">
        <f t="shared" si="563"/>
        <v>1</v>
      </c>
      <c r="X694" s="117">
        <f t="shared" si="564"/>
        <v>2</v>
      </c>
      <c r="Y694" s="117">
        <f t="shared" si="565"/>
        <v>0</v>
      </c>
      <c r="Z694" s="117">
        <f t="shared" si="566"/>
        <v>0</v>
      </c>
      <c r="AA694" s="117">
        <f t="shared" si="567"/>
        <v>0</v>
      </c>
      <c r="AC694" s="121" t="str">
        <f t="shared" si="568"/>
        <v/>
      </c>
      <c r="AD694" s="118">
        <f t="shared" si="569"/>
        <v>0</v>
      </c>
      <c r="AE694" s="117">
        <f t="shared" si="570"/>
        <v>0</v>
      </c>
      <c r="AF694" s="117">
        <f t="shared" si="571"/>
        <v>1</v>
      </c>
      <c r="AG694" s="117">
        <f t="shared" si="572"/>
        <v>1</v>
      </c>
      <c r="AH694" s="117">
        <f t="shared" si="573"/>
        <v>0</v>
      </c>
      <c r="AI694" s="117">
        <f t="shared" si="574"/>
        <v>0</v>
      </c>
      <c r="AJ694" s="117">
        <f t="shared" si="575"/>
        <v>0</v>
      </c>
    </row>
    <row r="695" spans="2:36" ht="16.5" customHeight="1">
      <c r="B695" s="12"/>
      <c r="C695" s="12"/>
      <c r="D695" s="4"/>
      <c r="E695" s="4" t="s">
        <v>175</v>
      </c>
      <c r="F695" s="5">
        <v>1</v>
      </c>
      <c r="G695" s="6">
        <v>1</v>
      </c>
      <c r="H695" s="7" t="s">
        <v>224</v>
      </c>
      <c r="I695" s="7"/>
      <c r="J695" s="4"/>
      <c r="K695" s="4" t="s">
        <v>201</v>
      </c>
      <c r="L695" s="5">
        <v>2</v>
      </c>
      <c r="M695" s="6">
        <v>1</v>
      </c>
      <c r="N695" s="7" t="str">
        <f t="shared" si="559"/>
        <v/>
      </c>
      <c r="O695" s="7"/>
      <c r="P695" s="24"/>
      <c r="Q695" s="13"/>
      <c r="T695" s="121" t="str">
        <f t="shared" si="560"/>
        <v/>
      </c>
      <c r="U695" s="118">
        <f t="shared" si="561"/>
        <v>0</v>
      </c>
      <c r="V695" s="117">
        <f t="shared" si="562"/>
        <v>0</v>
      </c>
      <c r="W695" s="117">
        <f t="shared" si="563"/>
        <v>0</v>
      </c>
      <c r="X695" s="117">
        <f t="shared" si="564"/>
        <v>0</v>
      </c>
      <c r="Y695" s="117">
        <f t="shared" si="565"/>
        <v>3</v>
      </c>
      <c r="Z695" s="117">
        <f t="shared" si="566"/>
        <v>1</v>
      </c>
      <c r="AA695" s="117">
        <f t="shared" si="567"/>
        <v>0</v>
      </c>
      <c r="AC695" s="121" t="str">
        <f t="shared" si="568"/>
        <v/>
      </c>
      <c r="AD695" s="118">
        <f t="shared" si="569"/>
        <v>0</v>
      </c>
      <c r="AE695" s="117">
        <f t="shared" si="570"/>
        <v>0</v>
      </c>
      <c r="AF695" s="117">
        <f t="shared" si="571"/>
        <v>1</v>
      </c>
      <c r="AG695" s="117">
        <f t="shared" si="572"/>
        <v>1</v>
      </c>
      <c r="AH695" s="117">
        <f t="shared" si="573"/>
        <v>0</v>
      </c>
      <c r="AI695" s="117">
        <f t="shared" si="574"/>
        <v>0</v>
      </c>
      <c r="AJ695" s="117">
        <f t="shared" si="575"/>
        <v>0</v>
      </c>
    </row>
    <row r="696" spans="2:36" ht="16.5" customHeight="1">
      <c r="B696" s="14"/>
      <c r="C696" s="14" t="s">
        <v>8</v>
      </c>
      <c r="D696" s="8"/>
      <c r="E696" s="9" t="s">
        <v>33</v>
      </c>
      <c r="F696" s="5">
        <v>2</v>
      </c>
      <c r="G696" s="6">
        <v>0</v>
      </c>
      <c r="H696" s="7" t="s">
        <v>224</v>
      </c>
      <c r="I696" s="10"/>
      <c r="J696" s="8"/>
      <c r="K696" s="9" t="s">
        <v>225</v>
      </c>
      <c r="L696" s="5">
        <v>0</v>
      </c>
      <c r="M696" s="6">
        <v>0</v>
      </c>
      <c r="N696" s="7" t="str">
        <f t="shared" si="559"/>
        <v/>
      </c>
      <c r="O696" s="10"/>
      <c r="P696" s="31" t="s">
        <v>16</v>
      </c>
      <c r="Q696" s="30"/>
      <c r="T696" s="121" t="str">
        <f t="shared" si="560"/>
        <v/>
      </c>
      <c r="U696" s="118">
        <f t="shared" si="561"/>
        <v>0</v>
      </c>
      <c r="V696" s="117">
        <f t="shared" si="562"/>
        <v>0</v>
      </c>
      <c r="W696" s="117">
        <f t="shared" si="563"/>
        <v>1</v>
      </c>
      <c r="X696" s="117">
        <f t="shared" si="564"/>
        <v>2</v>
      </c>
      <c r="Y696" s="117">
        <f t="shared" si="565"/>
        <v>0</v>
      </c>
      <c r="Z696" s="117">
        <f t="shared" si="566"/>
        <v>0</v>
      </c>
      <c r="AA696" s="117">
        <f t="shared" si="567"/>
        <v>0</v>
      </c>
      <c r="AC696" s="121" t="str">
        <f t="shared" si="568"/>
        <v/>
      </c>
      <c r="AD696" s="118">
        <f t="shared" si="569"/>
        <v>0</v>
      </c>
      <c r="AE696" s="117">
        <f t="shared" si="570"/>
        <v>0</v>
      </c>
      <c r="AF696" s="117">
        <f t="shared" si="571"/>
        <v>0</v>
      </c>
      <c r="AG696" s="117">
        <f t="shared" si="572"/>
        <v>0</v>
      </c>
      <c r="AH696" s="117">
        <f t="shared" si="573"/>
        <v>3</v>
      </c>
      <c r="AI696" s="117">
        <f t="shared" si="574"/>
        <v>1</v>
      </c>
      <c r="AJ696" s="117">
        <f t="shared" si="575"/>
        <v>1</v>
      </c>
    </row>
    <row r="697" spans="2:36" ht="16.5" customHeight="1">
      <c r="B697" s="14"/>
      <c r="C697" s="14"/>
      <c r="D697" s="4"/>
      <c r="E697" s="4" t="s">
        <v>176</v>
      </c>
      <c r="F697" s="5">
        <v>1</v>
      </c>
      <c r="G697" s="6">
        <v>0</v>
      </c>
      <c r="H697" s="7" t="s">
        <v>224</v>
      </c>
      <c r="I697" s="7"/>
      <c r="J697" s="4"/>
      <c r="K697" s="4" t="s">
        <v>203</v>
      </c>
      <c r="L697" s="5">
        <v>2</v>
      </c>
      <c r="M697" s="6">
        <v>0</v>
      </c>
      <c r="N697" s="7" t="str">
        <f t="shared" si="559"/>
        <v/>
      </c>
      <c r="O697" s="7"/>
      <c r="P697" s="31"/>
      <c r="Q697" s="30"/>
      <c r="T697" s="121" t="str">
        <f t="shared" si="560"/>
        <v/>
      </c>
      <c r="U697" s="118">
        <f t="shared" si="561"/>
        <v>0</v>
      </c>
      <c r="V697" s="117">
        <f t="shared" si="562"/>
        <v>0</v>
      </c>
      <c r="W697" s="117">
        <f t="shared" si="563"/>
        <v>1</v>
      </c>
      <c r="X697" s="117">
        <f t="shared" si="564"/>
        <v>1</v>
      </c>
      <c r="Y697" s="117">
        <f t="shared" si="565"/>
        <v>0</v>
      </c>
      <c r="Z697" s="117">
        <f t="shared" si="566"/>
        <v>0</v>
      </c>
      <c r="AA697" s="117">
        <f t="shared" si="567"/>
        <v>0</v>
      </c>
      <c r="AC697" s="121" t="str">
        <f t="shared" si="568"/>
        <v/>
      </c>
      <c r="AD697" s="118">
        <f t="shared" si="569"/>
        <v>0</v>
      </c>
      <c r="AE697" s="117">
        <f t="shared" si="570"/>
        <v>0</v>
      </c>
      <c r="AF697" s="117">
        <f t="shared" si="571"/>
        <v>1</v>
      </c>
      <c r="AG697" s="117">
        <f t="shared" si="572"/>
        <v>2</v>
      </c>
      <c r="AH697" s="117">
        <f t="shared" si="573"/>
        <v>0</v>
      </c>
      <c r="AI697" s="117">
        <f t="shared" si="574"/>
        <v>0</v>
      </c>
      <c r="AJ697" s="117">
        <f t="shared" si="575"/>
        <v>0</v>
      </c>
    </row>
    <row r="698" spans="2:36" ht="16.5" customHeight="1">
      <c r="B698" s="14"/>
      <c r="C698" s="14"/>
      <c r="D698" s="8"/>
      <c r="E698" s="9" t="s">
        <v>177</v>
      </c>
      <c r="F698" s="5">
        <v>3</v>
      </c>
      <c r="G698" s="6">
        <v>1</v>
      </c>
      <c r="H698" s="7" t="s">
        <v>224</v>
      </c>
      <c r="I698" s="10"/>
      <c r="J698" s="8"/>
      <c r="K698" s="9" t="s">
        <v>204</v>
      </c>
      <c r="L698" s="5">
        <v>1</v>
      </c>
      <c r="M698" s="6">
        <v>0</v>
      </c>
      <c r="N698" s="7" t="str">
        <f t="shared" si="559"/>
        <v/>
      </c>
      <c r="O698" s="10"/>
      <c r="P698" s="31"/>
      <c r="Q698" s="30"/>
      <c r="T698" s="121" t="str">
        <f t="shared" si="560"/>
        <v/>
      </c>
      <c r="U698" s="118">
        <f t="shared" si="561"/>
        <v>0</v>
      </c>
      <c r="V698" s="117">
        <f t="shared" si="562"/>
        <v>0</v>
      </c>
      <c r="W698" s="117">
        <f t="shared" si="563"/>
        <v>1</v>
      </c>
      <c r="X698" s="117">
        <f t="shared" si="564"/>
        <v>2</v>
      </c>
      <c r="Y698" s="117">
        <f t="shared" si="565"/>
        <v>0</v>
      </c>
      <c r="Z698" s="117">
        <f t="shared" si="566"/>
        <v>0</v>
      </c>
      <c r="AA698" s="117">
        <f t="shared" si="567"/>
        <v>0</v>
      </c>
      <c r="AC698" s="121" t="str">
        <f t="shared" si="568"/>
        <v/>
      </c>
      <c r="AD698" s="118">
        <f t="shared" si="569"/>
        <v>0</v>
      </c>
      <c r="AE698" s="117">
        <f t="shared" si="570"/>
        <v>0</v>
      </c>
      <c r="AF698" s="117">
        <f t="shared" si="571"/>
        <v>1</v>
      </c>
      <c r="AG698" s="117">
        <f t="shared" si="572"/>
        <v>1</v>
      </c>
      <c r="AH698" s="117">
        <f t="shared" si="573"/>
        <v>0</v>
      </c>
      <c r="AI698" s="117">
        <f t="shared" si="574"/>
        <v>0</v>
      </c>
      <c r="AJ698" s="117">
        <f t="shared" si="575"/>
        <v>0</v>
      </c>
    </row>
    <row r="699" spans="2:36" ht="16.5" customHeight="1">
      <c r="B699" s="14"/>
      <c r="C699" s="14"/>
      <c r="D699" s="4"/>
      <c r="E699" s="4" t="s">
        <v>178</v>
      </c>
      <c r="F699" s="5">
        <v>1</v>
      </c>
      <c r="G699" s="6">
        <v>0</v>
      </c>
      <c r="H699" s="7" t="s">
        <v>224</v>
      </c>
      <c r="I699" s="7"/>
      <c r="J699" s="4"/>
      <c r="K699" s="4" t="s">
        <v>223</v>
      </c>
      <c r="L699" s="5">
        <v>2</v>
      </c>
      <c r="M699" s="6">
        <v>2</v>
      </c>
      <c r="N699" s="7" t="str">
        <f t="shared" si="559"/>
        <v/>
      </c>
      <c r="O699" s="7"/>
      <c r="P699" s="31"/>
      <c r="Q699" s="30"/>
      <c r="T699" s="121" t="str">
        <f t="shared" si="560"/>
        <v/>
      </c>
      <c r="U699" s="118">
        <f t="shared" si="561"/>
        <v>0</v>
      </c>
      <c r="V699" s="117">
        <f t="shared" si="562"/>
        <v>0</v>
      </c>
      <c r="W699" s="117">
        <f t="shared" si="563"/>
        <v>1</v>
      </c>
      <c r="X699" s="117">
        <f t="shared" si="564"/>
        <v>1</v>
      </c>
      <c r="Y699" s="117">
        <f t="shared" si="565"/>
        <v>0</v>
      </c>
      <c r="Z699" s="117">
        <f t="shared" si="566"/>
        <v>0</v>
      </c>
      <c r="AA699" s="117">
        <f t="shared" si="567"/>
        <v>0</v>
      </c>
      <c r="AC699" s="121" t="str">
        <f t="shared" si="568"/>
        <v/>
      </c>
      <c r="AD699" s="118">
        <f t="shared" si="569"/>
        <v>0</v>
      </c>
      <c r="AE699" s="117">
        <f t="shared" si="570"/>
        <v>0</v>
      </c>
      <c r="AF699" s="117">
        <f t="shared" si="571"/>
        <v>0</v>
      </c>
      <c r="AG699" s="117">
        <f t="shared" si="572"/>
        <v>0</v>
      </c>
      <c r="AH699" s="117">
        <f t="shared" si="573"/>
        <v>3</v>
      </c>
      <c r="AI699" s="117">
        <f t="shared" si="574"/>
        <v>1</v>
      </c>
      <c r="AJ699" s="117">
        <f t="shared" si="575"/>
        <v>0</v>
      </c>
    </row>
    <row r="700" spans="2:36" ht="16.5" customHeight="1">
      <c r="B700" s="14"/>
      <c r="C700" s="14"/>
      <c r="D700" s="8"/>
      <c r="E700" s="9" t="s">
        <v>179</v>
      </c>
      <c r="F700" s="5">
        <v>2</v>
      </c>
      <c r="G700" s="6">
        <v>0</v>
      </c>
      <c r="H700" s="7" t="s">
        <v>224</v>
      </c>
      <c r="I700" s="10"/>
      <c r="J700" s="8"/>
      <c r="K700" s="9" t="s">
        <v>205</v>
      </c>
      <c r="L700" s="5">
        <v>2</v>
      </c>
      <c r="M700" s="6">
        <v>0</v>
      </c>
      <c r="N700" s="7" t="str">
        <f t="shared" si="559"/>
        <v/>
      </c>
      <c r="O700" s="10"/>
      <c r="P700" s="31"/>
      <c r="Q700" s="30"/>
      <c r="T700" s="121" t="str">
        <f t="shared" si="560"/>
        <v/>
      </c>
      <c r="U700" s="118">
        <f t="shared" si="561"/>
        <v>0</v>
      </c>
      <c r="V700" s="117">
        <f t="shared" si="562"/>
        <v>0</v>
      </c>
      <c r="W700" s="117">
        <f t="shared" si="563"/>
        <v>1</v>
      </c>
      <c r="X700" s="117">
        <f t="shared" si="564"/>
        <v>2</v>
      </c>
      <c r="Y700" s="117">
        <f t="shared" si="565"/>
        <v>0</v>
      </c>
      <c r="Z700" s="117">
        <f t="shared" si="566"/>
        <v>0</v>
      </c>
      <c r="AA700" s="117">
        <f t="shared" si="567"/>
        <v>0</v>
      </c>
      <c r="AC700" s="121" t="str">
        <f t="shared" si="568"/>
        <v/>
      </c>
      <c r="AD700" s="118">
        <f t="shared" si="569"/>
        <v>0</v>
      </c>
      <c r="AE700" s="117">
        <f t="shared" si="570"/>
        <v>0</v>
      </c>
      <c r="AF700" s="117">
        <f t="shared" si="571"/>
        <v>1</v>
      </c>
      <c r="AG700" s="117">
        <f t="shared" si="572"/>
        <v>2</v>
      </c>
      <c r="AH700" s="117">
        <f t="shared" si="573"/>
        <v>0</v>
      </c>
      <c r="AI700" s="117">
        <f t="shared" si="574"/>
        <v>0</v>
      </c>
      <c r="AJ700" s="117">
        <f t="shared" si="575"/>
        <v>0</v>
      </c>
    </row>
    <row r="701" spans="2:36" ht="16.5" customHeight="1">
      <c r="B701" s="14"/>
      <c r="C701" s="14"/>
      <c r="D701" s="4"/>
      <c r="E701" s="4" t="s">
        <v>180</v>
      </c>
      <c r="F701" s="5">
        <v>0</v>
      </c>
      <c r="G701" s="6">
        <v>0</v>
      </c>
      <c r="H701" s="7" t="s">
        <v>224</v>
      </c>
      <c r="I701" s="7"/>
      <c r="J701" s="4"/>
      <c r="K701" s="4" t="s">
        <v>206</v>
      </c>
      <c r="L701" s="5">
        <v>2</v>
      </c>
      <c r="M701" s="6">
        <v>0</v>
      </c>
      <c r="N701" s="7" t="str">
        <f t="shared" si="559"/>
        <v/>
      </c>
      <c r="O701" s="7"/>
      <c r="P701" s="31"/>
      <c r="Q701" s="30"/>
      <c r="T701" s="121" t="str">
        <f t="shared" si="560"/>
        <v/>
      </c>
      <c r="U701" s="118">
        <f t="shared" si="561"/>
        <v>0</v>
      </c>
      <c r="V701" s="117">
        <f t="shared" si="562"/>
        <v>0</v>
      </c>
      <c r="W701" s="117">
        <f t="shared" si="563"/>
        <v>0</v>
      </c>
      <c r="X701" s="117">
        <f t="shared" si="564"/>
        <v>0</v>
      </c>
      <c r="Y701" s="117">
        <f t="shared" si="565"/>
        <v>3</v>
      </c>
      <c r="Z701" s="117">
        <f t="shared" si="566"/>
        <v>1</v>
      </c>
      <c r="AA701" s="117">
        <f t="shared" si="567"/>
        <v>1</v>
      </c>
      <c r="AC701" s="121" t="str">
        <f t="shared" si="568"/>
        <v/>
      </c>
      <c r="AD701" s="118">
        <f t="shared" si="569"/>
        <v>0</v>
      </c>
      <c r="AE701" s="117">
        <f t="shared" si="570"/>
        <v>0</v>
      </c>
      <c r="AF701" s="117">
        <f t="shared" si="571"/>
        <v>1</v>
      </c>
      <c r="AG701" s="117">
        <f t="shared" si="572"/>
        <v>2</v>
      </c>
      <c r="AH701" s="117">
        <f t="shared" si="573"/>
        <v>0</v>
      </c>
      <c r="AI701" s="117">
        <f t="shared" si="574"/>
        <v>0</v>
      </c>
      <c r="AJ701" s="117">
        <f t="shared" si="575"/>
        <v>0</v>
      </c>
    </row>
    <row r="702" spans="2:36" ht="16.5" customHeight="1">
      <c r="B702" s="14"/>
      <c r="C702" s="14"/>
      <c r="D702" s="8"/>
      <c r="E702" s="9" t="s">
        <v>181</v>
      </c>
      <c r="F702" s="5">
        <v>2</v>
      </c>
      <c r="G702" s="6">
        <v>0</v>
      </c>
      <c r="H702" s="7" t="s">
        <v>224</v>
      </c>
      <c r="I702" s="10"/>
      <c r="J702" s="8"/>
      <c r="K702" s="9" t="s">
        <v>207</v>
      </c>
      <c r="L702" s="5">
        <v>3</v>
      </c>
      <c r="M702" s="6">
        <v>0</v>
      </c>
      <c r="N702" s="7" t="str">
        <f t="shared" si="559"/>
        <v/>
      </c>
      <c r="O702" s="10"/>
      <c r="P702" s="31"/>
      <c r="Q702" s="30"/>
      <c r="T702" s="121" t="str">
        <f t="shared" si="560"/>
        <v/>
      </c>
      <c r="U702" s="118">
        <f t="shared" si="561"/>
        <v>0</v>
      </c>
      <c r="V702" s="117">
        <f t="shared" si="562"/>
        <v>0</v>
      </c>
      <c r="W702" s="117">
        <f t="shared" si="563"/>
        <v>1</v>
      </c>
      <c r="X702" s="117">
        <f t="shared" si="564"/>
        <v>2</v>
      </c>
      <c r="Y702" s="117">
        <f t="shared" si="565"/>
        <v>0</v>
      </c>
      <c r="Z702" s="117">
        <f t="shared" si="566"/>
        <v>0</v>
      </c>
      <c r="AA702" s="117">
        <f t="shared" si="567"/>
        <v>0</v>
      </c>
      <c r="AC702" s="121" t="str">
        <f t="shared" si="568"/>
        <v/>
      </c>
      <c r="AD702" s="118">
        <f t="shared" si="569"/>
        <v>0</v>
      </c>
      <c r="AE702" s="117">
        <f t="shared" si="570"/>
        <v>0</v>
      </c>
      <c r="AF702" s="117">
        <f t="shared" si="571"/>
        <v>1</v>
      </c>
      <c r="AG702" s="117">
        <f t="shared" si="572"/>
        <v>3</v>
      </c>
      <c r="AH702" s="117">
        <f t="shared" si="573"/>
        <v>0</v>
      </c>
      <c r="AI702" s="117">
        <f t="shared" si="574"/>
        <v>0</v>
      </c>
      <c r="AJ702" s="117">
        <f t="shared" si="575"/>
        <v>0</v>
      </c>
    </row>
    <row r="703" spans="2:36" ht="16.5" customHeight="1">
      <c r="B703" s="11"/>
      <c r="C703" s="11" t="s">
        <v>9</v>
      </c>
      <c r="D703" s="4"/>
      <c r="E703" s="4" t="s">
        <v>182</v>
      </c>
      <c r="F703" s="5">
        <v>1</v>
      </c>
      <c r="G703" s="6">
        <v>1</v>
      </c>
      <c r="H703" s="7" t="s">
        <v>224</v>
      </c>
      <c r="I703" s="7"/>
      <c r="J703" s="4"/>
      <c r="K703" s="4" t="s">
        <v>208</v>
      </c>
      <c r="L703" s="5">
        <v>0</v>
      </c>
      <c r="M703" s="6">
        <v>1</v>
      </c>
      <c r="N703" s="7" t="str">
        <f t="shared" si="559"/>
        <v/>
      </c>
      <c r="O703" s="7"/>
      <c r="P703" s="36" t="s">
        <v>25</v>
      </c>
      <c r="Q703" s="35"/>
      <c r="T703" s="121" t="str">
        <f t="shared" si="560"/>
        <v/>
      </c>
      <c r="U703" s="118">
        <f t="shared" si="561"/>
        <v>0</v>
      </c>
      <c r="V703" s="117">
        <f t="shared" si="562"/>
        <v>0</v>
      </c>
      <c r="W703" s="117">
        <f t="shared" si="563"/>
        <v>0</v>
      </c>
      <c r="X703" s="117">
        <f t="shared" si="564"/>
        <v>0</v>
      </c>
      <c r="Y703" s="117">
        <f t="shared" si="565"/>
        <v>3</v>
      </c>
      <c r="Z703" s="117">
        <f t="shared" si="566"/>
        <v>1</v>
      </c>
      <c r="AA703" s="117">
        <f t="shared" si="567"/>
        <v>0</v>
      </c>
      <c r="AC703" s="121" t="str">
        <f t="shared" si="568"/>
        <v/>
      </c>
      <c r="AD703" s="118">
        <f t="shared" si="569"/>
        <v>0</v>
      </c>
      <c r="AE703" s="117">
        <f t="shared" si="570"/>
        <v>0</v>
      </c>
      <c r="AF703" s="117">
        <f t="shared" si="571"/>
        <v>2</v>
      </c>
      <c r="AG703" s="117">
        <f t="shared" si="572"/>
        <v>-1</v>
      </c>
      <c r="AH703" s="117">
        <f t="shared" si="573"/>
        <v>0</v>
      </c>
      <c r="AI703" s="117">
        <f t="shared" si="574"/>
        <v>0</v>
      </c>
      <c r="AJ703" s="117">
        <f t="shared" si="575"/>
        <v>0</v>
      </c>
    </row>
    <row r="704" spans="2:36" ht="16.5" customHeight="1">
      <c r="B704" s="11"/>
      <c r="C704" s="11"/>
      <c r="D704" s="8"/>
      <c r="E704" s="9" t="s">
        <v>183</v>
      </c>
      <c r="F704" s="5">
        <v>3</v>
      </c>
      <c r="G704" s="6">
        <v>1</v>
      </c>
      <c r="H704" s="7" t="s">
        <v>224</v>
      </c>
      <c r="I704" s="10"/>
      <c r="J704" s="8"/>
      <c r="K704" s="9" t="s">
        <v>209</v>
      </c>
      <c r="L704" s="5">
        <v>2</v>
      </c>
      <c r="M704" s="6">
        <v>1</v>
      </c>
      <c r="N704" s="7" t="str">
        <f t="shared" si="559"/>
        <v/>
      </c>
      <c r="O704" s="10"/>
      <c r="P704" s="36"/>
      <c r="Q704" s="35"/>
      <c r="T704" s="121" t="str">
        <f t="shared" si="560"/>
        <v/>
      </c>
      <c r="U704" s="118">
        <f t="shared" si="561"/>
        <v>0</v>
      </c>
      <c r="V704" s="117">
        <f t="shared" si="562"/>
        <v>0</v>
      </c>
      <c r="W704" s="117">
        <f t="shared" si="563"/>
        <v>1</v>
      </c>
      <c r="X704" s="117">
        <f t="shared" si="564"/>
        <v>2</v>
      </c>
      <c r="Y704" s="117">
        <f t="shared" si="565"/>
        <v>0</v>
      </c>
      <c r="Z704" s="117">
        <f t="shared" si="566"/>
        <v>0</v>
      </c>
      <c r="AA704" s="117">
        <f t="shared" si="567"/>
        <v>0</v>
      </c>
      <c r="AC704" s="121" t="str">
        <f t="shared" si="568"/>
        <v/>
      </c>
      <c r="AD704" s="118">
        <f t="shared" si="569"/>
        <v>0</v>
      </c>
      <c r="AE704" s="117">
        <f t="shared" si="570"/>
        <v>0</v>
      </c>
      <c r="AF704" s="117">
        <f t="shared" si="571"/>
        <v>1</v>
      </c>
      <c r="AG704" s="117">
        <f t="shared" si="572"/>
        <v>1</v>
      </c>
      <c r="AH704" s="117">
        <f t="shared" si="573"/>
        <v>0</v>
      </c>
      <c r="AI704" s="117">
        <f t="shared" si="574"/>
        <v>0</v>
      </c>
      <c r="AJ704" s="117">
        <f t="shared" si="575"/>
        <v>0</v>
      </c>
    </row>
    <row r="705" spans="2:36" ht="16.5" customHeight="1">
      <c r="B705" s="11"/>
      <c r="C705" s="11"/>
      <c r="D705" s="4"/>
      <c r="E705" s="4" t="s">
        <v>184</v>
      </c>
      <c r="F705" s="5">
        <v>2</v>
      </c>
      <c r="G705" s="6">
        <v>0</v>
      </c>
      <c r="H705" s="7" t="s">
        <v>224</v>
      </c>
      <c r="I705" s="7"/>
      <c r="J705" s="4"/>
      <c r="K705" s="4" t="s">
        <v>210</v>
      </c>
      <c r="L705" s="5">
        <v>2</v>
      </c>
      <c r="M705" s="6">
        <v>0</v>
      </c>
      <c r="N705" s="7" t="str">
        <f t="shared" si="559"/>
        <v/>
      </c>
      <c r="O705" s="7"/>
      <c r="P705" s="36"/>
      <c r="Q705" s="35"/>
      <c r="T705" s="121" t="str">
        <f t="shared" si="560"/>
        <v/>
      </c>
      <c r="U705" s="118">
        <f t="shared" si="561"/>
        <v>0</v>
      </c>
      <c r="V705" s="117">
        <f t="shared" si="562"/>
        <v>0</v>
      </c>
      <c r="W705" s="117">
        <f t="shared" si="563"/>
        <v>1</v>
      </c>
      <c r="X705" s="117">
        <f t="shared" si="564"/>
        <v>2</v>
      </c>
      <c r="Y705" s="117">
        <f t="shared" si="565"/>
        <v>0</v>
      </c>
      <c r="Z705" s="117">
        <f t="shared" si="566"/>
        <v>0</v>
      </c>
      <c r="AA705" s="117">
        <f t="shared" si="567"/>
        <v>0</v>
      </c>
      <c r="AC705" s="121" t="str">
        <f t="shared" si="568"/>
        <v/>
      </c>
      <c r="AD705" s="118">
        <f t="shared" si="569"/>
        <v>0</v>
      </c>
      <c r="AE705" s="117">
        <f t="shared" si="570"/>
        <v>0</v>
      </c>
      <c r="AF705" s="117">
        <f t="shared" si="571"/>
        <v>1</v>
      </c>
      <c r="AG705" s="117">
        <f t="shared" si="572"/>
        <v>2</v>
      </c>
      <c r="AH705" s="117">
        <f t="shared" si="573"/>
        <v>0</v>
      </c>
      <c r="AI705" s="117">
        <f t="shared" si="574"/>
        <v>0</v>
      </c>
      <c r="AJ705" s="117">
        <f t="shared" si="575"/>
        <v>0</v>
      </c>
    </row>
    <row r="706" spans="2:36" ht="16.5" customHeight="1">
      <c r="B706" s="11"/>
      <c r="C706" s="11"/>
      <c r="D706" s="8"/>
      <c r="E706" s="9" t="s">
        <v>222</v>
      </c>
      <c r="F706" s="5">
        <v>2</v>
      </c>
      <c r="G706" s="6">
        <v>1</v>
      </c>
      <c r="H706" s="7" t="s">
        <v>224</v>
      </c>
      <c r="I706" s="10"/>
      <c r="J706" s="8"/>
      <c r="K706" s="9" t="s">
        <v>211</v>
      </c>
      <c r="L706" s="5">
        <v>1</v>
      </c>
      <c r="M706" s="6">
        <v>1</v>
      </c>
      <c r="N706" s="7" t="str">
        <f t="shared" si="559"/>
        <v/>
      </c>
      <c r="O706" s="10"/>
      <c r="P706" s="36"/>
      <c r="Q706" s="35"/>
      <c r="T706" s="121" t="str">
        <f t="shared" si="560"/>
        <v/>
      </c>
      <c r="U706" s="118">
        <f t="shared" si="561"/>
        <v>0</v>
      </c>
      <c r="V706" s="117">
        <f t="shared" si="562"/>
        <v>0</v>
      </c>
      <c r="W706" s="117">
        <f t="shared" si="563"/>
        <v>1</v>
      </c>
      <c r="X706" s="117">
        <f t="shared" si="564"/>
        <v>1</v>
      </c>
      <c r="Y706" s="117">
        <f t="shared" si="565"/>
        <v>0</v>
      </c>
      <c r="Z706" s="117">
        <f t="shared" si="566"/>
        <v>0</v>
      </c>
      <c r="AA706" s="117">
        <f t="shared" si="567"/>
        <v>0</v>
      </c>
      <c r="AC706" s="121" t="str">
        <f t="shared" si="568"/>
        <v/>
      </c>
      <c r="AD706" s="118">
        <f t="shared" si="569"/>
        <v>0</v>
      </c>
      <c r="AE706" s="117">
        <f t="shared" si="570"/>
        <v>0</v>
      </c>
      <c r="AF706" s="117">
        <f t="shared" si="571"/>
        <v>0</v>
      </c>
      <c r="AG706" s="117">
        <f t="shared" si="572"/>
        <v>0</v>
      </c>
      <c r="AH706" s="117">
        <f t="shared" si="573"/>
        <v>3</v>
      </c>
      <c r="AI706" s="117">
        <f t="shared" si="574"/>
        <v>1</v>
      </c>
      <c r="AJ706" s="117">
        <f t="shared" si="575"/>
        <v>0</v>
      </c>
    </row>
    <row r="707" spans="2:36" ht="16.5" customHeight="1">
      <c r="B707" s="11"/>
      <c r="C707" s="11"/>
      <c r="D707" s="4"/>
      <c r="E707" s="4" t="s">
        <v>185</v>
      </c>
      <c r="F707" s="5">
        <v>2</v>
      </c>
      <c r="G707" s="6">
        <v>1</v>
      </c>
      <c r="H707" s="7" t="s">
        <v>224</v>
      </c>
      <c r="I707" s="7"/>
      <c r="J707" s="4"/>
      <c r="K707" s="4" t="s">
        <v>212</v>
      </c>
      <c r="L707" s="5">
        <v>0</v>
      </c>
      <c r="M707" s="6">
        <v>0</v>
      </c>
      <c r="N707" s="7" t="str">
        <f t="shared" si="559"/>
        <v/>
      </c>
      <c r="O707" s="7"/>
      <c r="P707" s="36"/>
      <c r="Q707" s="35"/>
      <c r="T707" s="121" t="str">
        <f t="shared" si="560"/>
        <v/>
      </c>
      <c r="U707" s="118">
        <f t="shared" si="561"/>
        <v>0</v>
      </c>
      <c r="V707" s="117">
        <f t="shared" si="562"/>
        <v>0</v>
      </c>
      <c r="W707" s="117">
        <f t="shared" si="563"/>
        <v>1</v>
      </c>
      <c r="X707" s="117">
        <f t="shared" si="564"/>
        <v>1</v>
      </c>
      <c r="Y707" s="117">
        <f t="shared" si="565"/>
        <v>0</v>
      </c>
      <c r="Z707" s="117">
        <f t="shared" si="566"/>
        <v>0</v>
      </c>
      <c r="AA707" s="117">
        <f t="shared" si="567"/>
        <v>0</v>
      </c>
      <c r="AC707" s="121" t="str">
        <f t="shared" si="568"/>
        <v/>
      </c>
      <c r="AD707" s="118">
        <f t="shared" si="569"/>
        <v>0</v>
      </c>
      <c r="AE707" s="117">
        <f t="shared" si="570"/>
        <v>0</v>
      </c>
      <c r="AF707" s="117">
        <f t="shared" si="571"/>
        <v>0</v>
      </c>
      <c r="AG707" s="117">
        <f t="shared" si="572"/>
        <v>0</v>
      </c>
      <c r="AH707" s="117">
        <f t="shared" si="573"/>
        <v>3</v>
      </c>
      <c r="AI707" s="117">
        <f t="shared" si="574"/>
        <v>1</v>
      </c>
      <c r="AJ707" s="117">
        <f t="shared" si="575"/>
        <v>1</v>
      </c>
    </row>
    <row r="708" spans="2:36" ht="16.5" customHeight="1">
      <c r="B708" s="11"/>
      <c r="C708" s="11"/>
      <c r="D708" s="8"/>
      <c r="E708" s="9" t="s">
        <v>186</v>
      </c>
      <c r="F708" s="5">
        <v>2</v>
      </c>
      <c r="G708" s="6">
        <v>2</v>
      </c>
      <c r="H708" s="7" t="s">
        <v>224</v>
      </c>
      <c r="I708" s="10"/>
      <c r="J708" s="8"/>
      <c r="K708" s="9" t="s">
        <v>213</v>
      </c>
      <c r="L708" s="5">
        <v>3</v>
      </c>
      <c r="M708" s="6">
        <v>1</v>
      </c>
      <c r="N708" s="7" t="str">
        <f t="shared" si="559"/>
        <v/>
      </c>
      <c r="O708" s="10"/>
      <c r="P708" s="36"/>
      <c r="Q708" s="35"/>
      <c r="T708" s="121" t="str">
        <f t="shared" si="560"/>
        <v/>
      </c>
      <c r="U708" s="118">
        <f t="shared" si="561"/>
        <v>0</v>
      </c>
      <c r="V708" s="117">
        <f t="shared" si="562"/>
        <v>0</v>
      </c>
      <c r="W708" s="117">
        <f t="shared" si="563"/>
        <v>0</v>
      </c>
      <c r="X708" s="117">
        <f t="shared" si="564"/>
        <v>0</v>
      </c>
      <c r="Y708" s="117">
        <f t="shared" si="565"/>
        <v>3</v>
      </c>
      <c r="Z708" s="117">
        <f t="shared" si="566"/>
        <v>1</v>
      </c>
      <c r="AA708" s="117">
        <f t="shared" si="567"/>
        <v>0</v>
      </c>
      <c r="AC708" s="121" t="str">
        <f t="shared" si="568"/>
        <v/>
      </c>
      <c r="AD708" s="118">
        <f t="shared" si="569"/>
        <v>0</v>
      </c>
      <c r="AE708" s="117">
        <f t="shared" si="570"/>
        <v>0</v>
      </c>
      <c r="AF708" s="117">
        <f t="shared" si="571"/>
        <v>1</v>
      </c>
      <c r="AG708" s="117">
        <f t="shared" si="572"/>
        <v>2</v>
      </c>
      <c r="AH708" s="117">
        <f t="shared" si="573"/>
        <v>0</v>
      </c>
      <c r="AI708" s="117">
        <f t="shared" si="574"/>
        <v>0</v>
      </c>
      <c r="AJ708" s="117">
        <f t="shared" si="575"/>
        <v>0</v>
      </c>
    </row>
    <row r="709" spans="2:36" ht="16.5" customHeight="1">
      <c r="B709" s="11"/>
      <c r="C709" s="11"/>
      <c r="D709" s="4"/>
      <c r="E709" s="4" t="s">
        <v>187</v>
      </c>
      <c r="F709" s="5">
        <v>1</v>
      </c>
      <c r="G709" s="6">
        <v>0</v>
      </c>
      <c r="H709" s="7" t="s">
        <v>224</v>
      </c>
      <c r="I709" s="7"/>
      <c r="J709" s="4"/>
      <c r="K709" s="4" t="s">
        <v>214</v>
      </c>
      <c r="L709" s="5">
        <v>1</v>
      </c>
      <c r="M709" s="6">
        <v>1</v>
      </c>
      <c r="N709" s="7" t="str">
        <f t="shared" si="559"/>
        <v/>
      </c>
      <c r="O709" s="7"/>
      <c r="P709" s="36"/>
      <c r="Q709" s="35"/>
      <c r="T709" s="121" t="str">
        <f t="shared" si="560"/>
        <v/>
      </c>
      <c r="U709" s="118">
        <f t="shared" si="561"/>
        <v>0</v>
      </c>
      <c r="V709" s="117">
        <f t="shared" si="562"/>
        <v>0</v>
      </c>
      <c r="W709" s="117">
        <f t="shared" si="563"/>
        <v>1</v>
      </c>
      <c r="X709" s="117">
        <f t="shared" si="564"/>
        <v>1</v>
      </c>
      <c r="Y709" s="117">
        <f t="shared" si="565"/>
        <v>0</v>
      </c>
      <c r="Z709" s="117">
        <f t="shared" si="566"/>
        <v>0</v>
      </c>
      <c r="AA709" s="117">
        <f t="shared" si="567"/>
        <v>0</v>
      </c>
      <c r="AC709" s="121" t="str">
        <f t="shared" si="568"/>
        <v/>
      </c>
      <c r="AD709" s="118">
        <f t="shared" si="569"/>
        <v>0</v>
      </c>
      <c r="AE709" s="117">
        <f t="shared" si="570"/>
        <v>0</v>
      </c>
      <c r="AF709" s="117">
        <f t="shared" si="571"/>
        <v>0</v>
      </c>
      <c r="AG709" s="117">
        <f t="shared" si="572"/>
        <v>0</v>
      </c>
      <c r="AH709" s="117">
        <f t="shared" si="573"/>
        <v>3</v>
      </c>
      <c r="AI709" s="117">
        <f t="shared" si="574"/>
        <v>1</v>
      </c>
      <c r="AJ709" s="117">
        <f t="shared" si="575"/>
        <v>0</v>
      </c>
    </row>
    <row r="710" spans="2:36" ht="16.5" customHeight="1">
      <c r="B710" s="15"/>
      <c r="C710" s="15" t="s">
        <v>10</v>
      </c>
      <c r="D710" s="8"/>
      <c r="E710" s="9" t="s">
        <v>188</v>
      </c>
      <c r="F710" s="5">
        <v>2</v>
      </c>
      <c r="G710" s="6">
        <v>0</v>
      </c>
      <c r="H710" s="7" t="s">
        <v>224</v>
      </c>
      <c r="I710" s="10"/>
      <c r="J710" s="8"/>
      <c r="K710" s="9" t="s">
        <v>215</v>
      </c>
      <c r="L710" s="5">
        <v>2</v>
      </c>
      <c r="M710" s="6">
        <v>1</v>
      </c>
      <c r="N710" s="7" t="str">
        <f t="shared" si="559"/>
        <v/>
      </c>
      <c r="O710" s="10"/>
      <c r="P710" s="39" t="s">
        <v>26</v>
      </c>
      <c r="Q710" s="38"/>
      <c r="T710" s="121" t="str">
        <f t="shared" si="560"/>
        <v/>
      </c>
      <c r="U710" s="118">
        <f t="shared" si="561"/>
        <v>0</v>
      </c>
      <c r="V710" s="117">
        <f t="shared" si="562"/>
        <v>0</v>
      </c>
      <c r="W710" s="117">
        <f t="shared" si="563"/>
        <v>1</v>
      </c>
      <c r="X710" s="117">
        <f t="shared" si="564"/>
        <v>2</v>
      </c>
      <c r="Y710" s="117">
        <f t="shared" si="565"/>
        <v>0</v>
      </c>
      <c r="Z710" s="117">
        <f t="shared" si="566"/>
        <v>0</v>
      </c>
      <c r="AA710" s="117">
        <f t="shared" si="567"/>
        <v>0</v>
      </c>
      <c r="AC710" s="121" t="str">
        <f t="shared" si="568"/>
        <v/>
      </c>
      <c r="AD710" s="118">
        <f t="shared" si="569"/>
        <v>0</v>
      </c>
      <c r="AE710" s="117">
        <f t="shared" si="570"/>
        <v>0</v>
      </c>
      <c r="AF710" s="117">
        <f t="shared" si="571"/>
        <v>1</v>
      </c>
      <c r="AG710" s="117">
        <f t="shared" si="572"/>
        <v>1</v>
      </c>
      <c r="AH710" s="117">
        <f t="shared" si="573"/>
        <v>0</v>
      </c>
      <c r="AI710" s="117">
        <f t="shared" si="574"/>
        <v>0</v>
      </c>
      <c r="AJ710" s="117">
        <f t="shared" si="575"/>
        <v>0</v>
      </c>
    </row>
    <row r="711" spans="2:36" ht="16.5" customHeight="1">
      <c r="B711" s="15"/>
      <c r="C711" s="15"/>
      <c r="D711" s="4"/>
      <c r="E711" s="4" t="s">
        <v>189</v>
      </c>
      <c r="F711" s="5">
        <v>3</v>
      </c>
      <c r="G711" s="6">
        <v>0</v>
      </c>
      <c r="H711" s="7" t="s">
        <v>224</v>
      </c>
      <c r="I711" s="7"/>
      <c r="J711" s="4"/>
      <c r="K711" s="4" t="s">
        <v>216</v>
      </c>
      <c r="L711" s="5">
        <v>1</v>
      </c>
      <c r="M711" s="6">
        <v>1</v>
      </c>
      <c r="N711" s="7" t="str">
        <f t="shared" si="559"/>
        <v/>
      </c>
      <c r="O711" s="7"/>
      <c r="P711" s="39"/>
      <c r="Q711" s="38"/>
      <c r="T711" s="121" t="str">
        <f t="shared" si="560"/>
        <v/>
      </c>
      <c r="U711" s="118">
        <f t="shared" si="561"/>
        <v>0</v>
      </c>
      <c r="V711" s="117">
        <f t="shared" si="562"/>
        <v>0</v>
      </c>
      <c r="W711" s="117">
        <f t="shared" si="563"/>
        <v>1</v>
      </c>
      <c r="X711" s="117">
        <f t="shared" si="564"/>
        <v>3</v>
      </c>
      <c r="Y711" s="117">
        <f t="shared" si="565"/>
        <v>0</v>
      </c>
      <c r="Z711" s="117">
        <f t="shared" si="566"/>
        <v>0</v>
      </c>
      <c r="AA711" s="117">
        <f t="shared" si="567"/>
        <v>0</v>
      </c>
      <c r="AC711" s="121" t="str">
        <f t="shared" si="568"/>
        <v/>
      </c>
      <c r="AD711" s="118">
        <f t="shared" si="569"/>
        <v>0</v>
      </c>
      <c r="AE711" s="117">
        <f t="shared" si="570"/>
        <v>0</v>
      </c>
      <c r="AF711" s="117">
        <f t="shared" si="571"/>
        <v>0</v>
      </c>
      <c r="AG711" s="117">
        <f t="shared" si="572"/>
        <v>0</v>
      </c>
      <c r="AH711" s="117">
        <f t="shared" si="573"/>
        <v>3</v>
      </c>
      <c r="AI711" s="117">
        <f t="shared" si="574"/>
        <v>1</v>
      </c>
      <c r="AJ711" s="117">
        <f t="shared" si="575"/>
        <v>0</v>
      </c>
    </row>
    <row r="712" spans="2:36" ht="16.5" customHeight="1">
      <c r="B712" s="15"/>
      <c r="C712" s="15"/>
      <c r="D712" s="8"/>
      <c r="E712" s="9" t="s">
        <v>190</v>
      </c>
      <c r="F712" s="5">
        <v>1</v>
      </c>
      <c r="G712" s="6">
        <v>1</v>
      </c>
      <c r="H712" s="7" t="s">
        <v>224</v>
      </c>
      <c r="I712" s="10"/>
      <c r="J712" s="8"/>
      <c r="K712" s="9" t="s">
        <v>217</v>
      </c>
      <c r="L712" s="5">
        <v>1</v>
      </c>
      <c r="M712" s="6">
        <v>1</v>
      </c>
      <c r="N712" s="7" t="str">
        <f t="shared" si="559"/>
        <v/>
      </c>
      <c r="O712" s="10"/>
      <c r="P712" s="39"/>
      <c r="Q712" s="38"/>
      <c r="T712" s="121" t="str">
        <f t="shared" si="560"/>
        <v/>
      </c>
      <c r="U712" s="118">
        <f t="shared" si="561"/>
        <v>0</v>
      </c>
      <c r="V712" s="117">
        <f t="shared" si="562"/>
        <v>0</v>
      </c>
      <c r="W712" s="117">
        <f t="shared" si="563"/>
        <v>0</v>
      </c>
      <c r="X712" s="117">
        <f t="shared" si="564"/>
        <v>0</v>
      </c>
      <c r="Y712" s="117">
        <f t="shared" si="565"/>
        <v>3</v>
      </c>
      <c r="Z712" s="117">
        <f t="shared" si="566"/>
        <v>1</v>
      </c>
      <c r="AA712" s="117">
        <f t="shared" si="567"/>
        <v>0</v>
      </c>
      <c r="AC712" s="121" t="str">
        <f t="shared" si="568"/>
        <v/>
      </c>
      <c r="AD712" s="118">
        <f t="shared" si="569"/>
        <v>0</v>
      </c>
      <c r="AE712" s="117">
        <f t="shared" si="570"/>
        <v>0</v>
      </c>
      <c r="AF712" s="117">
        <f t="shared" si="571"/>
        <v>0</v>
      </c>
      <c r="AG712" s="117">
        <f t="shared" si="572"/>
        <v>0</v>
      </c>
      <c r="AH712" s="117">
        <f t="shared" si="573"/>
        <v>3</v>
      </c>
      <c r="AI712" s="117">
        <f t="shared" si="574"/>
        <v>1</v>
      </c>
      <c r="AJ712" s="117">
        <f t="shared" si="575"/>
        <v>0</v>
      </c>
    </row>
    <row r="713" spans="2:36" ht="16.5" customHeight="1">
      <c r="B713" s="15"/>
      <c r="C713" s="15"/>
      <c r="D713" s="4"/>
      <c r="E713" s="4" t="s">
        <v>191</v>
      </c>
      <c r="F713" s="5">
        <v>1</v>
      </c>
      <c r="G713" s="6">
        <v>0</v>
      </c>
      <c r="H713" s="7" t="s">
        <v>224</v>
      </c>
      <c r="I713" s="7"/>
      <c r="J713" s="4"/>
      <c r="K713" s="4" t="s">
        <v>218</v>
      </c>
      <c r="L713" s="5">
        <v>0</v>
      </c>
      <c r="M713" s="6">
        <v>0</v>
      </c>
      <c r="N713" s="7" t="str">
        <f t="shared" si="559"/>
        <v/>
      </c>
      <c r="O713" s="7"/>
      <c r="P713" s="39"/>
      <c r="Q713" s="38"/>
      <c r="T713" s="121" t="str">
        <f t="shared" si="560"/>
        <v/>
      </c>
      <c r="U713" s="118">
        <f t="shared" si="561"/>
        <v>0</v>
      </c>
      <c r="V713" s="117">
        <f t="shared" si="562"/>
        <v>0</v>
      </c>
      <c r="W713" s="117">
        <f t="shared" si="563"/>
        <v>1</v>
      </c>
      <c r="X713" s="117">
        <f t="shared" si="564"/>
        <v>1</v>
      </c>
      <c r="Y713" s="117">
        <f t="shared" si="565"/>
        <v>0</v>
      </c>
      <c r="Z713" s="117">
        <f t="shared" si="566"/>
        <v>0</v>
      </c>
      <c r="AA713" s="117">
        <f t="shared" si="567"/>
        <v>0</v>
      </c>
      <c r="AC713" s="121" t="str">
        <f t="shared" si="568"/>
        <v/>
      </c>
      <c r="AD713" s="118">
        <f t="shared" si="569"/>
        <v>0</v>
      </c>
      <c r="AE713" s="117">
        <f t="shared" si="570"/>
        <v>0</v>
      </c>
      <c r="AF713" s="117">
        <f t="shared" si="571"/>
        <v>0</v>
      </c>
      <c r="AG713" s="117">
        <f t="shared" si="572"/>
        <v>0</v>
      </c>
      <c r="AH713" s="117">
        <f t="shared" si="573"/>
        <v>3</v>
      </c>
      <c r="AI713" s="117">
        <f t="shared" si="574"/>
        <v>1</v>
      </c>
      <c r="AJ713" s="117">
        <f t="shared" si="575"/>
        <v>1</v>
      </c>
    </row>
    <row r="714" spans="2:36" ht="16.5" customHeight="1">
      <c r="B714" s="15"/>
      <c r="C714" s="15"/>
      <c r="D714" s="8"/>
      <c r="E714" s="9" t="s">
        <v>192</v>
      </c>
      <c r="F714" s="5">
        <v>2</v>
      </c>
      <c r="G714" s="6">
        <v>1</v>
      </c>
      <c r="H714" s="7" t="s">
        <v>224</v>
      </c>
      <c r="I714" s="10"/>
      <c r="J714" s="8"/>
      <c r="K714" s="9" t="s">
        <v>219</v>
      </c>
      <c r="L714" s="5">
        <v>1</v>
      </c>
      <c r="M714" s="6">
        <v>1</v>
      </c>
      <c r="N714" s="7" t="str">
        <f t="shared" si="559"/>
        <v/>
      </c>
      <c r="O714" s="10"/>
      <c r="P714" s="39"/>
      <c r="Q714" s="38"/>
      <c r="T714" s="121" t="str">
        <f t="shared" si="560"/>
        <v/>
      </c>
      <c r="U714" s="118">
        <f t="shared" si="561"/>
        <v>0</v>
      </c>
      <c r="V714" s="117">
        <f t="shared" si="562"/>
        <v>0</v>
      </c>
      <c r="W714" s="117">
        <f t="shared" si="563"/>
        <v>1</v>
      </c>
      <c r="X714" s="117">
        <f t="shared" si="564"/>
        <v>1</v>
      </c>
      <c r="Y714" s="117">
        <f t="shared" si="565"/>
        <v>0</v>
      </c>
      <c r="Z714" s="117">
        <f t="shared" si="566"/>
        <v>0</v>
      </c>
      <c r="AA714" s="117">
        <f t="shared" si="567"/>
        <v>0</v>
      </c>
      <c r="AC714" s="121" t="str">
        <f t="shared" si="568"/>
        <v/>
      </c>
      <c r="AD714" s="118">
        <f t="shared" si="569"/>
        <v>0</v>
      </c>
      <c r="AE714" s="117">
        <f t="shared" si="570"/>
        <v>0</v>
      </c>
      <c r="AF714" s="117">
        <f t="shared" si="571"/>
        <v>0</v>
      </c>
      <c r="AG714" s="117">
        <f t="shared" si="572"/>
        <v>0</v>
      </c>
      <c r="AH714" s="117">
        <f t="shared" si="573"/>
        <v>3</v>
      </c>
      <c r="AI714" s="117">
        <f t="shared" si="574"/>
        <v>1</v>
      </c>
      <c r="AJ714" s="117">
        <f t="shared" si="575"/>
        <v>0</v>
      </c>
    </row>
    <row r="715" spans="2:36" ht="16.5" customHeight="1">
      <c r="B715" s="15"/>
      <c r="C715" s="15"/>
      <c r="D715" s="4"/>
      <c r="E715" s="4" t="s">
        <v>193</v>
      </c>
      <c r="F715" s="5">
        <v>1</v>
      </c>
      <c r="G715" s="6">
        <v>0</v>
      </c>
      <c r="H715" s="7" t="s">
        <v>224</v>
      </c>
      <c r="I715" s="7"/>
      <c r="J715" s="4"/>
      <c r="K715" s="4" t="s">
        <v>220</v>
      </c>
      <c r="L715" s="5">
        <v>1</v>
      </c>
      <c r="M715" s="6">
        <v>1</v>
      </c>
      <c r="N715" s="7" t="str">
        <f t="shared" si="559"/>
        <v/>
      </c>
      <c r="O715" s="7"/>
      <c r="P715" s="39"/>
      <c r="Q715" s="38"/>
      <c r="T715" s="121" t="str">
        <f t="shared" si="560"/>
        <v/>
      </c>
      <c r="U715" s="118">
        <f t="shared" si="561"/>
        <v>0</v>
      </c>
      <c r="V715" s="117">
        <f t="shared" si="562"/>
        <v>0</v>
      </c>
      <c r="W715" s="117">
        <f t="shared" si="563"/>
        <v>1</v>
      </c>
      <c r="X715" s="117">
        <f t="shared" si="564"/>
        <v>1</v>
      </c>
      <c r="Y715" s="117">
        <f t="shared" si="565"/>
        <v>0</v>
      </c>
      <c r="Z715" s="117">
        <f t="shared" si="566"/>
        <v>0</v>
      </c>
      <c r="AA715" s="117">
        <f t="shared" si="567"/>
        <v>0</v>
      </c>
      <c r="AC715" s="121" t="str">
        <f t="shared" si="568"/>
        <v/>
      </c>
      <c r="AD715" s="118">
        <f t="shared" si="569"/>
        <v>0</v>
      </c>
      <c r="AE715" s="117">
        <f t="shared" si="570"/>
        <v>0</v>
      </c>
      <c r="AF715" s="117">
        <f t="shared" si="571"/>
        <v>0</v>
      </c>
      <c r="AG715" s="117">
        <f t="shared" si="572"/>
        <v>0</v>
      </c>
      <c r="AH715" s="117">
        <f t="shared" si="573"/>
        <v>3</v>
      </c>
      <c r="AI715" s="117">
        <f t="shared" si="574"/>
        <v>1</v>
      </c>
      <c r="AJ715" s="117">
        <f t="shared" si="575"/>
        <v>0</v>
      </c>
    </row>
    <row r="716" spans="2:36" ht="16.5" customHeight="1">
      <c r="B716" s="15"/>
      <c r="C716" s="15"/>
      <c r="D716" s="8"/>
      <c r="E716" s="9" t="s">
        <v>194</v>
      </c>
      <c r="F716" s="5">
        <v>2</v>
      </c>
      <c r="G716" s="6">
        <v>1</v>
      </c>
      <c r="H716" s="7" t="s">
        <v>224</v>
      </c>
      <c r="I716" s="10"/>
      <c r="J716" s="8"/>
      <c r="K716" s="9" t="s">
        <v>221</v>
      </c>
      <c r="L716" s="5">
        <v>0</v>
      </c>
      <c r="M716" s="6">
        <v>0</v>
      </c>
      <c r="N716" s="7" t="str">
        <f t="shared" si="559"/>
        <v/>
      </c>
      <c r="O716" s="10"/>
      <c r="P716" s="39"/>
      <c r="Q716" s="38"/>
      <c r="T716" s="121" t="str">
        <f t="shared" si="560"/>
        <v/>
      </c>
      <c r="U716" s="118">
        <f t="shared" si="561"/>
        <v>0</v>
      </c>
      <c r="V716" s="117">
        <f t="shared" si="562"/>
        <v>0</v>
      </c>
      <c r="W716" s="117">
        <f t="shared" si="563"/>
        <v>1</v>
      </c>
      <c r="X716" s="117">
        <f t="shared" si="564"/>
        <v>1</v>
      </c>
      <c r="Y716" s="117">
        <f t="shared" si="565"/>
        <v>0</v>
      </c>
      <c r="Z716" s="117">
        <f t="shared" si="566"/>
        <v>0</v>
      </c>
      <c r="AA716" s="117">
        <f t="shared" si="567"/>
        <v>0</v>
      </c>
      <c r="AC716" s="121" t="str">
        <f t="shared" si="568"/>
        <v/>
      </c>
      <c r="AD716" s="118">
        <f t="shared" si="569"/>
        <v>0</v>
      </c>
      <c r="AE716" s="117">
        <f t="shared" si="570"/>
        <v>0</v>
      </c>
      <c r="AF716" s="117">
        <f t="shared" si="571"/>
        <v>0</v>
      </c>
      <c r="AG716" s="117">
        <f t="shared" si="572"/>
        <v>0</v>
      </c>
      <c r="AH716" s="117">
        <f t="shared" si="573"/>
        <v>3</v>
      </c>
      <c r="AI716" s="117">
        <f t="shared" si="574"/>
        <v>1</v>
      </c>
      <c r="AJ716" s="117">
        <f t="shared" si="575"/>
        <v>1</v>
      </c>
    </row>
    <row r="717" spans="2:36" ht="16.5" customHeight="1">
      <c r="K717" s="3"/>
    </row>
    <row r="718" spans="2:36" ht="23.25">
      <c r="B718" s="33" t="s">
        <v>139</v>
      </c>
      <c r="D718" s="52"/>
      <c r="E718" s="55" t="s">
        <v>90</v>
      </c>
      <c r="F718" s="56"/>
      <c r="G718" s="57"/>
      <c r="H718" s="57"/>
      <c r="I718" s="56"/>
      <c r="J718" s="82"/>
      <c r="K718" s="82" t="s">
        <v>91</v>
      </c>
      <c r="M718" s="87"/>
      <c r="N718" s="88"/>
      <c r="O718" s="88"/>
      <c r="P718" s="89"/>
      <c r="Q718" s="88"/>
      <c r="R718" s="88"/>
    </row>
    <row r="720" spans="2:36" ht="16.5" customHeight="1">
      <c r="B720" s="12"/>
      <c r="C720" s="12" t="s">
        <v>7</v>
      </c>
      <c r="D720" s="4"/>
      <c r="E720" s="4" t="s">
        <v>32</v>
      </c>
      <c r="F720" s="5">
        <v>0</v>
      </c>
      <c r="G720" s="6">
        <v>2</v>
      </c>
      <c r="H720" s="7" t="s">
        <v>224</v>
      </c>
      <c r="I720" s="7"/>
      <c r="J720" s="4"/>
      <c r="K720" s="4" t="s">
        <v>195</v>
      </c>
      <c r="L720" s="5">
        <v>1</v>
      </c>
      <c r="M720" s="6">
        <v>2</v>
      </c>
      <c r="N720" s="7" t="str">
        <f>AC720</f>
        <v/>
      </c>
      <c r="O720" s="7"/>
      <c r="P720" s="24" t="s">
        <v>13</v>
      </c>
      <c r="Q720" s="13"/>
      <c r="T720" s="121" t="str">
        <f>IF($G$718="","",SUM(Y720:AA720))</f>
        <v/>
      </c>
      <c r="U720" s="118">
        <f t="shared" ref="U720" si="576">IF(V720&gt;0,1,IF(V720=0,0,2))</f>
        <v>0</v>
      </c>
      <c r="V720" s="117">
        <f>$G$718-$H$718</f>
        <v>0</v>
      </c>
      <c r="W720" s="117">
        <f t="shared" ref="W720" si="577">IF(X720&gt;0,1,IF(X720=0,0,2))</f>
        <v>2</v>
      </c>
      <c r="X720" s="117">
        <f>F720-G720</f>
        <v>-2</v>
      </c>
      <c r="Y720" s="117">
        <f t="shared" ref="Y720" si="578">IF(U720=W720,3,0)</f>
        <v>0</v>
      </c>
      <c r="Z720" s="117">
        <f t="shared" ref="Z720" si="579">IF(V720=X720,1,0)</f>
        <v>0</v>
      </c>
      <c r="AA720" s="117">
        <f>IF(Z720=1,IF($G$718=F720,1,0),0)</f>
        <v>0</v>
      </c>
      <c r="AC720" s="121" t="str">
        <f>IF($G$718="","",SUM(AH720:AJ720))</f>
        <v/>
      </c>
      <c r="AD720" s="118">
        <f t="shared" ref="AD720" si="580">IF(AE720&gt;0,1,IF(AE720=0,0,2))</f>
        <v>0</v>
      </c>
      <c r="AE720" s="117">
        <f>$G$718-$H$718</f>
        <v>0</v>
      </c>
      <c r="AF720" s="117">
        <f t="shared" ref="AF720" si="581">IF(AG720&gt;0,1,IF(AG720=0,0,2))</f>
        <v>2</v>
      </c>
      <c r="AG720" s="117">
        <f>L720-M720</f>
        <v>-1</v>
      </c>
      <c r="AH720" s="117">
        <f t="shared" ref="AH720" si="582">IF(AD720=AF720,3,0)</f>
        <v>0</v>
      </c>
      <c r="AI720" s="117">
        <f t="shared" ref="AI720" si="583">IF(AE720=AG720,1,0)</f>
        <v>0</v>
      </c>
      <c r="AJ720" s="117">
        <f>IF(AI720=1,IF($G$718=L720,1,0),0)</f>
        <v>0</v>
      </c>
    </row>
    <row r="721" spans="2:36" ht="16.5" customHeight="1">
      <c r="B721" s="12"/>
      <c r="C721" s="12"/>
      <c r="D721" s="8"/>
      <c r="E721" s="9" t="s">
        <v>170</v>
      </c>
      <c r="F721" s="5">
        <v>0</v>
      </c>
      <c r="G721" s="6">
        <v>2</v>
      </c>
      <c r="H721" s="7" t="s">
        <v>224</v>
      </c>
      <c r="I721" s="10"/>
      <c r="J721" s="8"/>
      <c r="K721" s="9" t="s">
        <v>196</v>
      </c>
      <c r="L721" s="5">
        <v>0</v>
      </c>
      <c r="M721" s="6">
        <v>2</v>
      </c>
      <c r="N721" s="7" t="str">
        <f t="shared" ref="N721:N747" si="584">AC721</f>
        <v/>
      </c>
      <c r="O721" s="10"/>
      <c r="P721" s="24"/>
      <c r="Q721" s="13"/>
      <c r="T721" s="121" t="str">
        <f t="shared" ref="T721:T747" si="585">IF($G$718="","",SUM(Y721:AA721))</f>
        <v/>
      </c>
      <c r="U721" s="118">
        <f t="shared" ref="U721:U747" si="586">IF(V721&gt;0,1,IF(V721=0,0,2))</f>
        <v>0</v>
      </c>
      <c r="V721" s="117">
        <f t="shared" ref="V721:V747" si="587">$G$718-$H$718</f>
        <v>0</v>
      </c>
      <c r="W721" s="117">
        <f t="shared" ref="W721:W747" si="588">IF(X721&gt;0,1,IF(X721=0,0,2))</f>
        <v>2</v>
      </c>
      <c r="X721" s="117">
        <f t="shared" ref="X721:X747" si="589">F721-G721</f>
        <v>-2</v>
      </c>
      <c r="Y721" s="117">
        <f t="shared" ref="Y721:Y747" si="590">IF(U721=W721,3,0)</f>
        <v>0</v>
      </c>
      <c r="Z721" s="117">
        <f t="shared" ref="Z721:Z747" si="591">IF(V721=X721,1,0)</f>
        <v>0</v>
      </c>
      <c r="AA721" s="117">
        <f t="shared" ref="AA721:AA747" si="592">IF(Z721=1,IF($G$718=F721,1,0),0)</f>
        <v>0</v>
      </c>
      <c r="AC721" s="121" t="str">
        <f t="shared" ref="AC721:AC747" si="593">IF($G$718="","",SUM(AH721:AJ721))</f>
        <v/>
      </c>
      <c r="AD721" s="118">
        <f t="shared" ref="AD721:AD747" si="594">IF(AE721&gt;0,1,IF(AE721=0,0,2))</f>
        <v>0</v>
      </c>
      <c r="AE721" s="117">
        <f t="shared" ref="AE721:AE747" si="595">$G$718-$H$718</f>
        <v>0</v>
      </c>
      <c r="AF721" s="117">
        <f t="shared" ref="AF721:AF747" si="596">IF(AG721&gt;0,1,IF(AG721=0,0,2))</f>
        <v>2</v>
      </c>
      <c r="AG721" s="117">
        <f t="shared" ref="AG721:AG747" si="597">L721-M721</f>
        <v>-2</v>
      </c>
      <c r="AH721" s="117">
        <f t="shared" ref="AH721:AH747" si="598">IF(AD721=AF721,3,0)</f>
        <v>0</v>
      </c>
      <c r="AI721" s="117">
        <f t="shared" ref="AI721:AI747" si="599">IF(AE721=AG721,1,0)</f>
        <v>0</v>
      </c>
      <c r="AJ721" s="117">
        <f t="shared" ref="AJ721:AJ747" si="600">IF(AI721=1,IF($G$718=L721,1,0),0)</f>
        <v>0</v>
      </c>
    </row>
    <row r="722" spans="2:36" ht="16.5" customHeight="1">
      <c r="B722" s="12"/>
      <c r="C722" s="12"/>
      <c r="D722" s="4"/>
      <c r="E722" s="4" t="s">
        <v>171</v>
      </c>
      <c r="F722" s="5">
        <v>1</v>
      </c>
      <c r="G722" s="6">
        <v>4</v>
      </c>
      <c r="H722" s="7" t="s">
        <v>224</v>
      </c>
      <c r="I722" s="7"/>
      <c r="J722" s="4"/>
      <c r="K722" s="4" t="s">
        <v>197</v>
      </c>
      <c r="L722" s="5">
        <v>0</v>
      </c>
      <c r="M722" s="6">
        <v>3</v>
      </c>
      <c r="N722" s="7" t="str">
        <f t="shared" si="584"/>
        <v/>
      </c>
      <c r="O722" s="7"/>
      <c r="P722" s="24"/>
      <c r="Q722" s="13"/>
      <c r="T722" s="121" t="str">
        <f t="shared" si="585"/>
        <v/>
      </c>
      <c r="U722" s="118">
        <f t="shared" si="586"/>
        <v>0</v>
      </c>
      <c r="V722" s="117">
        <f t="shared" si="587"/>
        <v>0</v>
      </c>
      <c r="W722" s="117">
        <f t="shared" si="588"/>
        <v>2</v>
      </c>
      <c r="X722" s="117">
        <f t="shared" si="589"/>
        <v>-3</v>
      </c>
      <c r="Y722" s="117">
        <f t="shared" si="590"/>
        <v>0</v>
      </c>
      <c r="Z722" s="117">
        <f t="shared" si="591"/>
        <v>0</v>
      </c>
      <c r="AA722" s="117">
        <f t="shared" si="592"/>
        <v>0</v>
      </c>
      <c r="AC722" s="121" t="str">
        <f t="shared" si="593"/>
        <v/>
      </c>
      <c r="AD722" s="118">
        <f t="shared" si="594"/>
        <v>0</v>
      </c>
      <c r="AE722" s="117">
        <f t="shared" si="595"/>
        <v>0</v>
      </c>
      <c r="AF722" s="117">
        <f t="shared" si="596"/>
        <v>2</v>
      </c>
      <c r="AG722" s="117">
        <f t="shared" si="597"/>
        <v>-3</v>
      </c>
      <c r="AH722" s="117">
        <f t="shared" si="598"/>
        <v>0</v>
      </c>
      <c r="AI722" s="117">
        <f t="shared" si="599"/>
        <v>0</v>
      </c>
      <c r="AJ722" s="117">
        <f t="shared" si="600"/>
        <v>0</v>
      </c>
    </row>
    <row r="723" spans="2:36" ht="16.5" customHeight="1">
      <c r="B723" s="12"/>
      <c r="C723" s="12"/>
      <c r="D723" s="8"/>
      <c r="E723" s="9" t="s">
        <v>172</v>
      </c>
      <c r="F723" s="5">
        <v>0</v>
      </c>
      <c r="G723" s="6">
        <v>1</v>
      </c>
      <c r="H723" s="7" t="s">
        <v>224</v>
      </c>
      <c r="I723" s="10"/>
      <c r="J723" s="8"/>
      <c r="K723" s="9" t="s">
        <v>198</v>
      </c>
      <c r="L723" s="5">
        <v>0</v>
      </c>
      <c r="M723" s="6">
        <v>1</v>
      </c>
      <c r="N723" s="7" t="str">
        <f t="shared" si="584"/>
        <v/>
      </c>
      <c r="O723" s="10"/>
      <c r="P723" s="24"/>
      <c r="Q723" s="13"/>
      <c r="T723" s="121" t="str">
        <f t="shared" si="585"/>
        <v/>
      </c>
      <c r="U723" s="118">
        <f t="shared" si="586"/>
        <v>0</v>
      </c>
      <c r="V723" s="117">
        <f t="shared" si="587"/>
        <v>0</v>
      </c>
      <c r="W723" s="117">
        <f t="shared" si="588"/>
        <v>2</v>
      </c>
      <c r="X723" s="117">
        <f t="shared" si="589"/>
        <v>-1</v>
      </c>
      <c r="Y723" s="117">
        <f t="shared" si="590"/>
        <v>0</v>
      </c>
      <c r="Z723" s="117">
        <f t="shared" si="591"/>
        <v>0</v>
      </c>
      <c r="AA723" s="117">
        <f t="shared" si="592"/>
        <v>0</v>
      </c>
      <c r="AC723" s="121" t="str">
        <f t="shared" si="593"/>
        <v/>
      </c>
      <c r="AD723" s="118">
        <f t="shared" si="594"/>
        <v>0</v>
      </c>
      <c r="AE723" s="117">
        <f t="shared" si="595"/>
        <v>0</v>
      </c>
      <c r="AF723" s="117">
        <f t="shared" si="596"/>
        <v>2</v>
      </c>
      <c r="AG723" s="117">
        <f t="shared" si="597"/>
        <v>-1</v>
      </c>
      <c r="AH723" s="117">
        <f t="shared" si="598"/>
        <v>0</v>
      </c>
      <c r="AI723" s="117">
        <f t="shared" si="599"/>
        <v>0</v>
      </c>
      <c r="AJ723" s="117">
        <f t="shared" si="600"/>
        <v>0</v>
      </c>
    </row>
    <row r="724" spans="2:36" ht="16.5" customHeight="1">
      <c r="B724" s="12"/>
      <c r="C724" s="12"/>
      <c r="D724" s="4"/>
      <c r="E724" s="4" t="s">
        <v>173</v>
      </c>
      <c r="F724" s="5">
        <v>0</v>
      </c>
      <c r="G724" s="6">
        <v>2</v>
      </c>
      <c r="H724" s="7" t="s">
        <v>224</v>
      </c>
      <c r="I724" s="7"/>
      <c r="J724" s="4"/>
      <c r="K724" s="4" t="s">
        <v>199</v>
      </c>
      <c r="L724" s="5">
        <v>0</v>
      </c>
      <c r="M724" s="6">
        <v>2</v>
      </c>
      <c r="N724" s="7" t="str">
        <f t="shared" si="584"/>
        <v/>
      </c>
      <c r="O724" s="7"/>
      <c r="P724" s="24"/>
      <c r="Q724" s="13"/>
      <c r="T724" s="121" t="str">
        <f t="shared" si="585"/>
        <v/>
      </c>
      <c r="U724" s="118">
        <f t="shared" si="586"/>
        <v>0</v>
      </c>
      <c r="V724" s="117">
        <f t="shared" si="587"/>
        <v>0</v>
      </c>
      <c r="W724" s="117">
        <f t="shared" si="588"/>
        <v>2</v>
      </c>
      <c r="X724" s="117">
        <f t="shared" si="589"/>
        <v>-2</v>
      </c>
      <c r="Y724" s="117">
        <f t="shared" si="590"/>
        <v>0</v>
      </c>
      <c r="Z724" s="117">
        <f t="shared" si="591"/>
        <v>0</v>
      </c>
      <c r="AA724" s="117">
        <f t="shared" si="592"/>
        <v>0</v>
      </c>
      <c r="AC724" s="121" t="str">
        <f t="shared" si="593"/>
        <v/>
      </c>
      <c r="AD724" s="118">
        <f t="shared" si="594"/>
        <v>0</v>
      </c>
      <c r="AE724" s="117">
        <f t="shared" si="595"/>
        <v>0</v>
      </c>
      <c r="AF724" s="117">
        <f t="shared" si="596"/>
        <v>2</v>
      </c>
      <c r="AG724" s="117">
        <f t="shared" si="597"/>
        <v>-2</v>
      </c>
      <c r="AH724" s="117">
        <f t="shared" si="598"/>
        <v>0</v>
      </c>
      <c r="AI724" s="117">
        <f t="shared" si="599"/>
        <v>0</v>
      </c>
      <c r="AJ724" s="117">
        <f t="shared" si="600"/>
        <v>0</v>
      </c>
    </row>
    <row r="725" spans="2:36" ht="16.5" customHeight="1">
      <c r="B725" s="12"/>
      <c r="C725" s="12"/>
      <c r="D725" s="8"/>
      <c r="E725" s="9" t="s">
        <v>174</v>
      </c>
      <c r="F725" s="5">
        <v>1</v>
      </c>
      <c r="G725" s="6">
        <v>2</v>
      </c>
      <c r="H725" s="7" t="s">
        <v>224</v>
      </c>
      <c r="I725" s="10"/>
      <c r="J725" s="8"/>
      <c r="K725" s="9" t="s">
        <v>200</v>
      </c>
      <c r="L725" s="5">
        <v>0</v>
      </c>
      <c r="M725" s="6">
        <v>2</v>
      </c>
      <c r="N725" s="7" t="str">
        <f t="shared" si="584"/>
        <v/>
      </c>
      <c r="O725" s="10"/>
      <c r="P725" s="24"/>
      <c r="Q725" s="13"/>
      <c r="T725" s="121" t="str">
        <f t="shared" si="585"/>
        <v/>
      </c>
      <c r="U725" s="118">
        <f t="shared" si="586"/>
        <v>0</v>
      </c>
      <c r="V725" s="117">
        <f t="shared" si="587"/>
        <v>0</v>
      </c>
      <c r="W725" s="117">
        <f t="shared" si="588"/>
        <v>2</v>
      </c>
      <c r="X725" s="117">
        <f t="shared" si="589"/>
        <v>-1</v>
      </c>
      <c r="Y725" s="117">
        <f t="shared" si="590"/>
        <v>0</v>
      </c>
      <c r="Z725" s="117">
        <f t="shared" si="591"/>
        <v>0</v>
      </c>
      <c r="AA725" s="117">
        <f t="shared" si="592"/>
        <v>0</v>
      </c>
      <c r="AC725" s="121" t="str">
        <f t="shared" si="593"/>
        <v/>
      </c>
      <c r="AD725" s="118">
        <f t="shared" si="594"/>
        <v>0</v>
      </c>
      <c r="AE725" s="117">
        <f t="shared" si="595"/>
        <v>0</v>
      </c>
      <c r="AF725" s="117">
        <f t="shared" si="596"/>
        <v>2</v>
      </c>
      <c r="AG725" s="117">
        <f t="shared" si="597"/>
        <v>-2</v>
      </c>
      <c r="AH725" s="117">
        <f t="shared" si="598"/>
        <v>0</v>
      </c>
      <c r="AI725" s="117">
        <f t="shared" si="599"/>
        <v>0</v>
      </c>
      <c r="AJ725" s="117">
        <f t="shared" si="600"/>
        <v>0</v>
      </c>
    </row>
    <row r="726" spans="2:36" ht="16.5" customHeight="1">
      <c r="B726" s="12"/>
      <c r="C726" s="12"/>
      <c r="D726" s="4"/>
      <c r="E726" s="4" t="s">
        <v>175</v>
      </c>
      <c r="F726" s="5">
        <v>0</v>
      </c>
      <c r="G726" s="6">
        <v>3</v>
      </c>
      <c r="H726" s="7" t="s">
        <v>224</v>
      </c>
      <c r="I726" s="7"/>
      <c r="J726" s="4"/>
      <c r="K726" s="4" t="s">
        <v>201</v>
      </c>
      <c r="L726" s="5">
        <v>0</v>
      </c>
      <c r="M726" s="6">
        <v>2</v>
      </c>
      <c r="N726" s="7" t="str">
        <f t="shared" si="584"/>
        <v/>
      </c>
      <c r="O726" s="7"/>
      <c r="P726" s="24"/>
      <c r="Q726" s="13"/>
      <c r="T726" s="121" t="str">
        <f t="shared" si="585"/>
        <v/>
      </c>
      <c r="U726" s="118">
        <f t="shared" si="586"/>
        <v>0</v>
      </c>
      <c r="V726" s="117">
        <f t="shared" si="587"/>
        <v>0</v>
      </c>
      <c r="W726" s="117">
        <f t="shared" si="588"/>
        <v>2</v>
      </c>
      <c r="X726" s="117">
        <f t="shared" si="589"/>
        <v>-3</v>
      </c>
      <c r="Y726" s="117">
        <f t="shared" si="590"/>
        <v>0</v>
      </c>
      <c r="Z726" s="117">
        <f t="shared" si="591"/>
        <v>0</v>
      </c>
      <c r="AA726" s="117">
        <f t="shared" si="592"/>
        <v>0</v>
      </c>
      <c r="AC726" s="121" t="str">
        <f t="shared" si="593"/>
        <v/>
      </c>
      <c r="AD726" s="118">
        <f t="shared" si="594"/>
        <v>0</v>
      </c>
      <c r="AE726" s="117">
        <f t="shared" si="595"/>
        <v>0</v>
      </c>
      <c r="AF726" s="117">
        <f t="shared" si="596"/>
        <v>2</v>
      </c>
      <c r="AG726" s="117">
        <f t="shared" si="597"/>
        <v>-2</v>
      </c>
      <c r="AH726" s="117">
        <f t="shared" si="598"/>
        <v>0</v>
      </c>
      <c r="AI726" s="117">
        <f t="shared" si="599"/>
        <v>0</v>
      </c>
      <c r="AJ726" s="117">
        <f t="shared" si="600"/>
        <v>0</v>
      </c>
    </row>
    <row r="727" spans="2:36" ht="16.5" customHeight="1">
      <c r="B727" s="14"/>
      <c r="C727" s="14" t="s">
        <v>8</v>
      </c>
      <c r="D727" s="8"/>
      <c r="E727" s="9" t="s">
        <v>33</v>
      </c>
      <c r="F727" s="5">
        <v>1</v>
      </c>
      <c r="G727" s="6">
        <v>2</v>
      </c>
      <c r="H727" s="7" t="s">
        <v>224</v>
      </c>
      <c r="I727" s="10"/>
      <c r="J727" s="8"/>
      <c r="K727" s="9" t="s">
        <v>225</v>
      </c>
      <c r="L727" s="5">
        <v>0</v>
      </c>
      <c r="M727" s="6">
        <v>2</v>
      </c>
      <c r="N727" s="7" t="str">
        <f t="shared" si="584"/>
        <v/>
      </c>
      <c r="O727" s="10"/>
      <c r="P727" s="31" t="s">
        <v>16</v>
      </c>
      <c r="Q727" s="30"/>
      <c r="T727" s="121" t="str">
        <f t="shared" si="585"/>
        <v/>
      </c>
      <c r="U727" s="118">
        <f t="shared" si="586"/>
        <v>0</v>
      </c>
      <c r="V727" s="117">
        <f t="shared" si="587"/>
        <v>0</v>
      </c>
      <c r="W727" s="117">
        <f t="shared" si="588"/>
        <v>2</v>
      </c>
      <c r="X727" s="117">
        <f t="shared" si="589"/>
        <v>-1</v>
      </c>
      <c r="Y727" s="117">
        <f t="shared" si="590"/>
        <v>0</v>
      </c>
      <c r="Z727" s="117">
        <f t="shared" si="591"/>
        <v>0</v>
      </c>
      <c r="AA727" s="117">
        <f t="shared" si="592"/>
        <v>0</v>
      </c>
      <c r="AC727" s="121" t="str">
        <f t="shared" si="593"/>
        <v/>
      </c>
      <c r="AD727" s="118">
        <f t="shared" si="594"/>
        <v>0</v>
      </c>
      <c r="AE727" s="117">
        <f t="shared" si="595"/>
        <v>0</v>
      </c>
      <c r="AF727" s="117">
        <f t="shared" si="596"/>
        <v>2</v>
      </c>
      <c r="AG727" s="117">
        <f t="shared" si="597"/>
        <v>-2</v>
      </c>
      <c r="AH727" s="117">
        <f t="shared" si="598"/>
        <v>0</v>
      </c>
      <c r="AI727" s="117">
        <f t="shared" si="599"/>
        <v>0</v>
      </c>
      <c r="AJ727" s="117">
        <f t="shared" si="600"/>
        <v>0</v>
      </c>
    </row>
    <row r="728" spans="2:36" ht="16.5" customHeight="1">
      <c r="B728" s="14"/>
      <c r="C728" s="14"/>
      <c r="D728" s="4"/>
      <c r="E728" s="4" t="s">
        <v>176</v>
      </c>
      <c r="F728" s="5">
        <v>0</v>
      </c>
      <c r="G728" s="6">
        <v>2</v>
      </c>
      <c r="H728" s="7" t="s">
        <v>224</v>
      </c>
      <c r="I728" s="7"/>
      <c r="J728" s="4"/>
      <c r="K728" s="4" t="s">
        <v>203</v>
      </c>
      <c r="L728" s="5">
        <v>0</v>
      </c>
      <c r="M728" s="6">
        <v>3</v>
      </c>
      <c r="N728" s="7" t="str">
        <f t="shared" si="584"/>
        <v/>
      </c>
      <c r="O728" s="7"/>
      <c r="P728" s="31"/>
      <c r="Q728" s="30"/>
      <c r="T728" s="121" t="str">
        <f t="shared" si="585"/>
        <v/>
      </c>
      <c r="U728" s="118">
        <f t="shared" si="586"/>
        <v>0</v>
      </c>
      <c r="V728" s="117">
        <f t="shared" si="587"/>
        <v>0</v>
      </c>
      <c r="W728" s="117">
        <f t="shared" si="588"/>
        <v>2</v>
      </c>
      <c r="X728" s="117">
        <f t="shared" si="589"/>
        <v>-2</v>
      </c>
      <c r="Y728" s="117">
        <f t="shared" si="590"/>
        <v>0</v>
      </c>
      <c r="Z728" s="117">
        <f t="shared" si="591"/>
        <v>0</v>
      </c>
      <c r="AA728" s="117">
        <f t="shared" si="592"/>
        <v>0</v>
      </c>
      <c r="AC728" s="121" t="str">
        <f t="shared" si="593"/>
        <v/>
      </c>
      <c r="AD728" s="118">
        <f t="shared" si="594"/>
        <v>0</v>
      </c>
      <c r="AE728" s="117">
        <f t="shared" si="595"/>
        <v>0</v>
      </c>
      <c r="AF728" s="117">
        <f t="shared" si="596"/>
        <v>2</v>
      </c>
      <c r="AG728" s="117">
        <f t="shared" si="597"/>
        <v>-3</v>
      </c>
      <c r="AH728" s="117">
        <f t="shared" si="598"/>
        <v>0</v>
      </c>
      <c r="AI728" s="117">
        <f t="shared" si="599"/>
        <v>0</v>
      </c>
      <c r="AJ728" s="117">
        <f t="shared" si="600"/>
        <v>0</v>
      </c>
    </row>
    <row r="729" spans="2:36" ht="16.5" customHeight="1">
      <c r="B729" s="14"/>
      <c r="C729" s="14"/>
      <c r="D729" s="8"/>
      <c r="E729" s="9" t="s">
        <v>177</v>
      </c>
      <c r="F729" s="5">
        <v>0</v>
      </c>
      <c r="G729" s="6">
        <v>2</v>
      </c>
      <c r="H729" s="7" t="s">
        <v>224</v>
      </c>
      <c r="I729" s="10"/>
      <c r="J729" s="8"/>
      <c r="K729" s="9" t="s">
        <v>204</v>
      </c>
      <c r="L729" s="5">
        <v>1</v>
      </c>
      <c r="M729" s="6">
        <v>4</v>
      </c>
      <c r="N729" s="7" t="str">
        <f t="shared" si="584"/>
        <v/>
      </c>
      <c r="O729" s="10"/>
      <c r="P729" s="31"/>
      <c r="Q729" s="30"/>
      <c r="T729" s="121" t="str">
        <f t="shared" si="585"/>
        <v/>
      </c>
      <c r="U729" s="118">
        <f t="shared" si="586"/>
        <v>0</v>
      </c>
      <c r="V729" s="117">
        <f t="shared" si="587"/>
        <v>0</v>
      </c>
      <c r="W729" s="117">
        <f t="shared" si="588"/>
        <v>2</v>
      </c>
      <c r="X729" s="117">
        <f t="shared" si="589"/>
        <v>-2</v>
      </c>
      <c r="Y729" s="117">
        <f t="shared" si="590"/>
        <v>0</v>
      </c>
      <c r="Z729" s="117">
        <f t="shared" si="591"/>
        <v>0</v>
      </c>
      <c r="AA729" s="117">
        <f t="shared" si="592"/>
        <v>0</v>
      </c>
      <c r="AC729" s="121" t="str">
        <f t="shared" si="593"/>
        <v/>
      </c>
      <c r="AD729" s="118">
        <f t="shared" si="594"/>
        <v>0</v>
      </c>
      <c r="AE729" s="117">
        <f t="shared" si="595"/>
        <v>0</v>
      </c>
      <c r="AF729" s="117">
        <f t="shared" si="596"/>
        <v>2</v>
      </c>
      <c r="AG729" s="117">
        <f t="shared" si="597"/>
        <v>-3</v>
      </c>
      <c r="AH729" s="117">
        <f t="shared" si="598"/>
        <v>0</v>
      </c>
      <c r="AI729" s="117">
        <f t="shared" si="599"/>
        <v>0</v>
      </c>
      <c r="AJ729" s="117">
        <f t="shared" si="600"/>
        <v>0</v>
      </c>
    </row>
    <row r="730" spans="2:36" ht="16.5" customHeight="1">
      <c r="B730" s="14"/>
      <c r="C730" s="14"/>
      <c r="D730" s="4"/>
      <c r="E730" s="4" t="s">
        <v>178</v>
      </c>
      <c r="F730" s="5">
        <v>0</v>
      </c>
      <c r="G730" s="6">
        <v>2</v>
      </c>
      <c r="H730" s="7" t="s">
        <v>224</v>
      </c>
      <c r="I730" s="7"/>
      <c r="J730" s="4"/>
      <c r="K730" s="4" t="s">
        <v>223</v>
      </c>
      <c r="L730" s="5">
        <v>0</v>
      </c>
      <c r="M730" s="6">
        <v>1</v>
      </c>
      <c r="N730" s="7" t="str">
        <f t="shared" si="584"/>
        <v/>
      </c>
      <c r="O730" s="7"/>
      <c r="P730" s="31"/>
      <c r="Q730" s="30"/>
      <c r="T730" s="121" t="str">
        <f t="shared" si="585"/>
        <v/>
      </c>
      <c r="U730" s="118">
        <f t="shared" si="586"/>
        <v>0</v>
      </c>
      <c r="V730" s="117">
        <f t="shared" si="587"/>
        <v>0</v>
      </c>
      <c r="W730" s="117">
        <f t="shared" si="588"/>
        <v>2</v>
      </c>
      <c r="X730" s="117">
        <f t="shared" si="589"/>
        <v>-2</v>
      </c>
      <c r="Y730" s="117">
        <f t="shared" si="590"/>
        <v>0</v>
      </c>
      <c r="Z730" s="117">
        <f t="shared" si="591"/>
        <v>0</v>
      </c>
      <c r="AA730" s="117">
        <f t="shared" si="592"/>
        <v>0</v>
      </c>
      <c r="AC730" s="121" t="str">
        <f t="shared" si="593"/>
        <v/>
      </c>
      <c r="AD730" s="118">
        <f t="shared" si="594"/>
        <v>0</v>
      </c>
      <c r="AE730" s="117">
        <f t="shared" si="595"/>
        <v>0</v>
      </c>
      <c r="AF730" s="117">
        <f t="shared" si="596"/>
        <v>2</v>
      </c>
      <c r="AG730" s="117">
        <f t="shared" si="597"/>
        <v>-1</v>
      </c>
      <c r="AH730" s="117">
        <f t="shared" si="598"/>
        <v>0</v>
      </c>
      <c r="AI730" s="117">
        <f t="shared" si="599"/>
        <v>0</v>
      </c>
      <c r="AJ730" s="117">
        <f t="shared" si="600"/>
        <v>0</v>
      </c>
    </row>
    <row r="731" spans="2:36" ht="16.5" customHeight="1">
      <c r="B731" s="14"/>
      <c r="C731" s="14"/>
      <c r="D731" s="8"/>
      <c r="E731" s="9" t="s">
        <v>179</v>
      </c>
      <c r="F731" s="5">
        <v>0</v>
      </c>
      <c r="G731" s="6">
        <v>3</v>
      </c>
      <c r="H731" s="7" t="s">
        <v>224</v>
      </c>
      <c r="I731" s="10"/>
      <c r="J731" s="8"/>
      <c r="K731" s="9" t="s">
        <v>205</v>
      </c>
      <c r="L731" s="5">
        <v>0</v>
      </c>
      <c r="M731" s="6">
        <v>2</v>
      </c>
      <c r="N731" s="7" t="str">
        <f t="shared" si="584"/>
        <v/>
      </c>
      <c r="O731" s="10"/>
      <c r="P731" s="31"/>
      <c r="Q731" s="30"/>
      <c r="T731" s="121" t="str">
        <f t="shared" si="585"/>
        <v/>
      </c>
      <c r="U731" s="118">
        <f t="shared" si="586"/>
        <v>0</v>
      </c>
      <c r="V731" s="117">
        <f t="shared" si="587"/>
        <v>0</v>
      </c>
      <c r="W731" s="117">
        <f t="shared" si="588"/>
        <v>2</v>
      </c>
      <c r="X731" s="117">
        <f t="shared" si="589"/>
        <v>-3</v>
      </c>
      <c r="Y731" s="117">
        <f t="shared" si="590"/>
        <v>0</v>
      </c>
      <c r="Z731" s="117">
        <f t="shared" si="591"/>
        <v>0</v>
      </c>
      <c r="AA731" s="117">
        <f t="shared" si="592"/>
        <v>0</v>
      </c>
      <c r="AC731" s="121" t="str">
        <f t="shared" si="593"/>
        <v/>
      </c>
      <c r="AD731" s="118">
        <f t="shared" si="594"/>
        <v>0</v>
      </c>
      <c r="AE731" s="117">
        <f t="shared" si="595"/>
        <v>0</v>
      </c>
      <c r="AF731" s="117">
        <f t="shared" si="596"/>
        <v>2</v>
      </c>
      <c r="AG731" s="117">
        <f t="shared" si="597"/>
        <v>-2</v>
      </c>
      <c r="AH731" s="117">
        <f t="shared" si="598"/>
        <v>0</v>
      </c>
      <c r="AI731" s="117">
        <f t="shared" si="599"/>
        <v>0</v>
      </c>
      <c r="AJ731" s="117">
        <f t="shared" si="600"/>
        <v>0</v>
      </c>
    </row>
    <row r="732" spans="2:36" ht="16.5" customHeight="1">
      <c r="B732" s="14"/>
      <c r="C732" s="14"/>
      <c r="D732" s="4"/>
      <c r="E732" s="4" t="s">
        <v>180</v>
      </c>
      <c r="F732" s="5">
        <v>1</v>
      </c>
      <c r="G732" s="6">
        <v>2</v>
      </c>
      <c r="H732" s="7" t="s">
        <v>224</v>
      </c>
      <c r="I732" s="7"/>
      <c r="J732" s="4"/>
      <c r="K732" s="4" t="s">
        <v>206</v>
      </c>
      <c r="L732" s="5">
        <v>0</v>
      </c>
      <c r="M732" s="6">
        <v>2</v>
      </c>
      <c r="N732" s="7" t="str">
        <f t="shared" si="584"/>
        <v/>
      </c>
      <c r="O732" s="7"/>
      <c r="P732" s="31"/>
      <c r="Q732" s="30"/>
      <c r="T732" s="121" t="str">
        <f t="shared" si="585"/>
        <v/>
      </c>
      <c r="U732" s="118">
        <f t="shared" si="586"/>
        <v>0</v>
      </c>
      <c r="V732" s="117">
        <f t="shared" si="587"/>
        <v>0</v>
      </c>
      <c r="W732" s="117">
        <f t="shared" si="588"/>
        <v>2</v>
      </c>
      <c r="X732" s="117">
        <f t="shared" si="589"/>
        <v>-1</v>
      </c>
      <c r="Y732" s="117">
        <f t="shared" si="590"/>
        <v>0</v>
      </c>
      <c r="Z732" s="117">
        <f t="shared" si="591"/>
        <v>0</v>
      </c>
      <c r="AA732" s="117">
        <f t="shared" si="592"/>
        <v>0</v>
      </c>
      <c r="AC732" s="121" t="str">
        <f t="shared" si="593"/>
        <v/>
      </c>
      <c r="AD732" s="118">
        <f t="shared" si="594"/>
        <v>0</v>
      </c>
      <c r="AE732" s="117">
        <f t="shared" si="595"/>
        <v>0</v>
      </c>
      <c r="AF732" s="117">
        <f t="shared" si="596"/>
        <v>2</v>
      </c>
      <c r="AG732" s="117">
        <f t="shared" si="597"/>
        <v>-2</v>
      </c>
      <c r="AH732" s="117">
        <f t="shared" si="598"/>
        <v>0</v>
      </c>
      <c r="AI732" s="117">
        <f t="shared" si="599"/>
        <v>0</v>
      </c>
      <c r="AJ732" s="117">
        <f t="shared" si="600"/>
        <v>0</v>
      </c>
    </row>
    <row r="733" spans="2:36" ht="16.5" customHeight="1">
      <c r="B733" s="14"/>
      <c r="C733" s="14"/>
      <c r="D733" s="8"/>
      <c r="E733" s="9" t="s">
        <v>181</v>
      </c>
      <c r="F733" s="5">
        <v>0</v>
      </c>
      <c r="G733" s="6">
        <v>2</v>
      </c>
      <c r="H733" s="7" t="s">
        <v>224</v>
      </c>
      <c r="I733" s="10"/>
      <c r="J733" s="8"/>
      <c r="K733" s="9" t="s">
        <v>207</v>
      </c>
      <c r="L733" s="5">
        <v>1</v>
      </c>
      <c r="M733" s="6">
        <v>2</v>
      </c>
      <c r="N733" s="7" t="str">
        <f t="shared" si="584"/>
        <v/>
      </c>
      <c r="O733" s="10"/>
      <c r="P733" s="31"/>
      <c r="Q733" s="30"/>
      <c r="T733" s="121" t="str">
        <f t="shared" si="585"/>
        <v/>
      </c>
      <c r="U733" s="118">
        <f t="shared" si="586"/>
        <v>0</v>
      </c>
      <c r="V733" s="117">
        <f t="shared" si="587"/>
        <v>0</v>
      </c>
      <c r="W733" s="117">
        <f t="shared" si="588"/>
        <v>2</v>
      </c>
      <c r="X733" s="117">
        <f t="shared" si="589"/>
        <v>-2</v>
      </c>
      <c r="Y733" s="117">
        <f t="shared" si="590"/>
        <v>0</v>
      </c>
      <c r="Z733" s="117">
        <f t="shared" si="591"/>
        <v>0</v>
      </c>
      <c r="AA733" s="117">
        <f t="shared" si="592"/>
        <v>0</v>
      </c>
      <c r="AC733" s="121" t="str">
        <f t="shared" si="593"/>
        <v/>
      </c>
      <c r="AD733" s="118">
        <f t="shared" si="594"/>
        <v>0</v>
      </c>
      <c r="AE733" s="117">
        <f t="shared" si="595"/>
        <v>0</v>
      </c>
      <c r="AF733" s="117">
        <f t="shared" si="596"/>
        <v>2</v>
      </c>
      <c r="AG733" s="117">
        <f t="shared" si="597"/>
        <v>-1</v>
      </c>
      <c r="AH733" s="117">
        <f t="shared" si="598"/>
        <v>0</v>
      </c>
      <c r="AI733" s="117">
        <f t="shared" si="599"/>
        <v>0</v>
      </c>
      <c r="AJ733" s="117">
        <f t="shared" si="600"/>
        <v>0</v>
      </c>
    </row>
    <row r="734" spans="2:36" ht="16.5" customHeight="1">
      <c r="B734" s="11"/>
      <c r="C734" s="11" t="s">
        <v>9</v>
      </c>
      <c r="D734" s="4"/>
      <c r="E734" s="4" t="s">
        <v>182</v>
      </c>
      <c r="F734" s="5">
        <v>0</v>
      </c>
      <c r="G734" s="6">
        <v>1</v>
      </c>
      <c r="H734" s="7" t="s">
        <v>224</v>
      </c>
      <c r="I734" s="7"/>
      <c r="J734" s="4"/>
      <c r="K734" s="4" t="s">
        <v>208</v>
      </c>
      <c r="L734" s="5">
        <v>0</v>
      </c>
      <c r="M734" s="6">
        <v>3</v>
      </c>
      <c r="N734" s="7" t="str">
        <f t="shared" si="584"/>
        <v/>
      </c>
      <c r="O734" s="7"/>
      <c r="P734" s="36" t="s">
        <v>25</v>
      </c>
      <c r="Q734" s="35"/>
      <c r="T734" s="121" t="str">
        <f t="shared" si="585"/>
        <v/>
      </c>
      <c r="U734" s="118">
        <f t="shared" si="586"/>
        <v>0</v>
      </c>
      <c r="V734" s="117">
        <f t="shared" si="587"/>
        <v>0</v>
      </c>
      <c r="W734" s="117">
        <f t="shared" si="588"/>
        <v>2</v>
      </c>
      <c r="X734" s="117">
        <f t="shared" si="589"/>
        <v>-1</v>
      </c>
      <c r="Y734" s="117">
        <f t="shared" si="590"/>
        <v>0</v>
      </c>
      <c r="Z734" s="117">
        <f t="shared" si="591"/>
        <v>0</v>
      </c>
      <c r="AA734" s="117">
        <f t="shared" si="592"/>
        <v>0</v>
      </c>
      <c r="AC734" s="121" t="str">
        <f t="shared" si="593"/>
        <v/>
      </c>
      <c r="AD734" s="118">
        <f t="shared" si="594"/>
        <v>0</v>
      </c>
      <c r="AE734" s="117">
        <f t="shared" si="595"/>
        <v>0</v>
      </c>
      <c r="AF734" s="117">
        <f t="shared" si="596"/>
        <v>2</v>
      </c>
      <c r="AG734" s="117">
        <f t="shared" si="597"/>
        <v>-3</v>
      </c>
      <c r="AH734" s="117">
        <f t="shared" si="598"/>
        <v>0</v>
      </c>
      <c r="AI734" s="117">
        <f t="shared" si="599"/>
        <v>0</v>
      </c>
      <c r="AJ734" s="117">
        <f t="shared" si="600"/>
        <v>0</v>
      </c>
    </row>
    <row r="735" spans="2:36" ht="16.5" customHeight="1">
      <c r="B735" s="11"/>
      <c r="C735" s="11"/>
      <c r="D735" s="8"/>
      <c r="E735" s="9" t="s">
        <v>183</v>
      </c>
      <c r="F735" s="5">
        <v>0</v>
      </c>
      <c r="G735" s="6">
        <v>2</v>
      </c>
      <c r="H735" s="7" t="s">
        <v>224</v>
      </c>
      <c r="I735" s="10"/>
      <c r="J735" s="8"/>
      <c r="K735" s="9" t="s">
        <v>209</v>
      </c>
      <c r="L735" s="5">
        <v>0</v>
      </c>
      <c r="M735" s="6">
        <v>2</v>
      </c>
      <c r="N735" s="7" t="str">
        <f t="shared" si="584"/>
        <v/>
      </c>
      <c r="O735" s="10"/>
      <c r="P735" s="36"/>
      <c r="Q735" s="35"/>
      <c r="T735" s="121" t="str">
        <f t="shared" si="585"/>
        <v/>
      </c>
      <c r="U735" s="118">
        <f t="shared" si="586"/>
        <v>0</v>
      </c>
      <c r="V735" s="117">
        <f t="shared" si="587"/>
        <v>0</v>
      </c>
      <c r="W735" s="117">
        <f t="shared" si="588"/>
        <v>2</v>
      </c>
      <c r="X735" s="117">
        <f t="shared" si="589"/>
        <v>-2</v>
      </c>
      <c r="Y735" s="117">
        <f t="shared" si="590"/>
        <v>0</v>
      </c>
      <c r="Z735" s="117">
        <f t="shared" si="591"/>
        <v>0</v>
      </c>
      <c r="AA735" s="117">
        <f t="shared" si="592"/>
        <v>0</v>
      </c>
      <c r="AC735" s="121" t="str">
        <f t="shared" si="593"/>
        <v/>
      </c>
      <c r="AD735" s="118">
        <f t="shared" si="594"/>
        <v>0</v>
      </c>
      <c r="AE735" s="117">
        <f t="shared" si="595"/>
        <v>0</v>
      </c>
      <c r="AF735" s="117">
        <f t="shared" si="596"/>
        <v>2</v>
      </c>
      <c r="AG735" s="117">
        <f t="shared" si="597"/>
        <v>-2</v>
      </c>
      <c r="AH735" s="117">
        <f t="shared" si="598"/>
        <v>0</v>
      </c>
      <c r="AI735" s="117">
        <f t="shared" si="599"/>
        <v>0</v>
      </c>
      <c r="AJ735" s="117">
        <f t="shared" si="600"/>
        <v>0</v>
      </c>
    </row>
    <row r="736" spans="2:36" ht="16.5" customHeight="1">
      <c r="B736" s="11"/>
      <c r="C736" s="11"/>
      <c r="D736" s="4"/>
      <c r="E736" s="4" t="s">
        <v>184</v>
      </c>
      <c r="F736" s="5">
        <v>0</v>
      </c>
      <c r="G736" s="6">
        <v>2</v>
      </c>
      <c r="H736" s="7" t="s">
        <v>224</v>
      </c>
      <c r="I736" s="7"/>
      <c r="J736" s="4"/>
      <c r="K736" s="4" t="s">
        <v>210</v>
      </c>
      <c r="L736" s="5">
        <v>0</v>
      </c>
      <c r="M736" s="6">
        <v>3</v>
      </c>
      <c r="N736" s="7" t="str">
        <f t="shared" si="584"/>
        <v/>
      </c>
      <c r="O736" s="7"/>
      <c r="P736" s="36"/>
      <c r="Q736" s="35"/>
      <c r="T736" s="121" t="str">
        <f t="shared" si="585"/>
        <v/>
      </c>
      <c r="U736" s="118">
        <f t="shared" si="586"/>
        <v>0</v>
      </c>
      <c r="V736" s="117">
        <f t="shared" si="587"/>
        <v>0</v>
      </c>
      <c r="W736" s="117">
        <f t="shared" si="588"/>
        <v>2</v>
      </c>
      <c r="X736" s="117">
        <f t="shared" si="589"/>
        <v>-2</v>
      </c>
      <c r="Y736" s="117">
        <f t="shared" si="590"/>
        <v>0</v>
      </c>
      <c r="Z736" s="117">
        <f t="shared" si="591"/>
        <v>0</v>
      </c>
      <c r="AA736" s="117">
        <f t="shared" si="592"/>
        <v>0</v>
      </c>
      <c r="AC736" s="121" t="str">
        <f t="shared" si="593"/>
        <v/>
      </c>
      <c r="AD736" s="118">
        <f t="shared" si="594"/>
        <v>0</v>
      </c>
      <c r="AE736" s="117">
        <f t="shared" si="595"/>
        <v>0</v>
      </c>
      <c r="AF736" s="117">
        <f t="shared" si="596"/>
        <v>2</v>
      </c>
      <c r="AG736" s="117">
        <f t="shared" si="597"/>
        <v>-3</v>
      </c>
      <c r="AH736" s="117">
        <f t="shared" si="598"/>
        <v>0</v>
      </c>
      <c r="AI736" s="117">
        <f t="shared" si="599"/>
        <v>0</v>
      </c>
      <c r="AJ736" s="117">
        <f t="shared" si="600"/>
        <v>0</v>
      </c>
    </row>
    <row r="737" spans="2:36" ht="16.5" customHeight="1">
      <c r="B737" s="11"/>
      <c r="C737" s="11"/>
      <c r="D737" s="8"/>
      <c r="E737" s="9" t="s">
        <v>222</v>
      </c>
      <c r="F737" s="5">
        <v>1</v>
      </c>
      <c r="G737" s="6">
        <v>3</v>
      </c>
      <c r="H737" s="7" t="s">
        <v>224</v>
      </c>
      <c r="I737" s="10"/>
      <c r="J737" s="8"/>
      <c r="K737" s="9" t="s">
        <v>211</v>
      </c>
      <c r="L737" s="5">
        <v>0</v>
      </c>
      <c r="M737" s="6">
        <v>3</v>
      </c>
      <c r="N737" s="7" t="str">
        <f t="shared" si="584"/>
        <v/>
      </c>
      <c r="O737" s="10"/>
      <c r="P737" s="36"/>
      <c r="Q737" s="35"/>
      <c r="T737" s="121" t="str">
        <f t="shared" si="585"/>
        <v/>
      </c>
      <c r="U737" s="118">
        <f t="shared" si="586"/>
        <v>0</v>
      </c>
      <c r="V737" s="117">
        <f t="shared" si="587"/>
        <v>0</v>
      </c>
      <c r="W737" s="117">
        <f t="shared" si="588"/>
        <v>2</v>
      </c>
      <c r="X737" s="117">
        <f t="shared" si="589"/>
        <v>-2</v>
      </c>
      <c r="Y737" s="117">
        <f t="shared" si="590"/>
        <v>0</v>
      </c>
      <c r="Z737" s="117">
        <f t="shared" si="591"/>
        <v>0</v>
      </c>
      <c r="AA737" s="117">
        <f t="shared" si="592"/>
        <v>0</v>
      </c>
      <c r="AC737" s="121" t="str">
        <f t="shared" si="593"/>
        <v/>
      </c>
      <c r="AD737" s="118">
        <f t="shared" si="594"/>
        <v>0</v>
      </c>
      <c r="AE737" s="117">
        <f t="shared" si="595"/>
        <v>0</v>
      </c>
      <c r="AF737" s="117">
        <f t="shared" si="596"/>
        <v>2</v>
      </c>
      <c r="AG737" s="117">
        <f t="shared" si="597"/>
        <v>-3</v>
      </c>
      <c r="AH737" s="117">
        <f t="shared" si="598"/>
        <v>0</v>
      </c>
      <c r="AI737" s="117">
        <f t="shared" si="599"/>
        <v>0</v>
      </c>
      <c r="AJ737" s="117">
        <f t="shared" si="600"/>
        <v>0</v>
      </c>
    </row>
    <row r="738" spans="2:36" ht="16.5" customHeight="1">
      <c r="B738" s="11"/>
      <c r="C738" s="11"/>
      <c r="D738" s="4"/>
      <c r="E738" s="4" t="s">
        <v>185</v>
      </c>
      <c r="F738" s="5">
        <v>2</v>
      </c>
      <c r="G738" s="6">
        <v>0</v>
      </c>
      <c r="H738" s="7" t="s">
        <v>224</v>
      </c>
      <c r="I738" s="7"/>
      <c r="J738" s="4"/>
      <c r="K738" s="4" t="s">
        <v>212</v>
      </c>
      <c r="L738" s="5">
        <v>0</v>
      </c>
      <c r="M738" s="6">
        <v>2</v>
      </c>
      <c r="N738" s="7" t="str">
        <f t="shared" si="584"/>
        <v/>
      </c>
      <c r="O738" s="7"/>
      <c r="P738" s="36"/>
      <c r="Q738" s="35"/>
      <c r="T738" s="121" t="str">
        <f t="shared" si="585"/>
        <v/>
      </c>
      <c r="U738" s="118">
        <f t="shared" si="586"/>
        <v>0</v>
      </c>
      <c r="V738" s="117">
        <f t="shared" si="587"/>
        <v>0</v>
      </c>
      <c r="W738" s="117">
        <f t="shared" si="588"/>
        <v>1</v>
      </c>
      <c r="X738" s="117">
        <f t="shared" si="589"/>
        <v>2</v>
      </c>
      <c r="Y738" s="117">
        <f t="shared" si="590"/>
        <v>0</v>
      </c>
      <c r="Z738" s="117">
        <f t="shared" si="591"/>
        <v>0</v>
      </c>
      <c r="AA738" s="117">
        <f t="shared" si="592"/>
        <v>0</v>
      </c>
      <c r="AC738" s="121" t="str">
        <f t="shared" si="593"/>
        <v/>
      </c>
      <c r="AD738" s="118">
        <f t="shared" si="594"/>
        <v>0</v>
      </c>
      <c r="AE738" s="117">
        <f t="shared" si="595"/>
        <v>0</v>
      </c>
      <c r="AF738" s="117">
        <f t="shared" si="596"/>
        <v>2</v>
      </c>
      <c r="AG738" s="117">
        <f t="shared" si="597"/>
        <v>-2</v>
      </c>
      <c r="AH738" s="117">
        <f t="shared" si="598"/>
        <v>0</v>
      </c>
      <c r="AI738" s="117">
        <f t="shared" si="599"/>
        <v>0</v>
      </c>
      <c r="AJ738" s="117">
        <f t="shared" si="600"/>
        <v>0</v>
      </c>
    </row>
    <row r="739" spans="2:36" ht="16.5" customHeight="1">
      <c r="B739" s="11"/>
      <c r="C739" s="11"/>
      <c r="D739" s="8"/>
      <c r="E739" s="9" t="s">
        <v>186</v>
      </c>
      <c r="F739" s="5">
        <v>2</v>
      </c>
      <c r="G739" s="6">
        <v>1</v>
      </c>
      <c r="H739" s="7" t="s">
        <v>224</v>
      </c>
      <c r="I739" s="10"/>
      <c r="J739" s="8"/>
      <c r="K739" s="9" t="s">
        <v>213</v>
      </c>
      <c r="L739" s="5">
        <v>0</v>
      </c>
      <c r="M739" s="6">
        <v>2</v>
      </c>
      <c r="N739" s="7" t="str">
        <f t="shared" si="584"/>
        <v/>
      </c>
      <c r="O739" s="10"/>
      <c r="P739" s="36"/>
      <c r="Q739" s="35"/>
      <c r="T739" s="121" t="str">
        <f t="shared" si="585"/>
        <v/>
      </c>
      <c r="U739" s="118">
        <f t="shared" si="586"/>
        <v>0</v>
      </c>
      <c r="V739" s="117">
        <f t="shared" si="587"/>
        <v>0</v>
      </c>
      <c r="W739" s="117">
        <f t="shared" si="588"/>
        <v>1</v>
      </c>
      <c r="X739" s="117">
        <f t="shared" si="589"/>
        <v>1</v>
      </c>
      <c r="Y739" s="117">
        <f t="shared" si="590"/>
        <v>0</v>
      </c>
      <c r="Z739" s="117">
        <f t="shared" si="591"/>
        <v>0</v>
      </c>
      <c r="AA739" s="117">
        <f t="shared" si="592"/>
        <v>0</v>
      </c>
      <c r="AC739" s="121" t="str">
        <f t="shared" si="593"/>
        <v/>
      </c>
      <c r="AD739" s="118">
        <f t="shared" si="594"/>
        <v>0</v>
      </c>
      <c r="AE739" s="117">
        <f t="shared" si="595"/>
        <v>0</v>
      </c>
      <c r="AF739" s="117">
        <f t="shared" si="596"/>
        <v>2</v>
      </c>
      <c r="AG739" s="117">
        <f t="shared" si="597"/>
        <v>-2</v>
      </c>
      <c r="AH739" s="117">
        <f t="shared" si="598"/>
        <v>0</v>
      </c>
      <c r="AI739" s="117">
        <f t="shared" si="599"/>
        <v>0</v>
      </c>
      <c r="AJ739" s="117">
        <f t="shared" si="600"/>
        <v>0</v>
      </c>
    </row>
    <row r="740" spans="2:36" ht="16.5" customHeight="1">
      <c r="B740" s="11"/>
      <c r="C740" s="11"/>
      <c r="D740" s="4"/>
      <c r="E740" s="4" t="s">
        <v>187</v>
      </c>
      <c r="F740" s="5">
        <v>0</v>
      </c>
      <c r="G740" s="6">
        <v>2</v>
      </c>
      <c r="H740" s="7" t="s">
        <v>224</v>
      </c>
      <c r="I740" s="7"/>
      <c r="J740" s="4"/>
      <c r="K740" s="4" t="s">
        <v>214</v>
      </c>
      <c r="L740" s="5">
        <v>1</v>
      </c>
      <c r="M740" s="6">
        <v>2</v>
      </c>
      <c r="N740" s="7" t="str">
        <f t="shared" si="584"/>
        <v/>
      </c>
      <c r="O740" s="7"/>
      <c r="P740" s="36"/>
      <c r="Q740" s="35"/>
      <c r="T740" s="121" t="str">
        <f t="shared" si="585"/>
        <v/>
      </c>
      <c r="U740" s="118">
        <f t="shared" si="586"/>
        <v>0</v>
      </c>
      <c r="V740" s="117">
        <f t="shared" si="587"/>
        <v>0</v>
      </c>
      <c r="W740" s="117">
        <f t="shared" si="588"/>
        <v>2</v>
      </c>
      <c r="X740" s="117">
        <f t="shared" si="589"/>
        <v>-2</v>
      </c>
      <c r="Y740" s="117">
        <f t="shared" si="590"/>
        <v>0</v>
      </c>
      <c r="Z740" s="117">
        <f t="shared" si="591"/>
        <v>0</v>
      </c>
      <c r="AA740" s="117">
        <f t="shared" si="592"/>
        <v>0</v>
      </c>
      <c r="AC740" s="121" t="str">
        <f t="shared" si="593"/>
        <v/>
      </c>
      <c r="AD740" s="118">
        <f t="shared" si="594"/>
        <v>0</v>
      </c>
      <c r="AE740" s="117">
        <f t="shared" si="595"/>
        <v>0</v>
      </c>
      <c r="AF740" s="117">
        <f t="shared" si="596"/>
        <v>2</v>
      </c>
      <c r="AG740" s="117">
        <f t="shared" si="597"/>
        <v>-1</v>
      </c>
      <c r="AH740" s="117">
        <f t="shared" si="598"/>
        <v>0</v>
      </c>
      <c r="AI740" s="117">
        <f t="shared" si="599"/>
        <v>0</v>
      </c>
      <c r="AJ740" s="117">
        <f t="shared" si="600"/>
        <v>0</v>
      </c>
    </row>
    <row r="741" spans="2:36" ht="16.5" customHeight="1">
      <c r="B741" s="15"/>
      <c r="C741" s="15" t="s">
        <v>10</v>
      </c>
      <c r="D741" s="8"/>
      <c r="E741" s="9" t="s">
        <v>188</v>
      </c>
      <c r="F741" s="5">
        <v>1</v>
      </c>
      <c r="G741" s="6">
        <v>3</v>
      </c>
      <c r="H741" s="7" t="s">
        <v>224</v>
      </c>
      <c r="I741" s="10"/>
      <c r="J741" s="8"/>
      <c r="K741" s="9" t="s">
        <v>215</v>
      </c>
      <c r="L741" s="5">
        <v>1</v>
      </c>
      <c r="M741" s="6">
        <v>2</v>
      </c>
      <c r="N741" s="7" t="str">
        <f t="shared" si="584"/>
        <v/>
      </c>
      <c r="O741" s="10"/>
      <c r="P741" s="39" t="s">
        <v>26</v>
      </c>
      <c r="Q741" s="38"/>
      <c r="T741" s="121" t="str">
        <f t="shared" si="585"/>
        <v/>
      </c>
      <c r="U741" s="118">
        <f t="shared" si="586"/>
        <v>0</v>
      </c>
      <c r="V741" s="117">
        <f t="shared" si="587"/>
        <v>0</v>
      </c>
      <c r="W741" s="117">
        <f t="shared" si="588"/>
        <v>2</v>
      </c>
      <c r="X741" s="117">
        <f t="shared" si="589"/>
        <v>-2</v>
      </c>
      <c r="Y741" s="117">
        <f t="shared" si="590"/>
        <v>0</v>
      </c>
      <c r="Z741" s="117">
        <f t="shared" si="591"/>
        <v>0</v>
      </c>
      <c r="AA741" s="117">
        <f t="shared" si="592"/>
        <v>0</v>
      </c>
      <c r="AC741" s="121" t="str">
        <f t="shared" si="593"/>
        <v/>
      </c>
      <c r="AD741" s="118">
        <f t="shared" si="594"/>
        <v>0</v>
      </c>
      <c r="AE741" s="117">
        <f t="shared" si="595"/>
        <v>0</v>
      </c>
      <c r="AF741" s="117">
        <f t="shared" si="596"/>
        <v>2</v>
      </c>
      <c r="AG741" s="117">
        <f t="shared" si="597"/>
        <v>-1</v>
      </c>
      <c r="AH741" s="117">
        <f t="shared" si="598"/>
        <v>0</v>
      </c>
      <c r="AI741" s="117">
        <f t="shared" si="599"/>
        <v>0</v>
      </c>
      <c r="AJ741" s="117">
        <f t="shared" si="600"/>
        <v>0</v>
      </c>
    </row>
    <row r="742" spans="2:36" ht="16.5" customHeight="1">
      <c r="B742" s="15"/>
      <c r="C742" s="15"/>
      <c r="D742" s="4"/>
      <c r="E742" s="4" t="s">
        <v>189</v>
      </c>
      <c r="F742" s="5">
        <v>0</v>
      </c>
      <c r="G742" s="6">
        <v>2</v>
      </c>
      <c r="H742" s="7" t="s">
        <v>224</v>
      </c>
      <c r="I742" s="7"/>
      <c r="J742" s="4"/>
      <c r="K742" s="4" t="s">
        <v>216</v>
      </c>
      <c r="L742" s="5">
        <v>1</v>
      </c>
      <c r="M742" s="6">
        <v>2</v>
      </c>
      <c r="N742" s="7" t="str">
        <f t="shared" si="584"/>
        <v/>
      </c>
      <c r="O742" s="7"/>
      <c r="P742" s="39"/>
      <c r="Q742" s="38"/>
      <c r="T742" s="121" t="str">
        <f t="shared" si="585"/>
        <v/>
      </c>
      <c r="U742" s="118">
        <f t="shared" si="586"/>
        <v>0</v>
      </c>
      <c r="V742" s="117">
        <f t="shared" si="587"/>
        <v>0</v>
      </c>
      <c r="W742" s="117">
        <f t="shared" si="588"/>
        <v>2</v>
      </c>
      <c r="X742" s="117">
        <f t="shared" si="589"/>
        <v>-2</v>
      </c>
      <c r="Y742" s="117">
        <f t="shared" si="590"/>
        <v>0</v>
      </c>
      <c r="Z742" s="117">
        <f t="shared" si="591"/>
        <v>0</v>
      </c>
      <c r="AA742" s="117">
        <f t="shared" si="592"/>
        <v>0</v>
      </c>
      <c r="AC742" s="121" t="str">
        <f t="shared" si="593"/>
        <v/>
      </c>
      <c r="AD742" s="118">
        <f t="shared" si="594"/>
        <v>0</v>
      </c>
      <c r="AE742" s="117">
        <f t="shared" si="595"/>
        <v>0</v>
      </c>
      <c r="AF742" s="117">
        <f t="shared" si="596"/>
        <v>2</v>
      </c>
      <c r="AG742" s="117">
        <f t="shared" si="597"/>
        <v>-1</v>
      </c>
      <c r="AH742" s="117">
        <f t="shared" si="598"/>
        <v>0</v>
      </c>
      <c r="AI742" s="117">
        <f t="shared" si="599"/>
        <v>0</v>
      </c>
      <c r="AJ742" s="117">
        <f t="shared" si="600"/>
        <v>0</v>
      </c>
    </row>
    <row r="743" spans="2:36" ht="16.5" customHeight="1">
      <c r="B743" s="15"/>
      <c r="C743" s="15"/>
      <c r="D743" s="8"/>
      <c r="E743" s="9" t="s">
        <v>190</v>
      </c>
      <c r="F743" s="5">
        <v>1</v>
      </c>
      <c r="G743" s="6">
        <v>1</v>
      </c>
      <c r="H743" s="7" t="s">
        <v>224</v>
      </c>
      <c r="I743" s="10"/>
      <c r="J743" s="8"/>
      <c r="K743" s="9" t="s">
        <v>217</v>
      </c>
      <c r="L743" s="5">
        <v>0</v>
      </c>
      <c r="M743" s="6">
        <v>2</v>
      </c>
      <c r="N743" s="7" t="str">
        <f t="shared" si="584"/>
        <v/>
      </c>
      <c r="O743" s="10"/>
      <c r="P743" s="39"/>
      <c r="Q743" s="38"/>
      <c r="T743" s="121" t="str">
        <f t="shared" si="585"/>
        <v/>
      </c>
      <c r="U743" s="118">
        <f t="shared" si="586"/>
        <v>0</v>
      </c>
      <c r="V743" s="117">
        <f t="shared" si="587"/>
        <v>0</v>
      </c>
      <c r="W743" s="117">
        <f t="shared" si="588"/>
        <v>0</v>
      </c>
      <c r="X743" s="117">
        <f t="shared" si="589"/>
        <v>0</v>
      </c>
      <c r="Y743" s="117">
        <f t="shared" si="590"/>
        <v>3</v>
      </c>
      <c r="Z743" s="117">
        <f t="shared" si="591"/>
        <v>1</v>
      </c>
      <c r="AA743" s="117">
        <f t="shared" si="592"/>
        <v>0</v>
      </c>
      <c r="AC743" s="121" t="str">
        <f t="shared" si="593"/>
        <v/>
      </c>
      <c r="AD743" s="118">
        <f t="shared" si="594"/>
        <v>0</v>
      </c>
      <c r="AE743" s="117">
        <f t="shared" si="595"/>
        <v>0</v>
      </c>
      <c r="AF743" s="117">
        <f t="shared" si="596"/>
        <v>2</v>
      </c>
      <c r="AG743" s="117">
        <f t="shared" si="597"/>
        <v>-2</v>
      </c>
      <c r="AH743" s="117">
        <f t="shared" si="598"/>
        <v>0</v>
      </c>
      <c r="AI743" s="117">
        <f t="shared" si="599"/>
        <v>0</v>
      </c>
      <c r="AJ743" s="117">
        <f t="shared" si="600"/>
        <v>0</v>
      </c>
    </row>
    <row r="744" spans="2:36" ht="16.5" customHeight="1">
      <c r="B744" s="15"/>
      <c r="C744" s="15"/>
      <c r="D744" s="4"/>
      <c r="E744" s="4" t="s">
        <v>191</v>
      </c>
      <c r="F744" s="5">
        <v>0</v>
      </c>
      <c r="G744" s="6">
        <v>2</v>
      </c>
      <c r="H744" s="7" t="s">
        <v>224</v>
      </c>
      <c r="I744" s="7"/>
      <c r="J744" s="4"/>
      <c r="K744" s="4" t="s">
        <v>218</v>
      </c>
      <c r="L744" s="5">
        <v>1</v>
      </c>
      <c r="M744" s="6">
        <v>2</v>
      </c>
      <c r="N744" s="7" t="str">
        <f t="shared" si="584"/>
        <v/>
      </c>
      <c r="O744" s="7"/>
      <c r="P744" s="39"/>
      <c r="Q744" s="38"/>
      <c r="T744" s="121" t="str">
        <f t="shared" si="585"/>
        <v/>
      </c>
      <c r="U744" s="118">
        <f t="shared" si="586"/>
        <v>0</v>
      </c>
      <c r="V744" s="117">
        <f t="shared" si="587"/>
        <v>0</v>
      </c>
      <c r="W744" s="117">
        <f t="shared" si="588"/>
        <v>2</v>
      </c>
      <c r="X744" s="117">
        <f t="shared" si="589"/>
        <v>-2</v>
      </c>
      <c r="Y744" s="117">
        <f t="shared" si="590"/>
        <v>0</v>
      </c>
      <c r="Z744" s="117">
        <f t="shared" si="591"/>
        <v>0</v>
      </c>
      <c r="AA744" s="117">
        <f t="shared" si="592"/>
        <v>0</v>
      </c>
      <c r="AC744" s="121" t="str">
        <f t="shared" si="593"/>
        <v/>
      </c>
      <c r="AD744" s="118">
        <f t="shared" si="594"/>
        <v>0</v>
      </c>
      <c r="AE744" s="117">
        <f t="shared" si="595"/>
        <v>0</v>
      </c>
      <c r="AF744" s="117">
        <f t="shared" si="596"/>
        <v>2</v>
      </c>
      <c r="AG744" s="117">
        <f t="shared" si="597"/>
        <v>-1</v>
      </c>
      <c r="AH744" s="117">
        <f t="shared" si="598"/>
        <v>0</v>
      </c>
      <c r="AI744" s="117">
        <f t="shared" si="599"/>
        <v>0</v>
      </c>
      <c r="AJ744" s="117">
        <f t="shared" si="600"/>
        <v>0</v>
      </c>
    </row>
    <row r="745" spans="2:36" ht="16.5" customHeight="1">
      <c r="B745" s="15"/>
      <c r="C745" s="15"/>
      <c r="D745" s="8"/>
      <c r="E745" s="9" t="s">
        <v>192</v>
      </c>
      <c r="F745" s="5">
        <v>0</v>
      </c>
      <c r="G745" s="6">
        <v>2</v>
      </c>
      <c r="H745" s="7" t="s">
        <v>224</v>
      </c>
      <c r="I745" s="10"/>
      <c r="J745" s="8"/>
      <c r="K745" s="9" t="s">
        <v>219</v>
      </c>
      <c r="L745" s="5">
        <v>0</v>
      </c>
      <c r="M745" s="6">
        <v>2</v>
      </c>
      <c r="N745" s="7" t="str">
        <f t="shared" si="584"/>
        <v/>
      </c>
      <c r="O745" s="10"/>
      <c r="P745" s="39"/>
      <c r="Q745" s="38"/>
      <c r="T745" s="121" t="str">
        <f t="shared" si="585"/>
        <v/>
      </c>
      <c r="U745" s="118">
        <f t="shared" si="586"/>
        <v>0</v>
      </c>
      <c r="V745" s="117">
        <f t="shared" si="587"/>
        <v>0</v>
      </c>
      <c r="W745" s="117">
        <f t="shared" si="588"/>
        <v>2</v>
      </c>
      <c r="X745" s="117">
        <f t="shared" si="589"/>
        <v>-2</v>
      </c>
      <c r="Y745" s="117">
        <f t="shared" si="590"/>
        <v>0</v>
      </c>
      <c r="Z745" s="117">
        <f t="shared" si="591"/>
        <v>0</v>
      </c>
      <c r="AA745" s="117">
        <f t="shared" si="592"/>
        <v>0</v>
      </c>
      <c r="AC745" s="121" t="str">
        <f t="shared" si="593"/>
        <v/>
      </c>
      <c r="AD745" s="118">
        <f t="shared" si="594"/>
        <v>0</v>
      </c>
      <c r="AE745" s="117">
        <f t="shared" si="595"/>
        <v>0</v>
      </c>
      <c r="AF745" s="117">
        <f t="shared" si="596"/>
        <v>2</v>
      </c>
      <c r="AG745" s="117">
        <f t="shared" si="597"/>
        <v>-2</v>
      </c>
      <c r="AH745" s="117">
        <f t="shared" si="598"/>
        <v>0</v>
      </c>
      <c r="AI745" s="117">
        <f t="shared" si="599"/>
        <v>0</v>
      </c>
      <c r="AJ745" s="117">
        <f t="shared" si="600"/>
        <v>0</v>
      </c>
    </row>
    <row r="746" spans="2:36" ht="16.5" customHeight="1">
      <c r="B746" s="15"/>
      <c r="C746" s="15"/>
      <c r="D746" s="4"/>
      <c r="E746" s="4" t="s">
        <v>193</v>
      </c>
      <c r="F746" s="5">
        <v>0</v>
      </c>
      <c r="G746" s="6">
        <v>2</v>
      </c>
      <c r="H746" s="7" t="s">
        <v>224</v>
      </c>
      <c r="I746" s="7"/>
      <c r="J746" s="4"/>
      <c r="K746" s="4" t="s">
        <v>220</v>
      </c>
      <c r="L746" s="5">
        <v>1</v>
      </c>
      <c r="M746" s="6">
        <v>3</v>
      </c>
      <c r="N746" s="7" t="str">
        <f t="shared" si="584"/>
        <v/>
      </c>
      <c r="O746" s="7"/>
      <c r="P746" s="39"/>
      <c r="Q746" s="38"/>
      <c r="T746" s="121" t="str">
        <f t="shared" si="585"/>
        <v/>
      </c>
      <c r="U746" s="118">
        <f t="shared" si="586"/>
        <v>0</v>
      </c>
      <c r="V746" s="117">
        <f t="shared" si="587"/>
        <v>0</v>
      </c>
      <c r="W746" s="117">
        <f t="shared" si="588"/>
        <v>2</v>
      </c>
      <c r="X746" s="117">
        <f t="shared" si="589"/>
        <v>-2</v>
      </c>
      <c r="Y746" s="117">
        <f t="shared" si="590"/>
        <v>0</v>
      </c>
      <c r="Z746" s="117">
        <f t="shared" si="591"/>
        <v>0</v>
      </c>
      <c r="AA746" s="117">
        <f t="shared" si="592"/>
        <v>0</v>
      </c>
      <c r="AC746" s="121" t="str">
        <f t="shared" si="593"/>
        <v/>
      </c>
      <c r="AD746" s="118">
        <f t="shared" si="594"/>
        <v>0</v>
      </c>
      <c r="AE746" s="117">
        <f t="shared" si="595"/>
        <v>0</v>
      </c>
      <c r="AF746" s="117">
        <f t="shared" si="596"/>
        <v>2</v>
      </c>
      <c r="AG746" s="117">
        <f t="shared" si="597"/>
        <v>-2</v>
      </c>
      <c r="AH746" s="117">
        <f t="shared" si="598"/>
        <v>0</v>
      </c>
      <c r="AI746" s="117">
        <f t="shared" si="599"/>
        <v>0</v>
      </c>
      <c r="AJ746" s="117">
        <f t="shared" si="600"/>
        <v>0</v>
      </c>
    </row>
    <row r="747" spans="2:36" ht="16.5" customHeight="1">
      <c r="B747" s="15"/>
      <c r="C747" s="15"/>
      <c r="D747" s="8"/>
      <c r="E747" s="9" t="s">
        <v>194</v>
      </c>
      <c r="F747" s="5">
        <v>1</v>
      </c>
      <c r="G747" s="6">
        <v>2</v>
      </c>
      <c r="H747" s="7" t="s">
        <v>224</v>
      </c>
      <c r="I747" s="10"/>
      <c r="J747" s="8"/>
      <c r="K747" s="9" t="s">
        <v>221</v>
      </c>
      <c r="L747" s="5">
        <v>0</v>
      </c>
      <c r="M747" s="6">
        <v>2</v>
      </c>
      <c r="N747" s="7" t="str">
        <f t="shared" si="584"/>
        <v/>
      </c>
      <c r="O747" s="10"/>
      <c r="P747" s="39"/>
      <c r="Q747" s="38"/>
      <c r="T747" s="121" t="str">
        <f t="shared" si="585"/>
        <v/>
      </c>
      <c r="U747" s="118">
        <f t="shared" si="586"/>
        <v>0</v>
      </c>
      <c r="V747" s="117">
        <f t="shared" si="587"/>
        <v>0</v>
      </c>
      <c r="W747" s="117">
        <f t="shared" si="588"/>
        <v>2</v>
      </c>
      <c r="X747" s="117">
        <f t="shared" si="589"/>
        <v>-1</v>
      </c>
      <c r="Y747" s="117">
        <f t="shared" si="590"/>
        <v>0</v>
      </c>
      <c r="Z747" s="117">
        <f t="shared" si="591"/>
        <v>0</v>
      </c>
      <c r="AA747" s="117">
        <f t="shared" si="592"/>
        <v>0</v>
      </c>
      <c r="AC747" s="121" t="str">
        <f t="shared" si="593"/>
        <v/>
      </c>
      <c r="AD747" s="118">
        <f t="shared" si="594"/>
        <v>0</v>
      </c>
      <c r="AE747" s="117">
        <f t="shared" si="595"/>
        <v>0</v>
      </c>
      <c r="AF747" s="117">
        <f t="shared" si="596"/>
        <v>2</v>
      </c>
      <c r="AG747" s="117">
        <f t="shared" si="597"/>
        <v>-2</v>
      </c>
      <c r="AH747" s="117">
        <f t="shared" si="598"/>
        <v>0</v>
      </c>
      <c r="AI747" s="117">
        <f t="shared" si="599"/>
        <v>0</v>
      </c>
      <c r="AJ747" s="117">
        <f t="shared" si="600"/>
        <v>0</v>
      </c>
    </row>
  </sheetData>
  <conditionalFormatting sqref="H6:H33 N6:N33">
    <cfRule type="cellIs" dxfId="30" priority="28" operator="equal">
      <formula>5</formula>
    </cfRule>
  </conditionalFormatting>
  <conditionalFormatting sqref="H37:H64 N37:N64">
    <cfRule type="cellIs" dxfId="29" priority="23" operator="equal">
      <formula>5</formula>
    </cfRule>
  </conditionalFormatting>
  <conditionalFormatting sqref="H68:H95 N68:N95">
    <cfRule type="cellIs" dxfId="28" priority="22" operator="equal">
      <formula>5</formula>
    </cfRule>
  </conditionalFormatting>
  <conditionalFormatting sqref="H99:H126 N99:N126">
    <cfRule type="cellIs" dxfId="27" priority="21" operator="equal">
      <formula>5</formula>
    </cfRule>
  </conditionalFormatting>
  <conditionalFormatting sqref="H130:H157 N130:N157">
    <cfRule type="cellIs" dxfId="26" priority="20" operator="equal">
      <formula>5</formula>
    </cfRule>
  </conditionalFormatting>
  <conditionalFormatting sqref="H161:H188 N161:N188">
    <cfRule type="cellIs" dxfId="25" priority="19" operator="equal">
      <formula>5</formula>
    </cfRule>
  </conditionalFormatting>
  <conditionalFormatting sqref="H192:H219 N192:N219">
    <cfRule type="cellIs" dxfId="24" priority="18" operator="equal">
      <formula>5</formula>
    </cfRule>
  </conditionalFormatting>
  <conditionalFormatting sqref="H223:H250 N223:N250">
    <cfRule type="cellIs" dxfId="23" priority="17" operator="equal">
      <formula>5</formula>
    </cfRule>
  </conditionalFormatting>
  <conditionalFormatting sqref="H254:H281 N254:N281">
    <cfRule type="cellIs" dxfId="22" priority="16" operator="equal">
      <formula>5</formula>
    </cfRule>
  </conditionalFormatting>
  <conditionalFormatting sqref="H285:H312 N285:N312">
    <cfRule type="cellIs" dxfId="21" priority="15" operator="equal">
      <formula>5</formula>
    </cfRule>
  </conditionalFormatting>
  <conditionalFormatting sqref="H316:H343 N316:N343">
    <cfRule type="cellIs" dxfId="20" priority="14" operator="equal">
      <formula>5</formula>
    </cfRule>
  </conditionalFormatting>
  <conditionalFormatting sqref="H347:H374 N347:N374">
    <cfRule type="cellIs" dxfId="19" priority="13" operator="equal">
      <formula>5</formula>
    </cfRule>
  </conditionalFormatting>
  <conditionalFormatting sqref="H379:H406 N379:N406">
    <cfRule type="cellIs" dxfId="18" priority="12" operator="equal">
      <formula>5</formula>
    </cfRule>
  </conditionalFormatting>
  <conditionalFormatting sqref="H410:H437 N410:N437">
    <cfRule type="cellIs" dxfId="17" priority="11" operator="equal">
      <formula>5</formula>
    </cfRule>
  </conditionalFormatting>
  <conditionalFormatting sqref="H441:H468 N441:N468">
    <cfRule type="cellIs" dxfId="16" priority="10" operator="equal">
      <formula>5</formula>
    </cfRule>
  </conditionalFormatting>
  <conditionalFormatting sqref="H472:H499 N472:N499">
    <cfRule type="cellIs" dxfId="15" priority="9" operator="equal">
      <formula>5</formula>
    </cfRule>
  </conditionalFormatting>
  <conditionalFormatting sqref="H503:H530 N503:N530">
    <cfRule type="cellIs" dxfId="14" priority="8" operator="equal">
      <formula>5</formula>
    </cfRule>
  </conditionalFormatting>
  <conditionalFormatting sqref="H534:H561 N534:N561">
    <cfRule type="cellIs" dxfId="13" priority="7" operator="equal">
      <formula>5</formula>
    </cfRule>
  </conditionalFormatting>
  <conditionalFormatting sqref="H565:H592 N565:N592">
    <cfRule type="cellIs" dxfId="12" priority="6" operator="equal">
      <formula>5</formula>
    </cfRule>
  </conditionalFormatting>
  <conditionalFormatting sqref="H596:H623 N596:N623">
    <cfRule type="cellIs" dxfId="11" priority="5" operator="equal">
      <formula>5</formula>
    </cfRule>
  </conditionalFormatting>
  <conditionalFormatting sqref="H627:H654 N627:N654">
    <cfRule type="cellIs" dxfId="10" priority="4" operator="equal">
      <formula>5</formula>
    </cfRule>
  </conditionalFormatting>
  <conditionalFormatting sqref="H658:H685 N658:N685">
    <cfRule type="cellIs" dxfId="9" priority="3" operator="equal">
      <formula>5</formula>
    </cfRule>
  </conditionalFormatting>
  <conditionalFormatting sqref="H689:H716 N689:N716">
    <cfRule type="cellIs" dxfId="8" priority="2" operator="equal">
      <formula>5</formula>
    </cfRule>
  </conditionalFormatting>
  <conditionalFormatting sqref="H720:H747 N720:N747">
    <cfRule type="cellIs" dxfId="7" priority="1" operator="equal">
      <formula>5</formula>
    </cfRule>
  </conditionalFormatting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8BB4-FE18-40E8-9A2D-BC0AC37D7322}">
  <dimension ref="B1:AW44"/>
  <sheetViews>
    <sheetView showGridLines="0" zoomScale="90" zoomScaleNormal="90" workbookViewId="0">
      <selection activeCell="Z1" sqref="Z1"/>
    </sheetView>
  </sheetViews>
  <sheetFormatPr defaultColWidth="9.140625" defaultRowHeight="18" customHeight="1"/>
  <cols>
    <col min="1" max="1" width="2.140625" style="1" bestFit="1" customWidth="1"/>
    <col min="2" max="2" width="5" style="1" customWidth="1"/>
    <col min="3" max="3" width="14" style="113" customWidth="1"/>
    <col min="4" max="4" width="5.85546875" style="1" customWidth="1"/>
    <col min="5" max="5" width="3.5703125" style="1" customWidth="1"/>
    <col min="6" max="6" width="5.28515625" style="1" bestFit="1" customWidth="1"/>
    <col min="7" max="7" width="5.85546875" style="1" customWidth="1"/>
    <col min="8" max="8" width="6.85546875" style="1" customWidth="1"/>
    <col min="9" max="9" width="7.140625" style="1" bestFit="1" customWidth="1"/>
    <col min="10" max="10" width="11.140625" style="1" customWidth="1"/>
    <col min="11" max="11" width="8.42578125" style="1" bestFit="1" customWidth="1"/>
    <col min="12" max="12" width="1.7109375" style="1" customWidth="1"/>
    <col min="13" max="13" width="5.42578125" style="1" customWidth="1"/>
    <col min="14" max="14" width="4.28515625" style="1" customWidth="1"/>
    <col min="15" max="15" width="4.85546875" style="1" customWidth="1"/>
    <col min="16" max="16" width="14.7109375" style="113" bestFit="1" customWidth="1"/>
    <col min="17" max="17" width="4.28515625" style="1" bestFit="1" customWidth="1"/>
    <col min="18" max="20" width="3.5703125" style="1" bestFit="1" customWidth="1"/>
    <col min="21" max="21" width="5.5703125" style="1" customWidth="1"/>
    <col min="22" max="22" width="7.140625" style="1" bestFit="1" customWidth="1"/>
    <col min="23" max="23" width="7.85546875" style="1" bestFit="1" customWidth="1"/>
    <col min="24" max="24" width="8.42578125" style="1" bestFit="1" customWidth="1"/>
    <col min="25" max="25" width="2.28515625" style="1" customWidth="1"/>
    <col min="26" max="26" width="4.85546875" style="1" bestFit="1" customWidth="1"/>
    <col min="27" max="27" width="5.5703125" style="1" customWidth="1"/>
    <col min="28" max="28" width="14.42578125" style="98" hidden="1" customWidth="1"/>
    <col min="29" max="29" width="4.28515625" style="99" hidden="1" customWidth="1"/>
    <col min="30" max="31" width="3.5703125" style="99" hidden="1" customWidth="1"/>
    <col min="32" max="32" width="3.5703125" style="100" hidden="1" customWidth="1"/>
    <col min="33" max="33" width="2.5703125" style="98" hidden="1" customWidth="1"/>
    <col min="34" max="34" width="7.140625" style="98" hidden="1" customWidth="1"/>
    <col min="35" max="35" width="7.85546875" style="98" hidden="1" customWidth="1"/>
    <col min="36" max="36" width="8.42578125" style="98" hidden="1" customWidth="1"/>
    <col min="37" max="37" width="3.42578125" style="98" hidden="1" customWidth="1"/>
    <col min="38" max="38" width="15" style="1" hidden="1" customWidth="1"/>
    <col min="39" max="39" width="4.7109375" style="3" hidden="1" customWidth="1"/>
    <col min="40" max="42" width="3.7109375" style="1" hidden="1" customWidth="1"/>
    <col min="43" max="43" width="5.7109375" style="1" hidden="1" customWidth="1"/>
    <col min="44" max="44" width="7.28515625" style="1" hidden="1" customWidth="1"/>
    <col min="45" max="45" width="0" style="1" hidden="1" customWidth="1"/>
    <col min="46" max="46" width="9.28515625" style="1" hidden="1" customWidth="1"/>
    <col min="47" max="47" width="9.140625" style="1"/>
    <col min="48" max="49" width="5.7109375" style="3" customWidth="1"/>
    <col min="50" max="16384" width="9.140625" style="1"/>
  </cols>
  <sheetData>
    <row r="1" spans="2:46" ht="34.9" customHeight="1">
      <c r="C1" s="145" t="s">
        <v>161</v>
      </c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41" t="s">
        <v>27</v>
      </c>
      <c r="Z1" s="34">
        <f>'r1'!AE2</f>
        <v>1</v>
      </c>
      <c r="AA1" s="54"/>
      <c r="AC1" s="100"/>
      <c r="AD1" s="98"/>
      <c r="AE1" s="98"/>
      <c r="AF1" s="98"/>
      <c r="AL1" s="54"/>
      <c r="AM1" s="54"/>
      <c r="AN1" s="54"/>
      <c r="AO1" s="54"/>
      <c r="AP1" s="54"/>
      <c r="AQ1" s="54"/>
      <c r="AR1" s="54"/>
      <c r="AS1" s="54"/>
    </row>
    <row r="2" spans="2:46" ht="11.45" customHeight="1">
      <c r="P2" s="41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C2" s="100"/>
      <c r="AD2" s="98"/>
      <c r="AE2" s="98"/>
      <c r="AF2" s="98"/>
      <c r="AL2" s="54"/>
      <c r="AM2" s="54"/>
      <c r="AN2" s="54"/>
      <c r="AO2" s="54"/>
      <c r="AP2" s="54"/>
      <c r="AQ2" s="54"/>
      <c r="AR2" s="54"/>
      <c r="AS2" s="54"/>
      <c r="AT2" s="41"/>
    </row>
    <row r="3" spans="2:46" ht="18" customHeight="1">
      <c r="B3" s="27">
        <f>SUM(D4:D10)</f>
        <v>0</v>
      </c>
      <c r="C3" s="114" t="s">
        <v>7</v>
      </c>
      <c r="D3" s="18" t="s">
        <v>0</v>
      </c>
      <c r="E3" s="18" t="s">
        <v>2</v>
      </c>
      <c r="F3" s="18" t="s">
        <v>3</v>
      </c>
      <c r="G3" s="18" t="s">
        <v>4</v>
      </c>
      <c r="H3" s="18" t="s">
        <v>5</v>
      </c>
      <c r="I3" s="12" t="s">
        <v>6</v>
      </c>
      <c r="J3" s="18" t="s">
        <v>11</v>
      </c>
      <c r="K3" s="18" t="s">
        <v>15</v>
      </c>
      <c r="L3" s="18"/>
      <c r="M3" s="28" t="s">
        <v>14</v>
      </c>
      <c r="O3" s="27">
        <f>SUM(Q4:Q10)</f>
        <v>0</v>
      </c>
      <c r="P3" s="108" t="s">
        <v>7</v>
      </c>
      <c r="Q3" s="24" t="s">
        <v>0</v>
      </c>
      <c r="R3" s="24" t="s">
        <v>2</v>
      </c>
      <c r="S3" s="24" t="s">
        <v>3</v>
      </c>
      <c r="T3" s="24" t="s">
        <v>4</v>
      </c>
      <c r="U3" s="19" t="s">
        <v>5</v>
      </c>
      <c r="V3" s="13" t="s">
        <v>6</v>
      </c>
      <c r="W3" s="24" t="s">
        <v>11</v>
      </c>
      <c r="X3" s="24" t="s">
        <v>15</v>
      </c>
      <c r="Y3" s="24"/>
      <c r="Z3" s="28" t="s">
        <v>14</v>
      </c>
      <c r="AB3" s="94" t="s">
        <v>7</v>
      </c>
      <c r="AC3" s="95" t="s">
        <v>0</v>
      </c>
      <c r="AD3" s="94" t="s">
        <v>2</v>
      </c>
      <c r="AE3" s="94" t="s">
        <v>3</v>
      </c>
      <c r="AF3" s="94" t="s">
        <v>4</v>
      </c>
      <c r="AG3" s="94" t="s">
        <v>5</v>
      </c>
      <c r="AH3" s="94" t="s">
        <v>6</v>
      </c>
      <c r="AI3" s="94" t="s">
        <v>11</v>
      </c>
      <c r="AJ3" s="94" t="s">
        <v>15</v>
      </c>
      <c r="AL3" s="94" t="s">
        <v>13</v>
      </c>
      <c r="AM3" s="95" t="s">
        <v>0</v>
      </c>
      <c r="AN3" s="95" t="s">
        <v>12</v>
      </c>
      <c r="AO3" s="95" t="s">
        <v>3</v>
      </c>
      <c r="AP3" s="95" t="s">
        <v>4</v>
      </c>
      <c r="AQ3" s="95" t="s">
        <v>5</v>
      </c>
      <c r="AR3" s="94" t="s">
        <v>6</v>
      </c>
      <c r="AS3" s="95" t="s">
        <v>11</v>
      </c>
      <c r="AT3" s="95" t="s">
        <v>15</v>
      </c>
    </row>
    <row r="4" spans="2:46" ht="18" customHeight="1">
      <c r="B4" s="18">
        <v>1</v>
      </c>
      <c r="C4" s="115" t="str" cm="1">
        <f t="array" ref="C4:K10">_xlfn.SORTBY(AB4:AJ10,AC4:AC10,-1,AG4:AG10,-1,AJ4:AJ10,-1,AH4:AH10,-1,AI4:AI10,-1)</f>
        <v>Dario</v>
      </c>
      <c r="D4" s="18">
        <v>0</v>
      </c>
      <c r="E4" s="25">
        <v>0</v>
      </c>
      <c r="F4" s="25">
        <v>0</v>
      </c>
      <c r="G4" s="25">
        <v>0</v>
      </c>
      <c r="H4" s="26">
        <v>0</v>
      </c>
      <c r="I4" s="16">
        <v>0</v>
      </c>
      <c r="J4" s="16">
        <v>0</v>
      </c>
      <c r="K4" s="16">
        <v>0</v>
      </c>
      <c r="L4" s="16"/>
      <c r="M4" s="29">
        <v>15</v>
      </c>
      <c r="O4" s="24">
        <v>1</v>
      </c>
      <c r="P4" s="115" t="str" cm="1">
        <f t="array" ref="P4:X10">_xlfn.SORTBY(AL4:AT10,AM4:AM10,-1,AQ4:AQ10,-1,AT4:AT10,-1,AR4:AR10,-1,AS4:AS10,-1)</f>
        <v>Talvik</v>
      </c>
      <c r="Q4" s="24">
        <v>0</v>
      </c>
      <c r="R4" s="25">
        <v>0</v>
      </c>
      <c r="S4" s="25">
        <v>0</v>
      </c>
      <c r="T4" s="25">
        <v>0</v>
      </c>
      <c r="U4" s="26">
        <v>0</v>
      </c>
      <c r="V4" s="16">
        <v>0</v>
      </c>
      <c r="W4" s="16">
        <v>0</v>
      </c>
      <c r="X4" s="16">
        <v>0</v>
      </c>
      <c r="Y4" s="16"/>
      <c r="Z4" s="29">
        <v>15</v>
      </c>
      <c r="AB4" s="116" t="str">
        <f>'r1'!B5</f>
        <v>Dario</v>
      </c>
      <c r="AC4" s="97">
        <f t="shared" ref="AC4:AC10" si="0">SUM(AH4:AJ4)</f>
        <v>0</v>
      </c>
      <c r="AD4" s="96">
        <f>'r1'!AB5</f>
        <v>0</v>
      </c>
      <c r="AE4" s="96">
        <f>'r1'!AC5</f>
        <v>0</v>
      </c>
      <c r="AF4" s="96">
        <f>'r1'!AD5</f>
        <v>0</v>
      </c>
      <c r="AG4" s="96">
        <f t="shared" ref="AG4" si="1">SUM(AD4:AF4)/$Z$1</f>
        <v>0</v>
      </c>
      <c r="AH4" s="96">
        <f>'r1'!AA5</f>
        <v>0</v>
      </c>
      <c r="AI4" s="96"/>
      <c r="AJ4" s="96"/>
      <c r="AL4" s="116" t="str">
        <f>'r1'!B33</f>
        <v>Talvik</v>
      </c>
      <c r="AM4" s="97">
        <f t="shared" ref="AM4:AM10" si="2">SUM(AR4:AT4)</f>
        <v>0</v>
      </c>
      <c r="AN4" s="96">
        <f>'r1'!AB33</f>
        <v>0</v>
      </c>
      <c r="AO4" s="96">
        <f>'r1'!AC33</f>
        <v>0</v>
      </c>
      <c r="AP4" s="96">
        <f>'r1'!AD33</f>
        <v>0</v>
      </c>
      <c r="AQ4" s="96">
        <f t="shared" ref="AQ4" si="3">SUM(AN4:AP4)/$Z$1</f>
        <v>0</v>
      </c>
      <c r="AR4" s="96">
        <f>'r1'!AA33</f>
        <v>0</v>
      </c>
      <c r="AS4" s="97"/>
      <c r="AT4" s="97"/>
    </row>
    <row r="5" spans="2:46" ht="18" customHeight="1">
      <c r="B5" s="18">
        <v>2</v>
      </c>
      <c r="C5" s="115" t="str">
        <v>Wojtek</v>
      </c>
      <c r="D5" s="18">
        <v>0</v>
      </c>
      <c r="E5" s="25">
        <v>0</v>
      </c>
      <c r="F5" s="25">
        <v>0</v>
      </c>
      <c r="G5" s="25">
        <v>0</v>
      </c>
      <c r="H5" s="26">
        <v>0</v>
      </c>
      <c r="I5" s="16">
        <v>0</v>
      </c>
      <c r="J5" s="16">
        <v>0</v>
      </c>
      <c r="K5" s="16">
        <v>0</v>
      </c>
      <c r="L5" s="16"/>
      <c r="M5" s="29">
        <v>10</v>
      </c>
      <c r="O5" s="24">
        <v>2</v>
      </c>
      <c r="P5" s="115" t="str">
        <v>Rafał</v>
      </c>
      <c r="Q5" s="24">
        <v>0</v>
      </c>
      <c r="R5" s="25">
        <v>0</v>
      </c>
      <c r="S5" s="25">
        <v>0</v>
      </c>
      <c r="T5" s="25">
        <v>0</v>
      </c>
      <c r="U5" s="26">
        <v>0</v>
      </c>
      <c r="V5" s="16">
        <v>0</v>
      </c>
      <c r="W5" s="16">
        <v>0</v>
      </c>
      <c r="X5" s="16">
        <v>0</v>
      </c>
      <c r="Y5" s="16"/>
      <c r="Z5" s="29">
        <v>10</v>
      </c>
      <c r="AB5" s="116" t="str">
        <f>'r1'!B6</f>
        <v>Wojtek</v>
      </c>
      <c r="AC5" s="97">
        <f t="shared" si="0"/>
        <v>0</v>
      </c>
      <c r="AD5" s="96">
        <f>'r1'!AB6</f>
        <v>0</v>
      </c>
      <c r="AE5" s="96">
        <f>'r1'!AC6</f>
        <v>0</v>
      </c>
      <c r="AF5" s="96">
        <f>'r1'!AD6</f>
        <v>0</v>
      </c>
      <c r="AG5" s="96">
        <f t="shared" ref="AG5:AG10" si="4">SUM(AD5:AF5)/$Z$1</f>
        <v>0</v>
      </c>
      <c r="AH5" s="96">
        <f>'r1'!AA6</f>
        <v>0</v>
      </c>
      <c r="AI5" s="96"/>
      <c r="AJ5" s="96"/>
      <c r="AL5" s="116" t="str">
        <f>'r1'!B34</f>
        <v>Rafał</v>
      </c>
      <c r="AM5" s="97">
        <f t="shared" si="2"/>
        <v>0</v>
      </c>
      <c r="AN5" s="96">
        <f>'r1'!AB34</f>
        <v>0</v>
      </c>
      <c r="AO5" s="96">
        <f>'r1'!AC34</f>
        <v>0</v>
      </c>
      <c r="AP5" s="96">
        <f>'r1'!AD34</f>
        <v>0</v>
      </c>
      <c r="AQ5" s="96">
        <f t="shared" ref="AQ5:AQ10" si="5">SUM(AN5:AP5)/$Z$1</f>
        <v>0</v>
      </c>
      <c r="AR5" s="96">
        <f>'r1'!AA34</f>
        <v>0</v>
      </c>
      <c r="AS5" s="97"/>
      <c r="AT5" s="97"/>
    </row>
    <row r="6" spans="2:46" ht="18" customHeight="1">
      <c r="B6" s="18">
        <v>3</v>
      </c>
      <c r="C6" s="115" t="str">
        <v>KamUla</v>
      </c>
      <c r="D6" s="18">
        <v>0</v>
      </c>
      <c r="E6" s="25">
        <v>0</v>
      </c>
      <c r="F6" s="25">
        <v>0</v>
      </c>
      <c r="G6" s="25">
        <v>0</v>
      </c>
      <c r="H6" s="26">
        <v>0</v>
      </c>
      <c r="I6" s="16">
        <v>0</v>
      </c>
      <c r="J6" s="16">
        <v>0</v>
      </c>
      <c r="K6" s="16">
        <v>0</v>
      </c>
      <c r="L6" s="16"/>
      <c r="M6" s="29">
        <v>5</v>
      </c>
      <c r="O6" s="24">
        <v>3</v>
      </c>
      <c r="P6" s="115" t="str">
        <v>MarekS</v>
      </c>
      <c r="Q6" s="24">
        <v>0</v>
      </c>
      <c r="R6" s="25">
        <v>0</v>
      </c>
      <c r="S6" s="25">
        <v>0</v>
      </c>
      <c r="T6" s="25">
        <v>0</v>
      </c>
      <c r="U6" s="26">
        <v>0</v>
      </c>
      <c r="V6" s="16">
        <v>0</v>
      </c>
      <c r="W6" s="16">
        <v>0</v>
      </c>
      <c r="X6" s="16">
        <v>0</v>
      </c>
      <c r="Y6" s="16"/>
      <c r="Z6" s="29">
        <v>5</v>
      </c>
      <c r="AB6" s="116" t="str">
        <f>'r1'!B7</f>
        <v>KamUla</v>
      </c>
      <c r="AC6" s="97">
        <f t="shared" si="0"/>
        <v>0</v>
      </c>
      <c r="AD6" s="96">
        <f>'r1'!AB7</f>
        <v>0</v>
      </c>
      <c r="AE6" s="96">
        <f>'r1'!AC7</f>
        <v>0</v>
      </c>
      <c r="AF6" s="96">
        <f>'r1'!AD7</f>
        <v>0</v>
      </c>
      <c r="AG6" s="96">
        <f t="shared" si="4"/>
        <v>0</v>
      </c>
      <c r="AH6" s="96">
        <f>'r1'!AA7</f>
        <v>0</v>
      </c>
      <c r="AI6" s="96"/>
      <c r="AJ6" s="96"/>
      <c r="AL6" s="116" t="str">
        <f>'r1'!B35</f>
        <v>MarekS</v>
      </c>
      <c r="AM6" s="97">
        <f t="shared" si="2"/>
        <v>0</v>
      </c>
      <c r="AN6" s="96">
        <f>'r1'!AB35</f>
        <v>0</v>
      </c>
      <c r="AO6" s="96">
        <f>'r1'!AC35</f>
        <v>0</v>
      </c>
      <c r="AP6" s="96">
        <f>'r1'!AD35</f>
        <v>0</v>
      </c>
      <c r="AQ6" s="96">
        <f t="shared" si="5"/>
        <v>0</v>
      </c>
      <c r="AR6" s="96">
        <f>'r1'!AA35</f>
        <v>0</v>
      </c>
      <c r="AS6" s="97"/>
      <c r="AT6" s="97"/>
    </row>
    <row r="7" spans="2:46" ht="18" customHeight="1">
      <c r="B7" s="18">
        <v>4</v>
      </c>
      <c r="C7" s="115" t="str">
        <v>MagdaS</v>
      </c>
      <c r="D7" s="18">
        <v>0</v>
      </c>
      <c r="E7" s="25">
        <v>0</v>
      </c>
      <c r="F7" s="25">
        <v>0</v>
      </c>
      <c r="G7" s="25">
        <v>0</v>
      </c>
      <c r="H7" s="26">
        <v>0</v>
      </c>
      <c r="I7" s="16">
        <v>0</v>
      </c>
      <c r="J7" s="16">
        <v>0</v>
      </c>
      <c r="K7" s="16">
        <v>0</v>
      </c>
      <c r="L7" s="16"/>
      <c r="M7" s="29" t="str">
        <f>IF(B3=$D$44,4,"")</f>
        <v/>
      </c>
      <c r="O7" s="24">
        <v>4</v>
      </c>
      <c r="P7" s="115" t="str">
        <v>Karolina</v>
      </c>
      <c r="Q7" s="24">
        <v>0</v>
      </c>
      <c r="R7" s="25">
        <v>0</v>
      </c>
      <c r="S7" s="25">
        <v>0</v>
      </c>
      <c r="T7" s="25">
        <v>0</v>
      </c>
      <c r="U7" s="26">
        <v>0</v>
      </c>
      <c r="V7" s="16">
        <v>0</v>
      </c>
      <c r="W7" s="16">
        <v>0</v>
      </c>
      <c r="X7" s="16">
        <v>0</v>
      </c>
      <c r="Y7" s="16"/>
      <c r="Z7" s="29" t="str">
        <f>IF(O3=$D$44,4,"")</f>
        <v/>
      </c>
      <c r="AB7" s="116" t="str">
        <f>'r1'!B8</f>
        <v>MagdaS</v>
      </c>
      <c r="AC7" s="97">
        <f t="shared" si="0"/>
        <v>0</v>
      </c>
      <c r="AD7" s="96">
        <f>'r1'!AB8</f>
        <v>0</v>
      </c>
      <c r="AE7" s="96">
        <f>'r1'!AC8</f>
        <v>0</v>
      </c>
      <c r="AF7" s="96">
        <f>'r1'!AD8</f>
        <v>0</v>
      </c>
      <c r="AG7" s="96">
        <f t="shared" si="4"/>
        <v>0</v>
      </c>
      <c r="AH7" s="96">
        <f>'r1'!AA8</f>
        <v>0</v>
      </c>
      <c r="AI7" s="96"/>
      <c r="AJ7" s="96"/>
      <c r="AL7" s="116" t="str">
        <f>'r1'!B36</f>
        <v>Karolina</v>
      </c>
      <c r="AM7" s="97">
        <f t="shared" si="2"/>
        <v>0</v>
      </c>
      <c r="AN7" s="96">
        <f>'r1'!AB36</f>
        <v>0</v>
      </c>
      <c r="AO7" s="96">
        <f>'r1'!AC36</f>
        <v>0</v>
      </c>
      <c r="AP7" s="96">
        <f>'r1'!AD36</f>
        <v>0</v>
      </c>
      <c r="AQ7" s="96">
        <f t="shared" si="5"/>
        <v>0</v>
      </c>
      <c r="AR7" s="96">
        <f>'r1'!AA36</f>
        <v>0</v>
      </c>
      <c r="AS7" s="97"/>
      <c r="AT7" s="97"/>
    </row>
    <row r="8" spans="2:46" ht="18" customHeight="1">
      <c r="B8" s="18">
        <v>5</v>
      </c>
      <c r="C8" s="115" t="str">
        <v>KasiaJ</v>
      </c>
      <c r="D8" s="18">
        <v>0</v>
      </c>
      <c r="E8" s="25">
        <v>0</v>
      </c>
      <c r="F8" s="25">
        <v>0</v>
      </c>
      <c r="G8" s="25">
        <v>0</v>
      </c>
      <c r="H8" s="26">
        <v>0</v>
      </c>
      <c r="I8" s="16">
        <v>0</v>
      </c>
      <c r="J8" s="16">
        <v>0</v>
      </c>
      <c r="K8" s="16">
        <v>0</v>
      </c>
      <c r="L8" s="16"/>
      <c r="M8" s="29" t="str">
        <f>IF(B3=$D$44,3,"")</f>
        <v/>
      </c>
      <c r="O8" s="24">
        <v>5</v>
      </c>
      <c r="P8" s="115" t="str">
        <v>AndrzejO</v>
      </c>
      <c r="Q8" s="24">
        <v>0</v>
      </c>
      <c r="R8" s="25">
        <v>0</v>
      </c>
      <c r="S8" s="25">
        <v>0</v>
      </c>
      <c r="T8" s="25">
        <v>0</v>
      </c>
      <c r="U8" s="26">
        <v>0</v>
      </c>
      <c r="V8" s="16">
        <v>0</v>
      </c>
      <c r="W8" s="16">
        <v>0</v>
      </c>
      <c r="X8" s="16">
        <v>0</v>
      </c>
      <c r="Y8" s="16"/>
      <c r="Z8" s="29" t="str">
        <f>IF(O3=$D$44,3,"")</f>
        <v/>
      </c>
      <c r="AB8" s="116" t="str">
        <f>'r1'!B9</f>
        <v>KasiaJ</v>
      </c>
      <c r="AC8" s="97">
        <f t="shared" si="0"/>
        <v>0</v>
      </c>
      <c r="AD8" s="96">
        <f>'r1'!AB9</f>
        <v>0</v>
      </c>
      <c r="AE8" s="96">
        <f>'r1'!AC9</f>
        <v>0</v>
      </c>
      <c r="AF8" s="96">
        <f>'r1'!AD9</f>
        <v>0</v>
      </c>
      <c r="AG8" s="96">
        <f t="shared" si="4"/>
        <v>0</v>
      </c>
      <c r="AH8" s="96">
        <f>'r1'!AA9</f>
        <v>0</v>
      </c>
      <c r="AI8" s="96"/>
      <c r="AJ8" s="96"/>
      <c r="AL8" s="116" t="str">
        <f>'r1'!B37</f>
        <v>AndrzejO</v>
      </c>
      <c r="AM8" s="97">
        <f t="shared" si="2"/>
        <v>0</v>
      </c>
      <c r="AN8" s="96">
        <f>'r1'!AB37</f>
        <v>0</v>
      </c>
      <c r="AO8" s="96">
        <f>'r1'!AC37</f>
        <v>0</v>
      </c>
      <c r="AP8" s="96">
        <f>'r1'!AD37</f>
        <v>0</v>
      </c>
      <c r="AQ8" s="96">
        <f t="shared" si="5"/>
        <v>0</v>
      </c>
      <c r="AR8" s="96">
        <f>'r1'!AA37</f>
        <v>0</v>
      </c>
      <c r="AS8" s="97"/>
      <c r="AT8" s="97"/>
    </row>
    <row r="9" spans="2:46" ht="18" customHeight="1">
      <c r="B9" s="18">
        <v>6</v>
      </c>
      <c r="C9" s="115" t="str">
        <v>KrystianM</v>
      </c>
      <c r="D9" s="18">
        <v>0</v>
      </c>
      <c r="E9" s="25">
        <v>0</v>
      </c>
      <c r="F9" s="25">
        <v>0</v>
      </c>
      <c r="G9" s="25">
        <v>0</v>
      </c>
      <c r="H9" s="26">
        <v>0</v>
      </c>
      <c r="I9" s="16">
        <v>0</v>
      </c>
      <c r="J9" s="16">
        <v>0</v>
      </c>
      <c r="K9" s="16">
        <v>0</v>
      </c>
      <c r="L9" s="16"/>
      <c r="M9" s="29" t="str">
        <f>IF(B3=$D$44,2,"")</f>
        <v/>
      </c>
      <c r="O9" s="24">
        <v>6</v>
      </c>
      <c r="P9" s="115" t="str">
        <v>PiotreM</v>
      </c>
      <c r="Q9" s="24">
        <v>0</v>
      </c>
      <c r="R9" s="25">
        <v>0</v>
      </c>
      <c r="S9" s="25">
        <v>0</v>
      </c>
      <c r="T9" s="25">
        <v>0</v>
      </c>
      <c r="U9" s="26">
        <v>0</v>
      </c>
      <c r="V9" s="16">
        <v>0</v>
      </c>
      <c r="W9" s="16">
        <v>0</v>
      </c>
      <c r="X9" s="16">
        <v>0</v>
      </c>
      <c r="Y9" s="16"/>
      <c r="Z9" s="29" t="str">
        <f>IF(O3=$D$44,2,"")</f>
        <v/>
      </c>
      <c r="AB9" s="116" t="str">
        <f>'r1'!B10</f>
        <v>KrystianM</v>
      </c>
      <c r="AC9" s="97">
        <f t="shared" si="0"/>
        <v>0</v>
      </c>
      <c r="AD9" s="96">
        <f>'r1'!AB10</f>
        <v>0</v>
      </c>
      <c r="AE9" s="96">
        <f>'r1'!AC10</f>
        <v>0</v>
      </c>
      <c r="AF9" s="96">
        <f>'r1'!AD10</f>
        <v>0</v>
      </c>
      <c r="AG9" s="96">
        <f t="shared" si="4"/>
        <v>0</v>
      </c>
      <c r="AH9" s="96">
        <f>'r1'!AA10</f>
        <v>0</v>
      </c>
      <c r="AI9" s="96"/>
      <c r="AJ9" s="96"/>
      <c r="AL9" s="116" t="str">
        <f>'r1'!B38</f>
        <v>PiotreM</v>
      </c>
      <c r="AM9" s="97">
        <f t="shared" si="2"/>
        <v>0</v>
      </c>
      <c r="AN9" s="96">
        <f>'r1'!AB38</f>
        <v>0</v>
      </c>
      <c r="AO9" s="96">
        <f>'r1'!AC38</f>
        <v>0</v>
      </c>
      <c r="AP9" s="96">
        <f>'r1'!AD38</f>
        <v>0</v>
      </c>
      <c r="AQ9" s="96">
        <f t="shared" si="5"/>
        <v>0</v>
      </c>
      <c r="AR9" s="96">
        <f>'r1'!AA38</f>
        <v>0</v>
      </c>
      <c r="AS9" s="97"/>
      <c r="AT9" s="97"/>
    </row>
    <row r="10" spans="2:46" ht="18" customHeight="1">
      <c r="B10" s="18">
        <v>7</v>
      </c>
      <c r="C10" s="115" t="str">
        <v>PiotreG</v>
      </c>
      <c r="D10" s="18">
        <v>0</v>
      </c>
      <c r="E10" s="25">
        <v>0</v>
      </c>
      <c r="F10" s="25">
        <v>0</v>
      </c>
      <c r="G10" s="25">
        <v>0</v>
      </c>
      <c r="H10" s="26">
        <v>0</v>
      </c>
      <c r="I10" s="16">
        <v>0</v>
      </c>
      <c r="J10" s="16">
        <v>0</v>
      </c>
      <c r="K10" s="16">
        <v>0</v>
      </c>
      <c r="L10" s="16"/>
      <c r="M10" s="29" t="str">
        <f>IF(B3=$D$44,1,"")</f>
        <v/>
      </c>
      <c r="O10" s="24">
        <v>7</v>
      </c>
      <c r="P10" s="115" t="str">
        <v>DarekJell</v>
      </c>
      <c r="Q10" s="24">
        <v>0</v>
      </c>
      <c r="R10" s="25">
        <v>0</v>
      </c>
      <c r="S10" s="25">
        <v>0</v>
      </c>
      <c r="T10" s="25">
        <v>0</v>
      </c>
      <c r="U10" s="26">
        <v>0</v>
      </c>
      <c r="V10" s="16">
        <v>0</v>
      </c>
      <c r="W10" s="16">
        <v>0</v>
      </c>
      <c r="X10" s="16">
        <v>0</v>
      </c>
      <c r="Y10" s="16"/>
      <c r="Z10" s="29" t="str">
        <f>IF(O3=$D$44,1,"")</f>
        <v/>
      </c>
      <c r="AB10" s="116" t="str">
        <f>'r1'!B11</f>
        <v>PiotreG</v>
      </c>
      <c r="AC10" s="97">
        <f t="shared" si="0"/>
        <v>0</v>
      </c>
      <c r="AD10" s="96">
        <f>'r1'!AB11</f>
        <v>0</v>
      </c>
      <c r="AE10" s="96">
        <f>'r1'!AC11</f>
        <v>0</v>
      </c>
      <c r="AF10" s="96">
        <f>'r1'!AD11</f>
        <v>0</v>
      </c>
      <c r="AG10" s="96">
        <f t="shared" si="4"/>
        <v>0</v>
      </c>
      <c r="AH10" s="96">
        <f>'r1'!AA11</f>
        <v>0</v>
      </c>
      <c r="AI10" s="96"/>
      <c r="AJ10" s="96"/>
      <c r="AL10" s="116" t="str">
        <f>'r1'!B39</f>
        <v>DarekJell</v>
      </c>
      <c r="AM10" s="97">
        <f t="shared" si="2"/>
        <v>0</v>
      </c>
      <c r="AN10" s="96">
        <f>'r1'!AB39</f>
        <v>0</v>
      </c>
      <c r="AO10" s="96">
        <f>'r1'!AC39</f>
        <v>0</v>
      </c>
      <c r="AP10" s="96">
        <f>'r1'!AD39</f>
        <v>0</v>
      </c>
      <c r="AQ10" s="96">
        <f t="shared" si="5"/>
        <v>0</v>
      </c>
      <c r="AR10" s="96">
        <f>'r1'!AA39</f>
        <v>0</v>
      </c>
      <c r="AS10" s="97"/>
      <c r="AT10" s="97"/>
    </row>
    <row r="11" spans="2:46" ht="12" customHeight="1">
      <c r="AC11" s="100"/>
      <c r="AI11" s="100"/>
      <c r="AJ11" s="100"/>
      <c r="AM11" s="100"/>
    </row>
    <row r="12" spans="2:46" ht="18" customHeight="1">
      <c r="B12" s="27">
        <f>SUM(D13:D19)</f>
        <v>0</v>
      </c>
      <c r="C12" s="101" t="s">
        <v>8</v>
      </c>
      <c r="D12" s="21" t="s">
        <v>0</v>
      </c>
      <c r="E12" s="21" t="s">
        <v>2</v>
      </c>
      <c r="F12" s="21" t="s">
        <v>3</v>
      </c>
      <c r="G12" s="21" t="s">
        <v>4</v>
      </c>
      <c r="H12" s="21" t="s">
        <v>5</v>
      </c>
      <c r="I12" s="14" t="s">
        <v>6</v>
      </c>
      <c r="J12" s="21" t="s">
        <v>11</v>
      </c>
      <c r="K12" s="21" t="s">
        <v>15</v>
      </c>
      <c r="L12" s="21"/>
      <c r="M12" s="28" t="s">
        <v>14</v>
      </c>
      <c r="O12" s="27">
        <f>SUM(Q13:Q19)</f>
        <v>0</v>
      </c>
      <c r="P12" s="109" t="s">
        <v>7</v>
      </c>
      <c r="Q12" s="31" t="s">
        <v>0</v>
      </c>
      <c r="R12" s="31" t="s">
        <v>2</v>
      </c>
      <c r="S12" s="31" t="s">
        <v>3</v>
      </c>
      <c r="T12" s="31" t="s">
        <v>4</v>
      </c>
      <c r="U12" s="32" t="s">
        <v>5</v>
      </c>
      <c r="V12" s="30" t="s">
        <v>6</v>
      </c>
      <c r="W12" s="31" t="s">
        <v>11</v>
      </c>
      <c r="X12" s="31" t="s">
        <v>15</v>
      </c>
      <c r="Y12" s="31"/>
      <c r="Z12" s="28" t="s">
        <v>14</v>
      </c>
      <c r="AB12" s="94" t="s">
        <v>8</v>
      </c>
      <c r="AC12" s="95" t="s">
        <v>0</v>
      </c>
      <c r="AD12" s="94" t="s">
        <v>2</v>
      </c>
      <c r="AE12" s="94" t="s">
        <v>3</v>
      </c>
      <c r="AF12" s="94" t="s">
        <v>4</v>
      </c>
      <c r="AG12" s="94" t="s">
        <v>5</v>
      </c>
      <c r="AH12" s="94" t="s">
        <v>6</v>
      </c>
      <c r="AI12" s="94" t="s">
        <v>11</v>
      </c>
      <c r="AJ12" s="94" t="s">
        <v>15</v>
      </c>
      <c r="AL12" s="94" t="s">
        <v>16</v>
      </c>
      <c r="AM12" s="95" t="s">
        <v>0</v>
      </c>
      <c r="AN12" s="95" t="s">
        <v>12</v>
      </c>
      <c r="AO12" s="95" t="s">
        <v>3</v>
      </c>
      <c r="AP12" s="95" t="s">
        <v>4</v>
      </c>
      <c r="AQ12" s="95" t="s">
        <v>5</v>
      </c>
      <c r="AR12" s="94" t="s">
        <v>6</v>
      </c>
      <c r="AS12" s="95" t="s">
        <v>11</v>
      </c>
      <c r="AT12" s="95" t="s">
        <v>15</v>
      </c>
    </row>
    <row r="13" spans="2:46" ht="18" customHeight="1">
      <c r="B13" s="21">
        <v>1</v>
      </c>
      <c r="C13" s="115" t="str" cm="1">
        <f t="array" ref="C13:K19">_xlfn.SORTBY(AB13:AJ19,AC13:AC19,-1,AG13:AG19,-1,AJ13:AJ19,-1,AH13:AH19,-1,AI13:AI19,-1)</f>
        <v>Prozped</v>
      </c>
      <c r="D13" s="21">
        <v>0</v>
      </c>
      <c r="E13" s="25">
        <v>0</v>
      </c>
      <c r="F13" s="25">
        <v>0</v>
      </c>
      <c r="G13" s="25">
        <v>0</v>
      </c>
      <c r="H13" s="26">
        <v>0</v>
      </c>
      <c r="I13" s="16">
        <v>0</v>
      </c>
      <c r="J13" s="16">
        <v>0</v>
      </c>
      <c r="K13" s="16">
        <v>0</v>
      </c>
      <c r="L13" s="16"/>
      <c r="M13" s="29">
        <v>15</v>
      </c>
      <c r="O13" s="31">
        <v>1</v>
      </c>
      <c r="P13" s="115" t="str" cm="1">
        <f t="array" ref="P13:X19">_xlfn.SORTBY(AL13:AT19,AM13:AM19,-1,AQ13:AQ19,-1,AT13:AT19,-1,AR13:AR19,-1,AS13:AS19,-1)</f>
        <v>Maciej</v>
      </c>
      <c r="Q13" s="31">
        <v>0</v>
      </c>
      <c r="R13" s="25">
        <v>0</v>
      </c>
      <c r="S13" s="25">
        <v>0</v>
      </c>
      <c r="T13" s="25">
        <v>0</v>
      </c>
      <c r="U13" s="26">
        <v>0</v>
      </c>
      <c r="V13" s="16">
        <v>0</v>
      </c>
      <c r="W13" s="16">
        <v>0</v>
      </c>
      <c r="X13" s="16">
        <v>0</v>
      </c>
      <c r="Y13" s="16"/>
      <c r="Z13" s="29">
        <v>15</v>
      </c>
      <c r="AB13" s="116" t="str">
        <f>'r1'!B12</f>
        <v>Prozped</v>
      </c>
      <c r="AC13" s="97">
        <f t="shared" ref="AC13:AC19" si="6">SUM(AH13:AJ13)</f>
        <v>0</v>
      </c>
      <c r="AD13" s="96">
        <f>'r1'!AB12</f>
        <v>0</v>
      </c>
      <c r="AE13" s="96">
        <f>'r1'!AC12</f>
        <v>0</v>
      </c>
      <c r="AF13" s="96">
        <f>'r1'!AD12</f>
        <v>0</v>
      </c>
      <c r="AG13" s="96">
        <f t="shared" ref="AG13" si="7">SUM(AD13:AF13)/$Z$1</f>
        <v>0</v>
      </c>
      <c r="AH13" s="96">
        <f>'r1'!AA12</f>
        <v>0</v>
      </c>
      <c r="AI13" s="96"/>
      <c r="AJ13" s="96"/>
      <c r="AL13" s="116" t="str">
        <f>'r1'!B40</f>
        <v>Maciej</v>
      </c>
      <c r="AM13" s="97">
        <f t="shared" ref="AM13:AM19" si="8">SUM(AR13:AT13)</f>
        <v>0</v>
      </c>
      <c r="AN13" s="96">
        <f>'r1'!AB40</f>
        <v>0</v>
      </c>
      <c r="AO13" s="96">
        <f>'r1'!AC40</f>
        <v>0</v>
      </c>
      <c r="AP13" s="96">
        <f>'r1'!AD40</f>
        <v>0</v>
      </c>
      <c r="AQ13" s="96">
        <f t="shared" ref="AQ13" si="9">SUM(AN13:AP13)/$Z$1</f>
        <v>0</v>
      </c>
      <c r="AR13" s="96">
        <f>'r1'!AA40</f>
        <v>0</v>
      </c>
      <c r="AS13" s="97"/>
      <c r="AT13" s="97"/>
    </row>
    <row r="14" spans="2:46" ht="18" customHeight="1">
      <c r="B14" s="21">
        <v>2</v>
      </c>
      <c r="C14" s="115" t="str">
        <v>Artur</v>
      </c>
      <c r="D14" s="21">
        <v>0</v>
      </c>
      <c r="E14" s="25">
        <v>0</v>
      </c>
      <c r="F14" s="25">
        <v>0</v>
      </c>
      <c r="G14" s="25">
        <v>0</v>
      </c>
      <c r="H14" s="26">
        <v>0</v>
      </c>
      <c r="I14" s="16">
        <v>0</v>
      </c>
      <c r="J14" s="16">
        <v>0</v>
      </c>
      <c r="K14" s="16">
        <v>0</v>
      </c>
      <c r="L14" s="16"/>
      <c r="M14" s="29">
        <v>10</v>
      </c>
      <c r="O14" s="31">
        <v>2</v>
      </c>
      <c r="P14" s="115" t="str">
        <v>KSZ</v>
      </c>
      <c r="Q14" s="31">
        <v>0</v>
      </c>
      <c r="R14" s="25">
        <v>0</v>
      </c>
      <c r="S14" s="25">
        <v>0</v>
      </c>
      <c r="T14" s="25">
        <v>0</v>
      </c>
      <c r="U14" s="26">
        <v>0</v>
      </c>
      <c r="V14" s="16">
        <v>0</v>
      </c>
      <c r="W14" s="16">
        <v>0</v>
      </c>
      <c r="X14" s="16">
        <v>0</v>
      </c>
      <c r="Y14" s="16"/>
      <c r="Z14" s="29">
        <v>10</v>
      </c>
      <c r="AB14" s="116" t="str">
        <f>'r1'!B13</f>
        <v>Artur</v>
      </c>
      <c r="AC14" s="97">
        <f t="shared" si="6"/>
        <v>0</v>
      </c>
      <c r="AD14" s="96">
        <f>'r1'!AB13</f>
        <v>0</v>
      </c>
      <c r="AE14" s="96">
        <f>'r1'!AC13</f>
        <v>0</v>
      </c>
      <c r="AF14" s="96">
        <f>'r1'!AD13</f>
        <v>0</v>
      </c>
      <c r="AG14" s="96">
        <f t="shared" ref="AG14:AG19" si="10">SUM(AD14:AF14)/$Z$1</f>
        <v>0</v>
      </c>
      <c r="AH14" s="96">
        <f>'r1'!AA13</f>
        <v>0</v>
      </c>
      <c r="AI14" s="96"/>
      <c r="AJ14" s="96"/>
      <c r="AL14" s="116" t="str">
        <f>'r1'!B41</f>
        <v>KSZ</v>
      </c>
      <c r="AM14" s="97">
        <f t="shared" si="8"/>
        <v>0</v>
      </c>
      <c r="AN14" s="96">
        <f>'r1'!AB41</f>
        <v>0</v>
      </c>
      <c r="AO14" s="96">
        <f>'r1'!AC41</f>
        <v>0</v>
      </c>
      <c r="AP14" s="96">
        <f>'r1'!AD41</f>
        <v>0</v>
      </c>
      <c r="AQ14" s="96">
        <f t="shared" ref="AQ14:AQ19" si="11">SUM(AN14:AP14)/$Z$1</f>
        <v>0</v>
      </c>
      <c r="AR14" s="96">
        <f>'r1'!AA41</f>
        <v>0</v>
      </c>
      <c r="AS14" s="97"/>
      <c r="AT14" s="97"/>
    </row>
    <row r="15" spans="2:46" ht="18" customHeight="1">
      <c r="B15" s="21">
        <v>3</v>
      </c>
      <c r="C15" s="115" t="str">
        <v>Sokółka</v>
      </c>
      <c r="D15" s="21">
        <v>0</v>
      </c>
      <c r="E15" s="25">
        <v>0</v>
      </c>
      <c r="F15" s="25">
        <v>0</v>
      </c>
      <c r="G15" s="25">
        <v>0</v>
      </c>
      <c r="H15" s="26">
        <v>0</v>
      </c>
      <c r="I15" s="16">
        <v>0</v>
      </c>
      <c r="J15" s="16">
        <v>0</v>
      </c>
      <c r="K15" s="16">
        <v>0</v>
      </c>
      <c r="L15" s="16"/>
      <c r="M15" s="29">
        <v>5</v>
      </c>
      <c r="O15" s="31">
        <v>3</v>
      </c>
      <c r="P15" s="115" t="str">
        <v>MarekP</v>
      </c>
      <c r="Q15" s="31">
        <v>0</v>
      </c>
      <c r="R15" s="25">
        <v>0</v>
      </c>
      <c r="S15" s="25">
        <v>0</v>
      </c>
      <c r="T15" s="25">
        <v>0</v>
      </c>
      <c r="U15" s="26">
        <v>0</v>
      </c>
      <c r="V15" s="16">
        <v>0</v>
      </c>
      <c r="W15" s="16">
        <v>0</v>
      </c>
      <c r="X15" s="16">
        <v>0</v>
      </c>
      <c r="Y15" s="16"/>
      <c r="Z15" s="29">
        <v>5</v>
      </c>
      <c r="AB15" s="116" t="str">
        <f>'r1'!B14</f>
        <v>Sokółka</v>
      </c>
      <c r="AC15" s="97">
        <f t="shared" si="6"/>
        <v>0</v>
      </c>
      <c r="AD15" s="96">
        <f>'r1'!AB14</f>
        <v>0</v>
      </c>
      <c r="AE15" s="96">
        <f>'r1'!AC14</f>
        <v>0</v>
      </c>
      <c r="AF15" s="96">
        <f>'r1'!AD14</f>
        <v>0</v>
      </c>
      <c r="AG15" s="96">
        <f t="shared" si="10"/>
        <v>0</v>
      </c>
      <c r="AH15" s="96">
        <f>'r1'!AA14</f>
        <v>0</v>
      </c>
      <c r="AI15" s="96"/>
      <c r="AJ15" s="96"/>
      <c r="AL15" s="116" t="str">
        <f>'r1'!B42</f>
        <v>MarekP</v>
      </c>
      <c r="AM15" s="97">
        <f t="shared" si="8"/>
        <v>0</v>
      </c>
      <c r="AN15" s="96">
        <f>'r1'!AB42</f>
        <v>0</v>
      </c>
      <c r="AO15" s="96">
        <f>'r1'!AC42</f>
        <v>0</v>
      </c>
      <c r="AP15" s="96">
        <f>'r1'!AD42</f>
        <v>0</v>
      </c>
      <c r="AQ15" s="96">
        <f t="shared" si="11"/>
        <v>0</v>
      </c>
      <c r="AR15" s="96">
        <f>'r1'!AA42</f>
        <v>0</v>
      </c>
      <c r="AS15" s="97"/>
      <c r="AT15" s="97"/>
    </row>
    <row r="16" spans="2:46" ht="18" customHeight="1">
      <c r="B16" s="21">
        <v>4</v>
      </c>
      <c r="C16" s="115" t="str">
        <v>KasiaK</v>
      </c>
      <c r="D16" s="21">
        <v>0</v>
      </c>
      <c r="E16" s="25">
        <v>0</v>
      </c>
      <c r="F16" s="25">
        <v>0</v>
      </c>
      <c r="G16" s="25">
        <v>0</v>
      </c>
      <c r="H16" s="26">
        <v>0</v>
      </c>
      <c r="I16" s="16">
        <v>0</v>
      </c>
      <c r="J16" s="16">
        <v>0</v>
      </c>
      <c r="K16" s="16">
        <v>0</v>
      </c>
      <c r="L16" s="16"/>
      <c r="M16" s="29" t="str">
        <f>IF(B12=$D$44,4,"")</f>
        <v/>
      </c>
      <c r="O16" s="31">
        <v>4</v>
      </c>
      <c r="P16" s="115" t="str">
        <v>KleoPatra</v>
      </c>
      <c r="Q16" s="31">
        <v>0</v>
      </c>
      <c r="R16" s="25">
        <v>0</v>
      </c>
      <c r="S16" s="25">
        <v>0</v>
      </c>
      <c r="T16" s="25">
        <v>0</v>
      </c>
      <c r="U16" s="26">
        <v>0</v>
      </c>
      <c r="V16" s="16">
        <v>0</v>
      </c>
      <c r="W16" s="16">
        <v>0</v>
      </c>
      <c r="X16" s="16">
        <v>0</v>
      </c>
      <c r="Y16" s="16"/>
      <c r="Z16" s="29" t="str">
        <f>IF(O12=$D$44,4,"")</f>
        <v/>
      </c>
      <c r="AB16" s="116" t="str">
        <f>'r1'!B15</f>
        <v>KasiaK</v>
      </c>
      <c r="AC16" s="97">
        <f t="shared" si="6"/>
        <v>0</v>
      </c>
      <c r="AD16" s="96">
        <f>'r1'!AB15</f>
        <v>0</v>
      </c>
      <c r="AE16" s="96">
        <f>'r1'!AC15</f>
        <v>0</v>
      </c>
      <c r="AF16" s="96">
        <f>'r1'!AD15</f>
        <v>0</v>
      </c>
      <c r="AG16" s="96">
        <f t="shared" si="10"/>
        <v>0</v>
      </c>
      <c r="AH16" s="96">
        <f>'r1'!AA15</f>
        <v>0</v>
      </c>
      <c r="AI16" s="96"/>
      <c r="AJ16" s="96"/>
      <c r="AL16" s="116" t="str">
        <f>'r1'!B43</f>
        <v>KleoPatra</v>
      </c>
      <c r="AM16" s="97">
        <f t="shared" si="8"/>
        <v>0</v>
      </c>
      <c r="AN16" s="96">
        <f>'r1'!AB43</f>
        <v>0</v>
      </c>
      <c r="AO16" s="96">
        <f>'r1'!AC43</f>
        <v>0</v>
      </c>
      <c r="AP16" s="96">
        <f>'r1'!AD43</f>
        <v>0</v>
      </c>
      <c r="AQ16" s="96">
        <f t="shared" si="11"/>
        <v>0</v>
      </c>
      <c r="AR16" s="96">
        <f>'r1'!AA43</f>
        <v>0</v>
      </c>
      <c r="AS16" s="97"/>
      <c r="AT16" s="97"/>
    </row>
    <row r="17" spans="2:46" ht="18" customHeight="1">
      <c r="B17" s="21">
        <v>5</v>
      </c>
      <c r="C17" s="115" t="str">
        <v>Seweryn</v>
      </c>
      <c r="D17" s="21">
        <v>0</v>
      </c>
      <c r="E17" s="25">
        <v>0</v>
      </c>
      <c r="F17" s="25">
        <v>0</v>
      </c>
      <c r="G17" s="25">
        <v>0</v>
      </c>
      <c r="H17" s="26">
        <v>0</v>
      </c>
      <c r="I17" s="16">
        <v>0</v>
      </c>
      <c r="J17" s="16">
        <v>0</v>
      </c>
      <c r="K17" s="16">
        <v>0</v>
      </c>
      <c r="L17" s="16"/>
      <c r="M17" s="29" t="str">
        <f>IF(B12=$D$44,3,"")</f>
        <v/>
      </c>
      <c r="O17" s="31">
        <v>5</v>
      </c>
      <c r="P17" s="115" t="str">
        <v>MichałeK</v>
      </c>
      <c r="Q17" s="31">
        <v>0</v>
      </c>
      <c r="R17" s="25">
        <v>0</v>
      </c>
      <c r="S17" s="25">
        <v>0</v>
      </c>
      <c r="T17" s="25">
        <v>0</v>
      </c>
      <c r="U17" s="26">
        <v>0</v>
      </c>
      <c r="V17" s="16">
        <v>0</v>
      </c>
      <c r="W17" s="16">
        <v>0</v>
      </c>
      <c r="X17" s="16">
        <v>0</v>
      </c>
      <c r="Y17" s="16"/>
      <c r="Z17" s="29" t="str">
        <f>IF(O12=$D$44,3,"")</f>
        <v/>
      </c>
      <c r="AB17" s="116" t="str">
        <f>'r1'!B16</f>
        <v>Seweryn</v>
      </c>
      <c r="AC17" s="97">
        <f t="shared" si="6"/>
        <v>0</v>
      </c>
      <c r="AD17" s="96">
        <f>'r1'!AB16</f>
        <v>0</v>
      </c>
      <c r="AE17" s="96">
        <f>'r1'!AC16</f>
        <v>0</v>
      </c>
      <c r="AF17" s="96">
        <f>'r1'!AD16</f>
        <v>0</v>
      </c>
      <c r="AG17" s="96">
        <f t="shared" si="10"/>
        <v>0</v>
      </c>
      <c r="AH17" s="96">
        <f>'r1'!AA16</f>
        <v>0</v>
      </c>
      <c r="AI17" s="96"/>
      <c r="AJ17" s="96"/>
      <c r="AL17" s="116" t="str">
        <f>'r1'!B44</f>
        <v>MichałeK</v>
      </c>
      <c r="AM17" s="97">
        <f t="shared" si="8"/>
        <v>0</v>
      </c>
      <c r="AN17" s="96">
        <f>'r1'!AB44</f>
        <v>0</v>
      </c>
      <c r="AO17" s="96">
        <f>'r1'!AC44</f>
        <v>0</v>
      </c>
      <c r="AP17" s="96">
        <f>'r1'!AD44</f>
        <v>0</v>
      </c>
      <c r="AQ17" s="96">
        <f t="shared" si="11"/>
        <v>0</v>
      </c>
      <c r="AR17" s="96">
        <f>'r1'!AA44</f>
        <v>0</v>
      </c>
      <c r="AS17" s="97"/>
      <c r="AT17" s="97"/>
    </row>
    <row r="18" spans="2:46" ht="18" customHeight="1">
      <c r="B18" s="21">
        <v>6</v>
      </c>
      <c r="C18" s="115" t="str">
        <v>DarekL</v>
      </c>
      <c r="D18" s="21">
        <v>0</v>
      </c>
      <c r="E18" s="25">
        <v>0</v>
      </c>
      <c r="F18" s="25">
        <v>0</v>
      </c>
      <c r="G18" s="25">
        <v>0</v>
      </c>
      <c r="H18" s="26">
        <v>0</v>
      </c>
      <c r="I18" s="16">
        <v>0</v>
      </c>
      <c r="J18" s="16">
        <v>0</v>
      </c>
      <c r="K18" s="16">
        <v>0</v>
      </c>
      <c r="L18" s="16"/>
      <c r="M18" s="29" t="str">
        <f>IF(B12=$D$44,2,"")</f>
        <v/>
      </c>
      <c r="O18" s="31">
        <v>6</v>
      </c>
      <c r="P18" s="115" t="str">
        <v>Witek</v>
      </c>
      <c r="Q18" s="31">
        <v>0</v>
      </c>
      <c r="R18" s="25">
        <v>0</v>
      </c>
      <c r="S18" s="25">
        <v>0</v>
      </c>
      <c r="T18" s="25">
        <v>0</v>
      </c>
      <c r="U18" s="26">
        <v>0</v>
      </c>
      <c r="V18" s="16">
        <v>0</v>
      </c>
      <c r="W18" s="16">
        <v>0</v>
      </c>
      <c r="X18" s="16">
        <v>0</v>
      </c>
      <c r="Y18" s="16"/>
      <c r="Z18" s="29" t="str">
        <f>IF(O12=$D$44,2,"")</f>
        <v/>
      </c>
      <c r="AB18" s="116" t="str">
        <f>'r1'!B17</f>
        <v>DarekL</v>
      </c>
      <c r="AC18" s="97">
        <f t="shared" si="6"/>
        <v>0</v>
      </c>
      <c r="AD18" s="96">
        <f>'r1'!AB17</f>
        <v>0</v>
      </c>
      <c r="AE18" s="96">
        <f>'r1'!AC17</f>
        <v>0</v>
      </c>
      <c r="AF18" s="96">
        <f>'r1'!AD17</f>
        <v>0</v>
      </c>
      <c r="AG18" s="96">
        <f t="shared" si="10"/>
        <v>0</v>
      </c>
      <c r="AH18" s="96">
        <f>'r1'!AA17</f>
        <v>0</v>
      </c>
      <c r="AI18" s="96"/>
      <c r="AJ18" s="96"/>
      <c r="AL18" s="116" t="str">
        <f>'r1'!B45</f>
        <v>Witek</v>
      </c>
      <c r="AM18" s="97">
        <f t="shared" si="8"/>
        <v>0</v>
      </c>
      <c r="AN18" s="96">
        <f>'r1'!AB45</f>
        <v>0</v>
      </c>
      <c r="AO18" s="96">
        <f>'r1'!AC45</f>
        <v>0</v>
      </c>
      <c r="AP18" s="96">
        <f>'r1'!AD45</f>
        <v>0</v>
      </c>
      <c r="AQ18" s="96">
        <f t="shared" si="11"/>
        <v>0</v>
      </c>
      <c r="AR18" s="96">
        <f>'r1'!AA45</f>
        <v>0</v>
      </c>
      <c r="AS18" s="97"/>
      <c r="AT18" s="97"/>
    </row>
    <row r="19" spans="2:46" ht="18" customHeight="1">
      <c r="B19" s="21">
        <v>7</v>
      </c>
      <c r="C19" s="115" t="str">
        <v>KrzysztoW</v>
      </c>
      <c r="D19" s="21">
        <v>0</v>
      </c>
      <c r="E19" s="25">
        <v>0</v>
      </c>
      <c r="F19" s="25">
        <v>0</v>
      </c>
      <c r="G19" s="25">
        <v>0</v>
      </c>
      <c r="H19" s="26">
        <v>0</v>
      </c>
      <c r="I19" s="16">
        <v>0</v>
      </c>
      <c r="J19" s="16">
        <v>0</v>
      </c>
      <c r="K19" s="16">
        <v>0</v>
      </c>
      <c r="L19" s="16"/>
      <c r="M19" s="29" t="str">
        <f>IF(B12=$D$44,1,"")</f>
        <v/>
      </c>
      <c r="O19" s="31">
        <v>7</v>
      </c>
      <c r="P19" s="115" t="str">
        <v>RobertLat</v>
      </c>
      <c r="Q19" s="31">
        <v>0</v>
      </c>
      <c r="R19" s="25">
        <v>0</v>
      </c>
      <c r="S19" s="25">
        <v>0</v>
      </c>
      <c r="T19" s="25">
        <v>0</v>
      </c>
      <c r="U19" s="26">
        <v>0</v>
      </c>
      <c r="V19" s="16">
        <v>0</v>
      </c>
      <c r="W19" s="16">
        <v>0</v>
      </c>
      <c r="X19" s="16">
        <v>0</v>
      </c>
      <c r="Y19" s="16"/>
      <c r="Z19" s="29" t="str">
        <f>IF(O12=$D$44,1,"")</f>
        <v/>
      </c>
      <c r="AB19" s="116" t="str">
        <f>'r1'!B18</f>
        <v>KrzysztoW</v>
      </c>
      <c r="AC19" s="97">
        <f t="shared" si="6"/>
        <v>0</v>
      </c>
      <c r="AD19" s="96">
        <f>'r1'!AB18</f>
        <v>0</v>
      </c>
      <c r="AE19" s="96">
        <f>'r1'!AC18</f>
        <v>0</v>
      </c>
      <c r="AF19" s="96">
        <f>'r1'!AD18</f>
        <v>0</v>
      </c>
      <c r="AG19" s="96">
        <f t="shared" si="10"/>
        <v>0</v>
      </c>
      <c r="AH19" s="96">
        <f>'r1'!AA18</f>
        <v>0</v>
      </c>
      <c r="AI19" s="96"/>
      <c r="AJ19" s="96"/>
      <c r="AL19" s="116" t="str">
        <f>'r1'!B46</f>
        <v>RobertLat</v>
      </c>
      <c r="AM19" s="97">
        <f t="shared" si="8"/>
        <v>0</v>
      </c>
      <c r="AN19" s="96">
        <f>'r1'!AB46</f>
        <v>0</v>
      </c>
      <c r="AO19" s="96">
        <f>'r1'!AC46</f>
        <v>0</v>
      </c>
      <c r="AP19" s="96">
        <f>'r1'!AD46</f>
        <v>0</v>
      </c>
      <c r="AQ19" s="96">
        <f t="shared" si="11"/>
        <v>0</v>
      </c>
      <c r="AR19" s="96">
        <f>'r1'!AA46</f>
        <v>0</v>
      </c>
      <c r="AS19" s="97"/>
      <c r="AT19" s="97"/>
    </row>
    <row r="20" spans="2:46" ht="15" customHeight="1">
      <c r="AM20" s="99"/>
    </row>
    <row r="21" spans="2:46" ht="18" customHeight="1">
      <c r="B21" s="27">
        <f>SUM(D22:D28)</f>
        <v>0</v>
      </c>
      <c r="C21" s="106" t="s">
        <v>9</v>
      </c>
      <c r="D21" s="22" t="s">
        <v>0</v>
      </c>
      <c r="E21" s="22" t="s">
        <v>2</v>
      </c>
      <c r="F21" s="22" t="s">
        <v>3</v>
      </c>
      <c r="G21" s="22" t="s">
        <v>4</v>
      </c>
      <c r="H21" s="22" t="s">
        <v>5</v>
      </c>
      <c r="I21" s="11" t="s">
        <v>6</v>
      </c>
      <c r="J21" s="22" t="s">
        <v>11</v>
      </c>
      <c r="K21" s="22" t="s">
        <v>15</v>
      </c>
      <c r="L21" s="22"/>
      <c r="M21" s="28" t="s">
        <v>14</v>
      </c>
      <c r="O21" s="27">
        <f>SUM(Q22:Q28)</f>
        <v>0</v>
      </c>
      <c r="P21" s="110" t="s">
        <v>7</v>
      </c>
      <c r="Q21" s="36" t="s">
        <v>0</v>
      </c>
      <c r="R21" s="36" t="s">
        <v>2</v>
      </c>
      <c r="S21" s="36" t="s">
        <v>3</v>
      </c>
      <c r="T21" s="36" t="s">
        <v>4</v>
      </c>
      <c r="U21" s="37" t="s">
        <v>5</v>
      </c>
      <c r="V21" s="35" t="s">
        <v>6</v>
      </c>
      <c r="W21" s="36" t="s">
        <v>11</v>
      </c>
      <c r="X21" s="36" t="s">
        <v>15</v>
      </c>
      <c r="Y21" s="36"/>
      <c r="Z21" s="28" t="s">
        <v>14</v>
      </c>
      <c r="AB21" s="94" t="s">
        <v>9</v>
      </c>
      <c r="AC21" s="95" t="s">
        <v>0</v>
      </c>
      <c r="AD21" s="94" t="s">
        <v>2</v>
      </c>
      <c r="AE21" s="94" t="s">
        <v>3</v>
      </c>
      <c r="AF21" s="94" t="s">
        <v>4</v>
      </c>
      <c r="AG21" s="94" t="s">
        <v>5</v>
      </c>
      <c r="AH21" s="94" t="s">
        <v>6</v>
      </c>
      <c r="AI21" s="94" t="s">
        <v>11</v>
      </c>
      <c r="AJ21" s="94" t="s">
        <v>15</v>
      </c>
      <c r="AL21" s="94" t="s">
        <v>25</v>
      </c>
      <c r="AM21" s="95" t="s">
        <v>0</v>
      </c>
      <c r="AN21" s="95" t="s">
        <v>12</v>
      </c>
      <c r="AO21" s="95" t="s">
        <v>3</v>
      </c>
      <c r="AP21" s="95" t="s">
        <v>4</v>
      </c>
      <c r="AQ21" s="95" t="s">
        <v>5</v>
      </c>
      <c r="AR21" s="94" t="s">
        <v>6</v>
      </c>
      <c r="AS21" s="95" t="s">
        <v>11</v>
      </c>
      <c r="AT21" s="95" t="s">
        <v>15</v>
      </c>
    </row>
    <row r="22" spans="2:46" ht="18" customHeight="1">
      <c r="B22" s="22">
        <v>1</v>
      </c>
      <c r="C22" s="115" t="str" cm="1">
        <f t="array" ref="C22:K28">_xlfn.SORTBY(AB22:AJ28,AC22:AC28,-1,AG22:AG28,-1,AJ22:AJ28,-1,AH22:AH28,-1,AI22:AI28,-1)</f>
        <v>Magiera</v>
      </c>
      <c r="D22" s="22">
        <v>0</v>
      </c>
      <c r="E22" s="25">
        <v>0</v>
      </c>
      <c r="F22" s="25">
        <v>0</v>
      </c>
      <c r="G22" s="25">
        <v>0</v>
      </c>
      <c r="H22" s="26">
        <v>0</v>
      </c>
      <c r="I22" s="16">
        <v>0</v>
      </c>
      <c r="J22" s="16">
        <v>0</v>
      </c>
      <c r="K22" s="16">
        <v>0</v>
      </c>
      <c r="L22" s="16"/>
      <c r="M22" s="29">
        <v>15</v>
      </c>
      <c r="O22" s="36">
        <v>1</v>
      </c>
      <c r="P22" s="115" t="str" cm="1">
        <f t="array" ref="P22:X28">_xlfn.SORTBY(AL22:AT28,AM22:AM28,-1,AQ22:AQ28,-1,AT22:AT28,-1,AR22:AR28,-1,AS22:AS28,-1)</f>
        <v>DeDe</v>
      </c>
      <c r="Q22" s="36">
        <v>0</v>
      </c>
      <c r="R22" s="25">
        <v>0</v>
      </c>
      <c r="S22" s="25">
        <v>0</v>
      </c>
      <c r="T22" s="25">
        <v>0</v>
      </c>
      <c r="U22" s="26">
        <v>0</v>
      </c>
      <c r="V22" s="16">
        <v>0</v>
      </c>
      <c r="W22" s="16">
        <v>0</v>
      </c>
      <c r="X22" s="16">
        <v>0</v>
      </c>
      <c r="Y22" s="16"/>
      <c r="Z22" s="29">
        <v>15</v>
      </c>
      <c r="AB22" s="116" t="str">
        <f>'r1'!B19</f>
        <v>Magiera</v>
      </c>
      <c r="AC22" s="97">
        <f t="shared" ref="AC22:AC28" si="12">SUM(AH22:AJ22)</f>
        <v>0</v>
      </c>
      <c r="AD22" s="96">
        <f>'r1'!AB19</f>
        <v>0</v>
      </c>
      <c r="AE22" s="96">
        <f>'r1'!AC19</f>
        <v>0</v>
      </c>
      <c r="AF22" s="96">
        <f>'r1'!AD19</f>
        <v>0</v>
      </c>
      <c r="AG22" s="96">
        <f t="shared" ref="AG22" si="13">SUM(AD22:AF22)/$Z$1</f>
        <v>0</v>
      </c>
      <c r="AH22" s="96">
        <f>'r1'!AA19</f>
        <v>0</v>
      </c>
      <c r="AI22" s="96"/>
      <c r="AJ22" s="96"/>
      <c r="AL22" s="116" t="str">
        <f>'r1'!B47</f>
        <v>DeDe</v>
      </c>
      <c r="AM22" s="97">
        <f t="shared" ref="AM22:AM28" si="14">SUM(AR22:AT22)</f>
        <v>0</v>
      </c>
      <c r="AN22" s="96">
        <f>'r1'!AB47</f>
        <v>0</v>
      </c>
      <c r="AO22" s="96">
        <f>'r1'!AC47</f>
        <v>0</v>
      </c>
      <c r="AP22" s="96">
        <f>'r1'!AD47</f>
        <v>0</v>
      </c>
      <c r="AQ22" s="96">
        <f t="shared" ref="AQ22" si="15">SUM(AN22:AP22)/$Z$1</f>
        <v>0</v>
      </c>
      <c r="AR22" s="96">
        <f>'r1'!AA47</f>
        <v>0</v>
      </c>
      <c r="AS22" s="97"/>
      <c r="AT22" s="97"/>
    </row>
    <row r="23" spans="2:46" ht="18" customHeight="1">
      <c r="B23" s="22">
        <v>2</v>
      </c>
      <c r="C23" s="115" t="str">
        <v>Henryk</v>
      </c>
      <c r="D23" s="22">
        <v>0</v>
      </c>
      <c r="E23" s="25">
        <v>0</v>
      </c>
      <c r="F23" s="25">
        <v>0</v>
      </c>
      <c r="G23" s="25">
        <v>0</v>
      </c>
      <c r="H23" s="26">
        <v>0</v>
      </c>
      <c r="I23" s="16">
        <v>0</v>
      </c>
      <c r="J23" s="16">
        <v>0</v>
      </c>
      <c r="K23" s="16">
        <v>0</v>
      </c>
      <c r="L23" s="16"/>
      <c r="M23" s="29">
        <v>10</v>
      </c>
      <c r="O23" s="36">
        <v>2</v>
      </c>
      <c r="P23" s="115" t="str">
        <v>Cypryjka</v>
      </c>
      <c r="Q23" s="36">
        <v>0</v>
      </c>
      <c r="R23" s="25">
        <v>0</v>
      </c>
      <c r="S23" s="25">
        <v>0</v>
      </c>
      <c r="T23" s="25">
        <v>0</v>
      </c>
      <c r="U23" s="26">
        <v>0</v>
      </c>
      <c r="V23" s="16">
        <v>0</v>
      </c>
      <c r="W23" s="16">
        <v>0</v>
      </c>
      <c r="X23" s="16">
        <v>0</v>
      </c>
      <c r="Y23" s="16"/>
      <c r="Z23" s="29">
        <v>10</v>
      </c>
      <c r="AB23" s="116" t="str">
        <f>'r1'!B20</f>
        <v>Henryk</v>
      </c>
      <c r="AC23" s="97">
        <f t="shared" si="12"/>
        <v>0</v>
      </c>
      <c r="AD23" s="96">
        <f>'r1'!AB20</f>
        <v>0</v>
      </c>
      <c r="AE23" s="96">
        <f>'r1'!AC20</f>
        <v>0</v>
      </c>
      <c r="AF23" s="96">
        <f>'r1'!AD20</f>
        <v>0</v>
      </c>
      <c r="AG23" s="96">
        <f t="shared" ref="AG23:AG28" si="16">SUM(AD23:AF23)/$Z$1</f>
        <v>0</v>
      </c>
      <c r="AH23" s="96">
        <f>'r1'!AA20</f>
        <v>0</v>
      </c>
      <c r="AI23" s="96"/>
      <c r="AJ23" s="96"/>
      <c r="AL23" s="116" t="str">
        <f>'r1'!B48</f>
        <v>Cypryjka</v>
      </c>
      <c r="AM23" s="97">
        <f t="shared" si="14"/>
        <v>0</v>
      </c>
      <c r="AN23" s="96">
        <f>'r1'!AB48</f>
        <v>0</v>
      </c>
      <c r="AO23" s="96">
        <f>'r1'!AC48</f>
        <v>0</v>
      </c>
      <c r="AP23" s="96">
        <f>'r1'!AD48</f>
        <v>0</v>
      </c>
      <c r="AQ23" s="96">
        <f t="shared" ref="AQ23:AQ28" si="17">SUM(AN23:AP23)/$Z$1</f>
        <v>0</v>
      </c>
      <c r="AR23" s="96">
        <f>'r1'!AA48</f>
        <v>0</v>
      </c>
      <c r="AS23" s="97"/>
      <c r="AT23" s="97"/>
    </row>
    <row r="24" spans="2:46" ht="18" customHeight="1">
      <c r="B24" s="22">
        <v>3</v>
      </c>
      <c r="C24" s="115" t="str">
        <v>PPP</v>
      </c>
      <c r="D24" s="22">
        <v>0</v>
      </c>
      <c r="E24" s="25">
        <v>0</v>
      </c>
      <c r="F24" s="25">
        <v>0</v>
      </c>
      <c r="G24" s="25">
        <v>0</v>
      </c>
      <c r="H24" s="26">
        <v>0</v>
      </c>
      <c r="I24" s="16">
        <v>0</v>
      </c>
      <c r="J24" s="16">
        <v>0</v>
      </c>
      <c r="K24" s="16">
        <v>0</v>
      </c>
      <c r="L24" s="16"/>
      <c r="M24" s="29">
        <v>5</v>
      </c>
      <c r="O24" s="36">
        <v>3</v>
      </c>
      <c r="P24" s="115" t="str">
        <v>Tabus</v>
      </c>
      <c r="Q24" s="36">
        <v>0</v>
      </c>
      <c r="R24" s="25">
        <v>0</v>
      </c>
      <c r="S24" s="25">
        <v>0</v>
      </c>
      <c r="T24" s="25">
        <v>0</v>
      </c>
      <c r="U24" s="26">
        <v>0</v>
      </c>
      <c r="V24" s="16">
        <v>0</v>
      </c>
      <c r="W24" s="16">
        <v>0</v>
      </c>
      <c r="X24" s="16">
        <v>0</v>
      </c>
      <c r="Y24" s="16"/>
      <c r="Z24" s="29">
        <v>5</v>
      </c>
      <c r="AB24" s="116" t="str">
        <f>'r1'!B21</f>
        <v>PPP</v>
      </c>
      <c r="AC24" s="97">
        <f t="shared" si="12"/>
        <v>0</v>
      </c>
      <c r="AD24" s="96">
        <f>'r1'!AB21</f>
        <v>0</v>
      </c>
      <c r="AE24" s="96">
        <f>'r1'!AC21</f>
        <v>0</v>
      </c>
      <c r="AF24" s="96">
        <f>'r1'!AD21</f>
        <v>0</v>
      </c>
      <c r="AG24" s="96">
        <f t="shared" si="16"/>
        <v>0</v>
      </c>
      <c r="AH24" s="96">
        <f>'r1'!AA21</f>
        <v>0</v>
      </c>
      <c r="AI24" s="96"/>
      <c r="AJ24" s="96"/>
      <c r="AL24" s="116" t="str">
        <f>'r1'!B49</f>
        <v>Tabus</v>
      </c>
      <c r="AM24" s="97">
        <f t="shared" si="14"/>
        <v>0</v>
      </c>
      <c r="AN24" s="96">
        <f>'r1'!AB49</f>
        <v>0</v>
      </c>
      <c r="AO24" s="96">
        <f>'r1'!AC49</f>
        <v>0</v>
      </c>
      <c r="AP24" s="96">
        <f>'r1'!AD49</f>
        <v>0</v>
      </c>
      <c r="AQ24" s="96">
        <f t="shared" si="17"/>
        <v>0</v>
      </c>
      <c r="AR24" s="96">
        <f>'r1'!AA49</f>
        <v>0</v>
      </c>
      <c r="AS24" s="97"/>
      <c r="AT24" s="97"/>
    </row>
    <row r="25" spans="2:46" ht="18" customHeight="1">
      <c r="B25" s="22">
        <v>4</v>
      </c>
      <c r="C25" s="115" t="str">
        <v>Żaklina</v>
      </c>
      <c r="D25" s="22">
        <v>0</v>
      </c>
      <c r="E25" s="25">
        <v>0</v>
      </c>
      <c r="F25" s="25">
        <v>0</v>
      </c>
      <c r="G25" s="25">
        <v>0</v>
      </c>
      <c r="H25" s="26">
        <v>0</v>
      </c>
      <c r="I25" s="16">
        <v>0</v>
      </c>
      <c r="J25" s="16">
        <v>0</v>
      </c>
      <c r="K25" s="16">
        <v>0</v>
      </c>
      <c r="L25" s="16"/>
      <c r="M25" s="29" t="str">
        <f>IF(B21=$D$44,4,"")</f>
        <v/>
      </c>
      <c r="O25" s="36">
        <v>4</v>
      </c>
      <c r="P25" s="115" t="str">
        <v>AniaS</v>
      </c>
      <c r="Q25" s="36">
        <v>0</v>
      </c>
      <c r="R25" s="25">
        <v>0</v>
      </c>
      <c r="S25" s="25">
        <v>0</v>
      </c>
      <c r="T25" s="25">
        <v>0</v>
      </c>
      <c r="U25" s="26">
        <v>0</v>
      </c>
      <c r="V25" s="16">
        <v>0</v>
      </c>
      <c r="W25" s="16">
        <v>0</v>
      </c>
      <c r="X25" s="16">
        <v>0</v>
      </c>
      <c r="Y25" s="16"/>
      <c r="Z25" s="29" t="str">
        <f>IF(O21=$D$44,4,"")</f>
        <v/>
      </c>
      <c r="AB25" s="116" t="str">
        <f>'r1'!B22</f>
        <v>Żaklina</v>
      </c>
      <c r="AC25" s="97">
        <f t="shared" si="12"/>
        <v>0</v>
      </c>
      <c r="AD25" s="96">
        <f>'r1'!AB22</f>
        <v>0</v>
      </c>
      <c r="AE25" s="96">
        <f>'r1'!AC22</f>
        <v>0</v>
      </c>
      <c r="AF25" s="96">
        <f>'r1'!AD22</f>
        <v>0</v>
      </c>
      <c r="AG25" s="96">
        <f t="shared" si="16"/>
        <v>0</v>
      </c>
      <c r="AH25" s="96">
        <f>'r1'!AA22</f>
        <v>0</v>
      </c>
      <c r="AI25" s="96"/>
      <c r="AJ25" s="96"/>
      <c r="AL25" s="116" t="str">
        <f>'r1'!B50</f>
        <v>AniaS</v>
      </c>
      <c r="AM25" s="97">
        <f t="shared" si="14"/>
        <v>0</v>
      </c>
      <c r="AN25" s="96">
        <f>'r1'!AB50</f>
        <v>0</v>
      </c>
      <c r="AO25" s="96">
        <f>'r1'!AC50</f>
        <v>0</v>
      </c>
      <c r="AP25" s="96">
        <f>'r1'!AD50</f>
        <v>0</v>
      </c>
      <c r="AQ25" s="96">
        <f t="shared" si="17"/>
        <v>0</v>
      </c>
      <c r="AR25" s="96">
        <f>'r1'!AA50</f>
        <v>0</v>
      </c>
      <c r="AS25" s="97"/>
      <c r="AT25" s="97"/>
    </row>
    <row r="26" spans="2:46" ht="18" customHeight="1">
      <c r="B26" s="22">
        <v>5</v>
      </c>
      <c r="C26" s="115" t="str">
        <v>Cezary</v>
      </c>
      <c r="D26" s="22">
        <v>0</v>
      </c>
      <c r="E26" s="25">
        <v>0</v>
      </c>
      <c r="F26" s="25">
        <v>0</v>
      </c>
      <c r="G26" s="25">
        <v>0</v>
      </c>
      <c r="H26" s="26">
        <v>0</v>
      </c>
      <c r="I26" s="16">
        <v>0</v>
      </c>
      <c r="J26" s="16">
        <v>0</v>
      </c>
      <c r="K26" s="16">
        <v>0</v>
      </c>
      <c r="L26" s="16"/>
      <c r="M26" s="29" t="str">
        <f>IF(B21=$D$44,3,"")</f>
        <v/>
      </c>
      <c r="O26" s="36">
        <v>5</v>
      </c>
      <c r="P26" s="115" t="str">
        <v>Pimozid</v>
      </c>
      <c r="Q26" s="36">
        <v>0</v>
      </c>
      <c r="R26" s="25">
        <v>0</v>
      </c>
      <c r="S26" s="25">
        <v>0</v>
      </c>
      <c r="T26" s="25">
        <v>0</v>
      </c>
      <c r="U26" s="26">
        <v>0</v>
      </c>
      <c r="V26" s="16">
        <v>0</v>
      </c>
      <c r="W26" s="16">
        <v>0</v>
      </c>
      <c r="X26" s="16">
        <v>0</v>
      </c>
      <c r="Y26" s="16"/>
      <c r="Z26" s="29" t="str">
        <f>IF(O21=$D$44,3,"")</f>
        <v/>
      </c>
      <c r="AB26" s="116" t="str">
        <f>'r1'!B23</f>
        <v>Cezary</v>
      </c>
      <c r="AC26" s="97">
        <f t="shared" si="12"/>
        <v>0</v>
      </c>
      <c r="AD26" s="96">
        <f>'r1'!AB23</f>
        <v>0</v>
      </c>
      <c r="AE26" s="96">
        <f>'r1'!AC23</f>
        <v>0</v>
      </c>
      <c r="AF26" s="96">
        <f>'r1'!AD23</f>
        <v>0</v>
      </c>
      <c r="AG26" s="96">
        <f t="shared" si="16"/>
        <v>0</v>
      </c>
      <c r="AH26" s="96">
        <f>'r1'!AA23</f>
        <v>0</v>
      </c>
      <c r="AI26" s="96"/>
      <c r="AJ26" s="96"/>
      <c r="AL26" s="116" t="str">
        <f>'r1'!B51</f>
        <v>Pimozid</v>
      </c>
      <c r="AM26" s="97">
        <f t="shared" si="14"/>
        <v>0</v>
      </c>
      <c r="AN26" s="96">
        <f>'r1'!AB51</f>
        <v>0</v>
      </c>
      <c r="AO26" s="96">
        <f>'r1'!AC51</f>
        <v>0</v>
      </c>
      <c r="AP26" s="96">
        <f>'r1'!AD51</f>
        <v>0</v>
      </c>
      <c r="AQ26" s="96">
        <f t="shared" si="17"/>
        <v>0</v>
      </c>
      <c r="AR26" s="96">
        <f>'r1'!AA51</f>
        <v>0</v>
      </c>
      <c r="AS26" s="97"/>
      <c r="AT26" s="97"/>
    </row>
    <row r="27" spans="2:46" ht="18" customHeight="1">
      <c r="B27" s="22">
        <v>6</v>
      </c>
      <c r="C27" s="115" t="str">
        <v>Dziobak</v>
      </c>
      <c r="D27" s="22">
        <v>0</v>
      </c>
      <c r="E27" s="25">
        <v>0</v>
      </c>
      <c r="F27" s="25">
        <v>0</v>
      </c>
      <c r="G27" s="25">
        <v>0</v>
      </c>
      <c r="H27" s="26">
        <v>0</v>
      </c>
      <c r="I27" s="16">
        <v>0</v>
      </c>
      <c r="J27" s="16">
        <v>0</v>
      </c>
      <c r="K27" s="16">
        <v>0</v>
      </c>
      <c r="L27" s="16"/>
      <c r="M27" s="29" t="str">
        <f>IF(B21=$D$44,2,"")</f>
        <v/>
      </c>
      <c r="O27" s="36">
        <v>6</v>
      </c>
      <c r="P27" s="115" t="str">
        <v>KrzysztoWś</v>
      </c>
      <c r="Q27" s="36">
        <v>0</v>
      </c>
      <c r="R27" s="25">
        <v>0</v>
      </c>
      <c r="S27" s="25">
        <v>0</v>
      </c>
      <c r="T27" s="25">
        <v>0</v>
      </c>
      <c r="U27" s="26">
        <v>0</v>
      </c>
      <c r="V27" s="16">
        <v>0</v>
      </c>
      <c r="W27" s="16">
        <v>0</v>
      </c>
      <c r="X27" s="16">
        <v>0</v>
      </c>
      <c r="Y27" s="16"/>
      <c r="Z27" s="29" t="str">
        <f>IF(O21=$D$44,2,"")</f>
        <v/>
      </c>
      <c r="AB27" s="116" t="str">
        <f>'r1'!B24</f>
        <v>Dziobak</v>
      </c>
      <c r="AC27" s="97">
        <f t="shared" si="12"/>
        <v>0</v>
      </c>
      <c r="AD27" s="96">
        <f>'r1'!AB24</f>
        <v>0</v>
      </c>
      <c r="AE27" s="96">
        <f>'r1'!AC24</f>
        <v>0</v>
      </c>
      <c r="AF27" s="96">
        <f>'r1'!AD24</f>
        <v>0</v>
      </c>
      <c r="AG27" s="96">
        <f t="shared" si="16"/>
        <v>0</v>
      </c>
      <c r="AH27" s="96">
        <f>'r1'!AA24</f>
        <v>0</v>
      </c>
      <c r="AI27" s="96"/>
      <c r="AJ27" s="96"/>
      <c r="AL27" s="116" t="str">
        <f>'r1'!B52</f>
        <v>KrzysztoWś</v>
      </c>
      <c r="AM27" s="97">
        <f t="shared" si="14"/>
        <v>0</v>
      </c>
      <c r="AN27" s="96">
        <f>'r1'!AB52</f>
        <v>0</v>
      </c>
      <c r="AO27" s="96">
        <f>'r1'!AC52</f>
        <v>0</v>
      </c>
      <c r="AP27" s="96">
        <f>'r1'!AD52</f>
        <v>0</v>
      </c>
      <c r="AQ27" s="96">
        <f t="shared" si="17"/>
        <v>0</v>
      </c>
      <c r="AR27" s="96">
        <f>'r1'!AA52</f>
        <v>0</v>
      </c>
      <c r="AS27" s="97"/>
      <c r="AT27" s="97"/>
    </row>
    <row r="28" spans="2:46" ht="18" customHeight="1">
      <c r="B28" s="22">
        <v>7</v>
      </c>
      <c r="C28" s="115" t="str">
        <v>MateuszKn</v>
      </c>
      <c r="D28" s="22">
        <v>0</v>
      </c>
      <c r="E28" s="25">
        <v>0</v>
      </c>
      <c r="F28" s="25">
        <v>0</v>
      </c>
      <c r="G28" s="25">
        <v>0</v>
      </c>
      <c r="H28" s="26">
        <v>0</v>
      </c>
      <c r="I28" s="16">
        <v>0</v>
      </c>
      <c r="J28" s="16">
        <v>0</v>
      </c>
      <c r="K28" s="16">
        <v>0</v>
      </c>
      <c r="L28" s="16"/>
      <c r="M28" s="29" t="str">
        <f>IF(B21=$D$44,1,"")</f>
        <v/>
      </c>
      <c r="O28" s="36">
        <v>7</v>
      </c>
      <c r="P28" s="115" t="str">
        <v>Ruslan</v>
      </c>
      <c r="Q28" s="36">
        <v>0</v>
      </c>
      <c r="R28" s="25">
        <v>0</v>
      </c>
      <c r="S28" s="25">
        <v>0</v>
      </c>
      <c r="T28" s="25">
        <v>0</v>
      </c>
      <c r="U28" s="26">
        <v>0</v>
      </c>
      <c r="V28" s="16">
        <v>0</v>
      </c>
      <c r="W28" s="16">
        <v>0</v>
      </c>
      <c r="X28" s="16">
        <v>0</v>
      </c>
      <c r="Y28" s="16"/>
      <c r="Z28" s="29" t="str">
        <f>IF(O21=$D$44,1,"")</f>
        <v/>
      </c>
      <c r="AB28" s="116" t="str">
        <f>'r1'!B25</f>
        <v>MateuszKn</v>
      </c>
      <c r="AC28" s="97">
        <f t="shared" si="12"/>
        <v>0</v>
      </c>
      <c r="AD28" s="96">
        <f>'r1'!AB25</f>
        <v>0</v>
      </c>
      <c r="AE28" s="96">
        <f>'r1'!AC25</f>
        <v>0</v>
      </c>
      <c r="AF28" s="96">
        <f>'r1'!AD25</f>
        <v>0</v>
      </c>
      <c r="AG28" s="96">
        <f t="shared" si="16"/>
        <v>0</v>
      </c>
      <c r="AH28" s="96">
        <f>'r1'!AA25</f>
        <v>0</v>
      </c>
      <c r="AI28" s="96"/>
      <c r="AJ28" s="96"/>
      <c r="AL28" s="116" t="str">
        <f>'r1'!B53</f>
        <v>Ruslan</v>
      </c>
      <c r="AM28" s="97">
        <f t="shared" si="14"/>
        <v>0</v>
      </c>
      <c r="AN28" s="96">
        <f>'r1'!AB53</f>
        <v>0</v>
      </c>
      <c r="AO28" s="96">
        <f>'r1'!AC53</f>
        <v>0</v>
      </c>
      <c r="AP28" s="96">
        <f>'r1'!AD53</f>
        <v>0</v>
      </c>
      <c r="AQ28" s="96">
        <f t="shared" si="17"/>
        <v>0</v>
      </c>
      <c r="AR28" s="96">
        <f>'r1'!AA53</f>
        <v>0</v>
      </c>
      <c r="AS28" s="97"/>
      <c r="AT28" s="97"/>
    </row>
    <row r="29" spans="2:46" ht="18" customHeight="1">
      <c r="AI29" s="100"/>
      <c r="AJ29" s="100"/>
      <c r="AM29" s="99"/>
    </row>
    <row r="30" spans="2:46" ht="18" customHeight="1">
      <c r="B30" s="27">
        <f>SUM(D31:D37)</f>
        <v>0</v>
      </c>
      <c r="C30" s="107" t="s">
        <v>10</v>
      </c>
      <c r="D30" s="23" t="s">
        <v>0</v>
      </c>
      <c r="E30" s="23" t="s">
        <v>2</v>
      </c>
      <c r="F30" s="23" t="s">
        <v>3</v>
      </c>
      <c r="G30" s="23" t="s">
        <v>4</v>
      </c>
      <c r="H30" s="23" t="s">
        <v>5</v>
      </c>
      <c r="I30" s="15" t="s">
        <v>6</v>
      </c>
      <c r="J30" s="23" t="s">
        <v>11</v>
      </c>
      <c r="K30" s="23" t="s">
        <v>15</v>
      </c>
      <c r="L30" s="23"/>
      <c r="M30" s="28" t="s">
        <v>14</v>
      </c>
      <c r="O30" s="27">
        <f>SUM(Q31:Q37)</f>
        <v>0</v>
      </c>
      <c r="P30" s="111" t="s">
        <v>7</v>
      </c>
      <c r="Q30" s="39" t="s">
        <v>0</v>
      </c>
      <c r="R30" s="39" t="s">
        <v>2</v>
      </c>
      <c r="S30" s="39" t="s">
        <v>3</v>
      </c>
      <c r="T30" s="39" t="s">
        <v>4</v>
      </c>
      <c r="U30" s="40" t="s">
        <v>5</v>
      </c>
      <c r="V30" s="38" t="s">
        <v>6</v>
      </c>
      <c r="W30" s="39" t="s">
        <v>11</v>
      </c>
      <c r="X30" s="39" t="s">
        <v>15</v>
      </c>
      <c r="Y30" s="39"/>
      <c r="Z30" s="28" t="s">
        <v>14</v>
      </c>
      <c r="AB30" s="94" t="s">
        <v>10</v>
      </c>
      <c r="AC30" s="95" t="s">
        <v>0</v>
      </c>
      <c r="AD30" s="94" t="s">
        <v>12</v>
      </c>
      <c r="AE30" s="94" t="s">
        <v>3</v>
      </c>
      <c r="AF30" s="94" t="s">
        <v>4</v>
      </c>
      <c r="AG30" s="94" t="s">
        <v>5</v>
      </c>
      <c r="AH30" s="94" t="s">
        <v>6</v>
      </c>
      <c r="AI30" s="94" t="s">
        <v>11</v>
      </c>
      <c r="AJ30" s="94" t="s">
        <v>15</v>
      </c>
      <c r="AL30" s="94" t="s">
        <v>26</v>
      </c>
      <c r="AM30" s="95" t="s">
        <v>0</v>
      </c>
      <c r="AN30" s="95" t="s">
        <v>12</v>
      </c>
      <c r="AO30" s="95" t="s">
        <v>3</v>
      </c>
      <c r="AP30" s="95" t="s">
        <v>4</v>
      </c>
      <c r="AQ30" s="95" t="s">
        <v>5</v>
      </c>
      <c r="AR30" s="94" t="s">
        <v>6</v>
      </c>
      <c r="AS30" s="95" t="s">
        <v>11</v>
      </c>
      <c r="AT30" s="95" t="s">
        <v>15</v>
      </c>
    </row>
    <row r="31" spans="2:46" ht="18" customHeight="1">
      <c r="B31" s="23">
        <v>1</v>
      </c>
      <c r="C31" s="115" t="str" cm="1">
        <f t="array" ref="C31:K37">_xlfn.SORTBY(AB31:AJ37,AC31:AC37,-1,AG31:AG37,-1,AJ31:AJ37,-1,AH31:AH37,-1,AI31:AI37,-1)</f>
        <v>Przemek</v>
      </c>
      <c r="D31" s="23">
        <v>0</v>
      </c>
      <c r="E31" s="25">
        <v>0</v>
      </c>
      <c r="F31" s="25">
        <v>0</v>
      </c>
      <c r="G31" s="25">
        <v>0</v>
      </c>
      <c r="H31" s="26">
        <v>0</v>
      </c>
      <c r="I31" s="16">
        <v>0</v>
      </c>
      <c r="J31" s="16">
        <v>0</v>
      </c>
      <c r="K31" s="16">
        <v>0</v>
      </c>
      <c r="L31" s="16"/>
      <c r="M31" s="29">
        <v>15</v>
      </c>
      <c r="O31" s="39">
        <v>1</v>
      </c>
      <c r="P31" s="115" t="str" cm="1">
        <f t="array" ref="P31:X37">_xlfn.SORTBY(AL31:AT37,AM31:AM37,-1,AQ31:AQ37,-1,AT31:AT37,-1,AR31:AR37,-1,AS31:AS37,-1)</f>
        <v>PiotreK</v>
      </c>
      <c r="Q31" s="39">
        <v>0</v>
      </c>
      <c r="R31" s="25">
        <v>0</v>
      </c>
      <c r="S31" s="25">
        <v>0</v>
      </c>
      <c r="T31" s="25">
        <v>0</v>
      </c>
      <c r="U31" s="26">
        <v>0</v>
      </c>
      <c r="V31" s="16">
        <v>0</v>
      </c>
      <c r="W31" s="16">
        <v>0</v>
      </c>
      <c r="X31" s="16">
        <v>0</v>
      </c>
      <c r="Y31" s="16"/>
      <c r="Z31" s="29">
        <v>15</v>
      </c>
      <c r="AB31" s="116" t="str">
        <f>'r1'!B26</f>
        <v>Przemek</v>
      </c>
      <c r="AC31" s="97">
        <f t="shared" ref="AC31:AC37" si="18">SUM(AH31:AJ31)</f>
        <v>0</v>
      </c>
      <c r="AD31" s="96">
        <f>'r1'!AB26</f>
        <v>0</v>
      </c>
      <c r="AE31" s="96">
        <f>'r1'!AC26</f>
        <v>0</v>
      </c>
      <c r="AF31" s="96">
        <f>'r1'!AD26</f>
        <v>0</v>
      </c>
      <c r="AG31" s="96">
        <f t="shared" ref="AG31" si="19">SUM(AD31:AF31)/$Z$1</f>
        <v>0</v>
      </c>
      <c r="AH31" s="96">
        <f>'r1'!AA26</f>
        <v>0</v>
      </c>
      <c r="AI31" s="96"/>
      <c r="AJ31" s="96"/>
      <c r="AL31" s="116" t="str">
        <f>'r1'!B54</f>
        <v>PiotreK</v>
      </c>
      <c r="AM31" s="97">
        <f t="shared" ref="AM31:AM37" si="20">SUM(AR31:AT31)</f>
        <v>0</v>
      </c>
      <c r="AN31" s="96">
        <f>'r1'!AB54</f>
        <v>0</v>
      </c>
      <c r="AO31" s="96">
        <f>'r1'!AC54</f>
        <v>0</v>
      </c>
      <c r="AP31" s="96">
        <f>'r1'!AD54</f>
        <v>0</v>
      </c>
      <c r="AQ31" s="96">
        <f t="shared" ref="AQ31" si="21">SUM(AN31:AP31)/$Z$1</f>
        <v>0</v>
      </c>
      <c r="AR31" s="96">
        <f>'r1'!AA54</f>
        <v>0</v>
      </c>
      <c r="AS31" s="97"/>
      <c r="AT31" s="97"/>
    </row>
    <row r="32" spans="2:46" ht="18" customHeight="1">
      <c r="B32" s="23">
        <v>2</v>
      </c>
      <c r="C32" s="115" t="str">
        <v>Borys</v>
      </c>
      <c r="D32" s="23">
        <v>0</v>
      </c>
      <c r="E32" s="25">
        <v>0</v>
      </c>
      <c r="F32" s="25">
        <v>0</v>
      </c>
      <c r="G32" s="25">
        <v>0</v>
      </c>
      <c r="H32" s="26">
        <v>0</v>
      </c>
      <c r="I32" s="16">
        <v>0</v>
      </c>
      <c r="J32" s="16">
        <v>0</v>
      </c>
      <c r="K32" s="16">
        <v>0</v>
      </c>
      <c r="L32" s="16"/>
      <c r="M32" s="29">
        <v>10</v>
      </c>
      <c r="O32" s="39">
        <v>2</v>
      </c>
      <c r="P32" s="115" t="str">
        <v>KaBed</v>
      </c>
      <c r="Q32" s="39">
        <v>0</v>
      </c>
      <c r="R32" s="25">
        <v>0</v>
      </c>
      <c r="S32" s="25">
        <v>0</v>
      </c>
      <c r="T32" s="25">
        <v>0</v>
      </c>
      <c r="U32" s="26">
        <v>0</v>
      </c>
      <c r="V32" s="16">
        <v>0</v>
      </c>
      <c r="W32" s="16">
        <v>0</v>
      </c>
      <c r="X32" s="16">
        <v>0</v>
      </c>
      <c r="Y32" s="16"/>
      <c r="Z32" s="29">
        <v>10</v>
      </c>
      <c r="AB32" s="116" t="str">
        <f>'r1'!B27</f>
        <v>Borys</v>
      </c>
      <c r="AC32" s="97">
        <f t="shared" si="18"/>
        <v>0</v>
      </c>
      <c r="AD32" s="96">
        <f>'r1'!AB27</f>
        <v>0</v>
      </c>
      <c r="AE32" s="96">
        <f>'r1'!AC27</f>
        <v>0</v>
      </c>
      <c r="AF32" s="96">
        <f>'r1'!AD27</f>
        <v>0</v>
      </c>
      <c r="AG32" s="96">
        <f t="shared" ref="AG32:AG37" si="22">SUM(AD32:AF32)/$Z$1</f>
        <v>0</v>
      </c>
      <c r="AH32" s="96">
        <f>'r1'!AA27</f>
        <v>0</v>
      </c>
      <c r="AI32" s="96"/>
      <c r="AJ32" s="96"/>
      <c r="AL32" s="116" t="str">
        <f>'r1'!B55</f>
        <v>KaBed</v>
      </c>
      <c r="AM32" s="97">
        <f t="shared" si="20"/>
        <v>0</v>
      </c>
      <c r="AN32" s="96">
        <f>'r1'!AB55</f>
        <v>0</v>
      </c>
      <c r="AO32" s="96">
        <f>'r1'!AC55</f>
        <v>0</v>
      </c>
      <c r="AP32" s="96">
        <f>'r1'!AD55</f>
        <v>0</v>
      </c>
      <c r="AQ32" s="96">
        <f t="shared" ref="AQ32:AQ37" si="23">SUM(AN32:AP32)/$Z$1</f>
        <v>0</v>
      </c>
      <c r="AR32" s="96">
        <f>'r1'!AA55</f>
        <v>0</v>
      </c>
      <c r="AS32" s="97"/>
      <c r="AT32" s="97"/>
    </row>
    <row r="33" spans="2:46" ht="18" customHeight="1">
      <c r="B33" s="23">
        <v>3</v>
      </c>
      <c r="C33" s="115" t="str">
        <v>Turbo-Ryżu</v>
      </c>
      <c r="D33" s="23">
        <v>0</v>
      </c>
      <c r="E33" s="25">
        <v>0</v>
      </c>
      <c r="F33" s="25">
        <v>0</v>
      </c>
      <c r="G33" s="25">
        <v>0</v>
      </c>
      <c r="H33" s="26">
        <v>0</v>
      </c>
      <c r="I33" s="16">
        <v>0</v>
      </c>
      <c r="J33" s="16">
        <v>0</v>
      </c>
      <c r="K33" s="16">
        <v>0</v>
      </c>
      <c r="L33" s="16"/>
      <c r="M33" s="29">
        <v>5</v>
      </c>
      <c r="O33" s="39">
        <v>3</v>
      </c>
      <c r="P33" s="115" t="str">
        <v>Mirella</v>
      </c>
      <c r="Q33" s="39">
        <v>0</v>
      </c>
      <c r="R33" s="25">
        <v>0</v>
      </c>
      <c r="S33" s="25">
        <v>0</v>
      </c>
      <c r="T33" s="25">
        <v>0</v>
      </c>
      <c r="U33" s="26">
        <v>0</v>
      </c>
      <c r="V33" s="16">
        <v>0</v>
      </c>
      <c r="W33" s="16">
        <v>0</v>
      </c>
      <c r="X33" s="16">
        <v>0</v>
      </c>
      <c r="Y33" s="16"/>
      <c r="Z33" s="29">
        <v>5</v>
      </c>
      <c r="AB33" s="116" t="str">
        <f>'r1'!B28</f>
        <v>Turbo-Ryżu</v>
      </c>
      <c r="AC33" s="97">
        <f t="shared" si="18"/>
        <v>0</v>
      </c>
      <c r="AD33" s="96">
        <f>'r1'!AB28</f>
        <v>0</v>
      </c>
      <c r="AE33" s="96">
        <f>'r1'!AC28</f>
        <v>0</v>
      </c>
      <c r="AF33" s="96">
        <f>'r1'!AD28</f>
        <v>0</v>
      </c>
      <c r="AG33" s="96">
        <f t="shared" si="22"/>
        <v>0</v>
      </c>
      <c r="AH33" s="96">
        <f>'r1'!AA28</f>
        <v>0</v>
      </c>
      <c r="AI33" s="96"/>
      <c r="AJ33" s="96"/>
      <c r="AL33" s="116" t="str">
        <f>'r1'!B56</f>
        <v>Mirella</v>
      </c>
      <c r="AM33" s="97">
        <f t="shared" si="20"/>
        <v>0</v>
      </c>
      <c r="AN33" s="96">
        <f>'r1'!AB56</f>
        <v>0</v>
      </c>
      <c r="AO33" s="96">
        <f>'r1'!AC56</f>
        <v>0</v>
      </c>
      <c r="AP33" s="96">
        <f>'r1'!AD56</f>
        <v>0</v>
      </c>
      <c r="AQ33" s="96">
        <f t="shared" si="23"/>
        <v>0</v>
      </c>
      <c r="AR33" s="96">
        <f>'r1'!AA56</f>
        <v>0</v>
      </c>
      <c r="AS33" s="97"/>
      <c r="AT33" s="97"/>
    </row>
    <row r="34" spans="2:46" ht="18" customHeight="1">
      <c r="B34" s="23">
        <v>4</v>
      </c>
      <c r="C34" s="115" t="str">
        <v>MagdaP</v>
      </c>
      <c r="D34" s="23">
        <v>0</v>
      </c>
      <c r="E34" s="25">
        <v>0</v>
      </c>
      <c r="F34" s="25">
        <v>0</v>
      </c>
      <c r="G34" s="25">
        <v>0</v>
      </c>
      <c r="H34" s="26">
        <v>0</v>
      </c>
      <c r="I34" s="16">
        <v>0</v>
      </c>
      <c r="J34" s="16">
        <v>0</v>
      </c>
      <c r="K34" s="16">
        <v>0</v>
      </c>
      <c r="L34" s="16"/>
      <c r="M34" s="29" t="str">
        <f>IF(B30=$D$44,4,"")</f>
        <v/>
      </c>
      <c r="O34" s="39">
        <v>4</v>
      </c>
      <c r="P34" s="115" t="str">
        <v>Maria</v>
      </c>
      <c r="Q34" s="39">
        <v>0</v>
      </c>
      <c r="R34" s="25">
        <v>0</v>
      </c>
      <c r="S34" s="25">
        <v>0</v>
      </c>
      <c r="T34" s="25">
        <v>0</v>
      </c>
      <c r="U34" s="26">
        <v>0</v>
      </c>
      <c r="V34" s="16">
        <v>0</v>
      </c>
      <c r="W34" s="16">
        <v>0</v>
      </c>
      <c r="X34" s="16">
        <v>0</v>
      </c>
      <c r="Y34" s="16"/>
      <c r="Z34" s="29" t="str">
        <f>IF(O30=$D$44,4,"")</f>
        <v/>
      </c>
      <c r="AB34" s="116" t="str">
        <f>'r1'!B29</f>
        <v>MagdaP</v>
      </c>
      <c r="AC34" s="97">
        <f t="shared" si="18"/>
        <v>0</v>
      </c>
      <c r="AD34" s="96">
        <f>'r1'!AB29</f>
        <v>0</v>
      </c>
      <c r="AE34" s="96">
        <f>'r1'!AC29</f>
        <v>0</v>
      </c>
      <c r="AF34" s="96">
        <f>'r1'!AD29</f>
        <v>0</v>
      </c>
      <c r="AG34" s="96">
        <f t="shared" si="22"/>
        <v>0</v>
      </c>
      <c r="AH34" s="96">
        <f>'r1'!AA29</f>
        <v>0</v>
      </c>
      <c r="AI34" s="96"/>
      <c r="AJ34" s="96"/>
      <c r="AL34" s="116" t="str">
        <f>'r1'!B57</f>
        <v>Maria</v>
      </c>
      <c r="AM34" s="97">
        <f t="shared" si="20"/>
        <v>0</v>
      </c>
      <c r="AN34" s="96">
        <f>'r1'!AB57</f>
        <v>0</v>
      </c>
      <c r="AO34" s="96">
        <f>'r1'!AC57</f>
        <v>0</v>
      </c>
      <c r="AP34" s="96">
        <f>'r1'!AD57</f>
        <v>0</v>
      </c>
      <c r="AQ34" s="96">
        <f t="shared" si="23"/>
        <v>0</v>
      </c>
      <c r="AR34" s="96">
        <f>'r1'!AA57</f>
        <v>0</v>
      </c>
      <c r="AS34" s="97"/>
      <c r="AT34" s="97"/>
    </row>
    <row r="35" spans="2:46" ht="18" customHeight="1">
      <c r="B35" s="23">
        <v>5</v>
      </c>
      <c r="C35" s="115" t="str">
        <v>Małgorzata</v>
      </c>
      <c r="D35" s="23">
        <v>0</v>
      </c>
      <c r="E35" s="25">
        <v>0</v>
      </c>
      <c r="F35" s="25">
        <v>0</v>
      </c>
      <c r="G35" s="25">
        <v>0</v>
      </c>
      <c r="H35" s="26">
        <v>0</v>
      </c>
      <c r="I35" s="16">
        <v>0</v>
      </c>
      <c r="J35" s="16">
        <v>0</v>
      </c>
      <c r="K35" s="16">
        <v>0</v>
      </c>
      <c r="L35" s="16"/>
      <c r="M35" s="29" t="str">
        <f>IF(B30=$D$44,3,"")</f>
        <v/>
      </c>
      <c r="O35" s="39">
        <v>5</v>
      </c>
      <c r="P35" s="115" t="str">
        <v>Sławek</v>
      </c>
      <c r="Q35" s="39">
        <v>0</v>
      </c>
      <c r="R35" s="25">
        <v>0</v>
      </c>
      <c r="S35" s="25">
        <v>0</v>
      </c>
      <c r="T35" s="25">
        <v>0</v>
      </c>
      <c r="U35" s="26">
        <v>0</v>
      </c>
      <c r="V35" s="16">
        <v>0</v>
      </c>
      <c r="W35" s="16">
        <v>0</v>
      </c>
      <c r="X35" s="16">
        <v>0</v>
      </c>
      <c r="Y35" s="16"/>
      <c r="Z35" s="29" t="str">
        <f>IF(O30=$D$44,3,"")</f>
        <v/>
      </c>
      <c r="AB35" s="116" t="str">
        <f>'r1'!B30</f>
        <v>Małgorzata</v>
      </c>
      <c r="AC35" s="97">
        <f t="shared" si="18"/>
        <v>0</v>
      </c>
      <c r="AD35" s="96">
        <f>'r1'!AB30</f>
        <v>0</v>
      </c>
      <c r="AE35" s="96">
        <f>'r1'!AC30</f>
        <v>0</v>
      </c>
      <c r="AF35" s="96">
        <f>'r1'!AD30</f>
        <v>0</v>
      </c>
      <c r="AG35" s="96">
        <f t="shared" si="22"/>
        <v>0</v>
      </c>
      <c r="AH35" s="96">
        <f>'r1'!AA30</f>
        <v>0</v>
      </c>
      <c r="AI35" s="96"/>
      <c r="AJ35" s="96"/>
      <c r="AL35" s="116" t="str">
        <f>'r1'!B58</f>
        <v>Sławek</v>
      </c>
      <c r="AM35" s="97">
        <f t="shared" si="20"/>
        <v>0</v>
      </c>
      <c r="AN35" s="96">
        <f>'r1'!AB58</f>
        <v>0</v>
      </c>
      <c r="AO35" s="96">
        <f>'r1'!AC58</f>
        <v>0</v>
      </c>
      <c r="AP35" s="96">
        <f>'r1'!AD58</f>
        <v>0</v>
      </c>
      <c r="AQ35" s="96">
        <f t="shared" si="23"/>
        <v>0</v>
      </c>
      <c r="AR35" s="96">
        <f>'r1'!AA58</f>
        <v>0</v>
      </c>
      <c r="AS35" s="97"/>
      <c r="AT35" s="97"/>
    </row>
    <row r="36" spans="2:46" ht="18" customHeight="1">
      <c r="B36" s="23">
        <v>6</v>
      </c>
      <c r="C36" s="115" t="str">
        <v>KamilF</v>
      </c>
      <c r="D36" s="23">
        <v>0</v>
      </c>
      <c r="E36" s="25">
        <v>0</v>
      </c>
      <c r="F36" s="25">
        <v>0</v>
      </c>
      <c r="G36" s="25">
        <v>0</v>
      </c>
      <c r="H36" s="26">
        <v>0</v>
      </c>
      <c r="I36" s="16">
        <v>0</v>
      </c>
      <c r="J36" s="16">
        <v>0</v>
      </c>
      <c r="K36" s="16">
        <v>0</v>
      </c>
      <c r="L36" s="16"/>
      <c r="M36" s="29" t="str">
        <f>IF(B30=$D$44,2,"")</f>
        <v/>
      </c>
      <c r="O36" s="39">
        <v>6</v>
      </c>
      <c r="P36" s="115" t="str">
        <v>PawełSt</v>
      </c>
      <c r="Q36" s="39">
        <v>0</v>
      </c>
      <c r="R36" s="25">
        <v>0</v>
      </c>
      <c r="S36" s="25">
        <v>0</v>
      </c>
      <c r="T36" s="25">
        <v>0</v>
      </c>
      <c r="U36" s="26">
        <v>0</v>
      </c>
      <c r="V36" s="16">
        <v>0</v>
      </c>
      <c r="W36" s="16">
        <v>0</v>
      </c>
      <c r="X36" s="16">
        <v>0</v>
      </c>
      <c r="Y36" s="16"/>
      <c r="Z36" s="29" t="str">
        <f>IF(O30=$D$44,2,"")</f>
        <v/>
      </c>
      <c r="AB36" s="116" t="str">
        <f>'r1'!B31</f>
        <v>KamilF</v>
      </c>
      <c r="AC36" s="97">
        <f t="shared" si="18"/>
        <v>0</v>
      </c>
      <c r="AD36" s="96">
        <f>'r1'!AB31</f>
        <v>0</v>
      </c>
      <c r="AE36" s="96">
        <f>'r1'!AC31</f>
        <v>0</v>
      </c>
      <c r="AF36" s="96">
        <f>'r1'!AD31</f>
        <v>0</v>
      </c>
      <c r="AG36" s="96">
        <f t="shared" si="22"/>
        <v>0</v>
      </c>
      <c r="AH36" s="96">
        <f>'r1'!AA31</f>
        <v>0</v>
      </c>
      <c r="AI36" s="96"/>
      <c r="AJ36" s="96"/>
      <c r="AL36" s="116" t="str">
        <f>'r1'!B59</f>
        <v>PawełSt</v>
      </c>
      <c r="AM36" s="97">
        <f t="shared" si="20"/>
        <v>0</v>
      </c>
      <c r="AN36" s="96">
        <f>'r1'!AB59</f>
        <v>0</v>
      </c>
      <c r="AO36" s="96">
        <f>'r1'!AC59</f>
        <v>0</v>
      </c>
      <c r="AP36" s="96">
        <f>'r1'!AD59</f>
        <v>0</v>
      </c>
      <c r="AQ36" s="96">
        <f t="shared" si="23"/>
        <v>0</v>
      </c>
      <c r="AR36" s="96">
        <f>'r1'!AA59</f>
        <v>0</v>
      </c>
      <c r="AS36" s="97"/>
      <c r="AT36" s="97"/>
    </row>
    <row r="37" spans="2:46" ht="18" customHeight="1">
      <c r="B37" s="23">
        <v>7</v>
      </c>
      <c r="C37" s="115" t="str">
        <v>MichałCz</v>
      </c>
      <c r="D37" s="23">
        <v>0</v>
      </c>
      <c r="E37" s="25">
        <v>0</v>
      </c>
      <c r="F37" s="25">
        <v>0</v>
      </c>
      <c r="G37" s="25">
        <v>0</v>
      </c>
      <c r="H37" s="26">
        <v>0</v>
      </c>
      <c r="I37" s="16">
        <v>0</v>
      </c>
      <c r="J37" s="16">
        <v>0</v>
      </c>
      <c r="K37" s="16">
        <v>0</v>
      </c>
      <c r="L37" s="16"/>
      <c r="M37" s="29" t="str">
        <f>IF(B30=$D$44,1,"")</f>
        <v/>
      </c>
      <c r="O37" s="39">
        <v>7</v>
      </c>
      <c r="P37" s="115" t="str">
        <v>KrzysztofeR</v>
      </c>
      <c r="Q37" s="39">
        <v>0</v>
      </c>
      <c r="R37" s="25">
        <v>0</v>
      </c>
      <c r="S37" s="25">
        <v>0</v>
      </c>
      <c r="T37" s="25">
        <v>0</v>
      </c>
      <c r="U37" s="26">
        <v>0</v>
      </c>
      <c r="V37" s="16">
        <v>0</v>
      </c>
      <c r="W37" s="16">
        <v>0</v>
      </c>
      <c r="X37" s="16">
        <v>0</v>
      </c>
      <c r="Y37" s="16"/>
      <c r="Z37" s="29" t="str">
        <f>IF(O30=$D$44,1,"")</f>
        <v/>
      </c>
      <c r="AB37" s="116" t="str">
        <f>'r1'!B32</f>
        <v>MichałCz</v>
      </c>
      <c r="AC37" s="97">
        <f t="shared" si="18"/>
        <v>0</v>
      </c>
      <c r="AD37" s="96">
        <f>'r1'!AB32</f>
        <v>0</v>
      </c>
      <c r="AE37" s="96">
        <f>'r1'!AC32</f>
        <v>0</v>
      </c>
      <c r="AF37" s="96">
        <f>'r1'!AD32</f>
        <v>0</v>
      </c>
      <c r="AG37" s="96">
        <f t="shared" si="22"/>
        <v>0</v>
      </c>
      <c r="AH37" s="96">
        <f>'r1'!AA32</f>
        <v>0</v>
      </c>
      <c r="AI37" s="96"/>
      <c r="AJ37" s="96"/>
      <c r="AL37" s="116" t="str">
        <f>'r1'!B60</f>
        <v>KrzysztofeR</v>
      </c>
      <c r="AM37" s="97">
        <f t="shared" si="20"/>
        <v>0</v>
      </c>
      <c r="AN37" s="96">
        <f>'r1'!AB60</f>
        <v>0</v>
      </c>
      <c r="AO37" s="96">
        <f>'r1'!AC60</f>
        <v>0</v>
      </c>
      <c r="AP37" s="96">
        <f>'r1'!AD60</f>
        <v>0</v>
      </c>
      <c r="AQ37" s="96">
        <f t="shared" si="23"/>
        <v>0</v>
      </c>
      <c r="AR37" s="96">
        <f>'r1'!AA60</f>
        <v>0</v>
      </c>
      <c r="AS37" s="97"/>
      <c r="AT37" s="97"/>
    </row>
    <row r="39" spans="2:46" ht="18" customHeight="1">
      <c r="AC39" s="100"/>
      <c r="AD39" s="98"/>
      <c r="AE39" s="98"/>
      <c r="AF39" s="98"/>
    </row>
    <row r="40" spans="2:46" ht="18" customHeight="1">
      <c r="C40" s="101" t="s">
        <v>146</v>
      </c>
      <c r="D40" s="21">
        <f>MAX(I4:I37,V4:V37)</f>
        <v>0</v>
      </c>
      <c r="AC40" s="100"/>
      <c r="AD40" s="98"/>
      <c r="AE40" s="98"/>
      <c r="AF40" s="98"/>
    </row>
    <row r="41" spans="2:46" ht="18" customHeight="1">
      <c r="C41" s="101" t="s">
        <v>158</v>
      </c>
      <c r="AC41" s="100"/>
      <c r="AD41" s="98"/>
      <c r="AE41" s="98"/>
      <c r="AF41" s="98"/>
    </row>
    <row r="42" spans="2:46" ht="18" customHeight="1">
      <c r="C42" s="101" t="s">
        <v>159</v>
      </c>
      <c r="AC42" s="100"/>
      <c r="AD42" s="98"/>
      <c r="AE42" s="98"/>
      <c r="AF42" s="98"/>
    </row>
    <row r="43" spans="2:46" ht="18" customHeight="1">
      <c r="AC43" s="100"/>
      <c r="AD43" s="98"/>
      <c r="AE43" s="98"/>
      <c r="AF43" s="98"/>
    </row>
    <row r="44" spans="2:46" ht="18" customHeight="1">
      <c r="C44" s="101" t="s">
        <v>160</v>
      </c>
      <c r="D44" s="21">
        <f>MAX(B3:B37,O3:O37)</f>
        <v>7</v>
      </c>
    </row>
  </sheetData>
  <sortState xmlns:xlrd2="http://schemas.microsoft.com/office/spreadsheetml/2017/richdata2" ref="AL23:AT27">
    <sortCondition descending="1" ref="AM23:AM27"/>
  </sortState>
  <mergeCells count="1">
    <mergeCell ref="C1:W1"/>
  </mergeCells>
  <phoneticPr fontId="25" type="noConversion"/>
  <conditionalFormatting sqref="B3:B37 O3:O37">
    <cfRule type="cellIs" dxfId="6" priority="22" operator="equal">
      <formula>$D$44</formula>
    </cfRule>
  </conditionalFormatting>
  <conditionalFormatting sqref="I4:I37 V4:V37">
    <cfRule type="cellIs" dxfId="5" priority="20" operator="equal">
      <formula>$D$40</formula>
    </cfRule>
  </conditionalFormatting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F4AE-5DA3-4D11-B7A1-EA1C36410721}">
  <dimension ref="B1:AC58"/>
  <sheetViews>
    <sheetView zoomScale="80" zoomScaleNormal="80" workbookViewId="0">
      <selection activeCell="P29" sqref="P29"/>
    </sheetView>
  </sheetViews>
  <sheetFormatPr defaultRowHeight="12.75"/>
  <cols>
    <col min="1" max="1" width="9.140625" style="132"/>
    <col min="2" max="2" width="7.7109375" style="132" customWidth="1"/>
    <col min="3" max="3" width="15" style="132" bestFit="1" customWidth="1"/>
    <col min="4" max="4" width="9.140625" style="132"/>
    <col min="5" max="5" width="10.7109375" style="132" bestFit="1" customWidth="1"/>
    <col min="6" max="6" width="10.7109375" style="132" customWidth="1"/>
    <col min="7" max="7" width="15" style="132" bestFit="1" customWidth="1"/>
    <col min="8" max="10" width="9.140625" style="132"/>
    <col min="11" max="11" width="15" style="132" bestFit="1" customWidth="1"/>
    <col min="12" max="12" width="9.140625" style="132"/>
    <col min="13" max="13" width="11.28515625" style="132" bestFit="1" customWidth="1"/>
    <col min="14" max="14" width="10.5703125" style="132" customWidth="1"/>
    <col min="15" max="15" width="15" style="132" bestFit="1" customWidth="1"/>
    <col min="16" max="16" width="9.140625" style="132"/>
    <col min="17" max="17" width="10.42578125" style="132" customWidth="1"/>
    <col min="18" max="18" width="5.140625" style="132" customWidth="1"/>
    <col min="19" max="19" width="15" style="132" hidden="1" customWidth="1"/>
    <col min="20" max="21" width="8.7109375" style="132" hidden="1" customWidth="1"/>
    <col min="22" max="22" width="17.42578125" style="132" hidden="1" customWidth="1"/>
    <col min="23" max="24" width="8.7109375" style="132" hidden="1" customWidth="1"/>
    <col min="25" max="25" width="15" style="132" hidden="1" customWidth="1"/>
    <col min="26" max="27" width="8.7109375" style="132" hidden="1" customWidth="1"/>
    <col min="28" max="28" width="15" style="132" hidden="1" customWidth="1"/>
    <col min="29" max="29" width="8.7109375" style="132" hidden="1" customWidth="1"/>
    <col min="30" max="16384" width="9.140625" style="132"/>
  </cols>
  <sheetData>
    <row r="1" spans="2:29" ht="25.15" customHeight="1">
      <c r="E1" s="131"/>
      <c r="F1" s="131"/>
      <c r="G1" s="131"/>
      <c r="I1" s="131"/>
      <c r="J1" s="131"/>
      <c r="K1" s="131"/>
      <c r="L1" s="131"/>
      <c r="M1" s="131"/>
      <c r="N1" s="131"/>
      <c r="P1" s="131"/>
      <c r="Q1" s="131"/>
    </row>
    <row r="2" spans="2:29" ht="15.75">
      <c r="B2" s="146" t="s">
        <v>153</v>
      </c>
      <c r="C2" s="146"/>
      <c r="D2" s="68" t="s">
        <v>0</v>
      </c>
      <c r="E2" s="133"/>
      <c r="F2" s="146" t="s">
        <v>166</v>
      </c>
      <c r="G2" s="146"/>
      <c r="H2" s="68" t="s">
        <v>167</v>
      </c>
      <c r="I2" s="131"/>
      <c r="J2" s="146" t="s">
        <v>165</v>
      </c>
      <c r="K2" s="146"/>
      <c r="L2" s="68" t="s">
        <v>5</v>
      </c>
      <c r="M2" s="133"/>
      <c r="N2" s="146" t="s">
        <v>168</v>
      </c>
      <c r="O2" s="146"/>
      <c r="P2" s="68" t="s">
        <v>0</v>
      </c>
      <c r="Q2" s="131"/>
      <c r="S2" s="134" t="s">
        <v>153</v>
      </c>
      <c r="T2" s="95" t="s">
        <v>0</v>
      </c>
      <c r="V2" s="134" t="s">
        <v>164</v>
      </c>
      <c r="W2" s="95"/>
      <c r="Y2" s="134" t="s">
        <v>163</v>
      </c>
      <c r="Z2" s="95"/>
      <c r="AB2" s="134" t="s">
        <v>162</v>
      </c>
      <c r="AC2" s="95"/>
    </row>
    <row r="3" spans="2:29" ht="15.75">
      <c r="B3" s="81">
        <v>1</v>
      </c>
      <c r="C3" s="125" t="str" cm="1">
        <f t="array" ref="C3:D58">_xlfn.SORTBY(S3:T58,T3:T58,-1)</f>
        <v>Dario</v>
      </c>
      <c r="D3" s="72" t="str">
        <v/>
      </c>
      <c r="E3" s="133"/>
      <c r="F3" s="135">
        <v>1</v>
      </c>
      <c r="G3" s="125" t="str" cm="1">
        <f t="array" ref="G3:H58">_xlfn.SORTBY(V3:W58,W3:W58,-1)</f>
        <v>Dario</v>
      </c>
      <c r="H3" s="72">
        <v>0</v>
      </c>
      <c r="I3" s="131"/>
      <c r="J3" s="135">
        <v>1</v>
      </c>
      <c r="K3" s="125" t="str" cm="1">
        <f t="array" ref="K3:L58">_xlfn.SORTBY(Y3:Z58,Z3:Z58,-1)</f>
        <v>Dario</v>
      </c>
      <c r="L3" s="142">
        <v>0</v>
      </c>
      <c r="M3" s="133"/>
      <c r="N3" s="135">
        <v>1</v>
      </c>
      <c r="O3" s="125" t="str" cm="1">
        <f t="array" ref="O3:P58">_xlfn.SORTBY(AB3:AC58,AC3:AC58,-1)</f>
        <v>Dario</v>
      </c>
      <c r="P3" s="72" t="e">
        <v>#N/A</v>
      </c>
      <c r="Q3" s="131"/>
      <c r="S3" s="116" t="str">
        <f>'day by day'!B6</f>
        <v>Dario</v>
      </c>
      <c r="T3" s="97" t="str">
        <f>'day by day'!C6</f>
        <v/>
      </c>
      <c r="V3" s="116" t="str">
        <f>tabela!Q3</f>
        <v>Dario</v>
      </c>
      <c r="W3" s="97">
        <f>tabela!U3+tabela!V3</f>
        <v>0</v>
      </c>
      <c r="Y3" s="116" t="str">
        <f>tabela!Q3</f>
        <v>Dario</v>
      </c>
      <c r="Z3" s="97">
        <f>tabela!W3</f>
        <v>0</v>
      </c>
      <c r="AB3" s="116" t="str">
        <f>'r1'!B5</f>
        <v>Dario</v>
      </c>
      <c r="AC3" s="97" t="e">
        <f>'r1'!AE5</f>
        <v>#N/A</v>
      </c>
    </row>
    <row r="4" spans="2:29" ht="15.75">
      <c r="B4" s="71">
        <v>2</v>
      </c>
      <c r="C4" s="126" t="str">
        <v>Wojtek</v>
      </c>
      <c r="D4" s="72" t="str">
        <v/>
      </c>
      <c r="E4" s="133"/>
      <c r="F4" s="136">
        <v>2</v>
      </c>
      <c r="G4" s="126" t="str">
        <v>Wojtek</v>
      </c>
      <c r="H4" s="72">
        <v>0</v>
      </c>
      <c r="I4" s="131"/>
      <c r="J4" s="136">
        <v>2</v>
      </c>
      <c r="K4" s="126" t="str">
        <v>Wojtek</v>
      </c>
      <c r="L4" s="142">
        <v>0</v>
      </c>
      <c r="M4" s="133"/>
      <c r="N4" s="136">
        <v>2</v>
      </c>
      <c r="O4" s="126" t="str">
        <v>Wojtek</v>
      </c>
      <c r="P4" s="72" t="e">
        <v>#N/A</v>
      </c>
      <c r="Q4" s="131"/>
      <c r="S4" s="116" t="str">
        <f>'day by day'!B7</f>
        <v>Wojtek</v>
      </c>
      <c r="T4" s="97" t="str">
        <f>'day by day'!C7</f>
        <v/>
      </c>
      <c r="V4" s="116" t="str">
        <f>tabela!Q4</f>
        <v>Wojtek</v>
      </c>
      <c r="W4" s="97">
        <f>tabela!U4+tabela!V4</f>
        <v>0</v>
      </c>
      <c r="Y4" s="116" t="str">
        <f>tabela!Q4</f>
        <v>Wojtek</v>
      </c>
      <c r="Z4" s="97">
        <f>tabela!W4</f>
        <v>0</v>
      </c>
      <c r="AB4" s="116" t="str">
        <f>'r1'!B6</f>
        <v>Wojtek</v>
      </c>
      <c r="AC4" s="97" t="e">
        <f>'r1'!AE6</f>
        <v>#N/A</v>
      </c>
    </row>
    <row r="5" spans="2:29" ht="15.75">
      <c r="B5" s="81">
        <v>3</v>
      </c>
      <c r="C5" s="125" t="str">
        <v>KamUla</v>
      </c>
      <c r="D5" s="72" t="str">
        <v/>
      </c>
      <c r="E5" s="133"/>
      <c r="F5" s="135">
        <v>3</v>
      </c>
      <c r="G5" s="125" t="str">
        <v>KamUla</v>
      </c>
      <c r="H5" s="72">
        <v>0</v>
      </c>
      <c r="I5" s="131"/>
      <c r="J5" s="135">
        <v>3</v>
      </c>
      <c r="K5" s="125" t="str">
        <v>KamUla</v>
      </c>
      <c r="L5" s="142">
        <v>0</v>
      </c>
      <c r="M5" s="133"/>
      <c r="N5" s="135">
        <v>3</v>
      </c>
      <c r="O5" s="125" t="str">
        <v>KamUla</v>
      </c>
      <c r="P5" s="72" t="e">
        <v>#N/A</v>
      </c>
      <c r="Q5" s="131"/>
      <c r="S5" s="116" t="str">
        <f>'day by day'!B8</f>
        <v>KamUla</v>
      </c>
      <c r="T5" s="97" t="str">
        <f>'day by day'!C8</f>
        <v/>
      </c>
      <c r="V5" s="116" t="str">
        <f>tabela!Q5</f>
        <v>KamUla</v>
      </c>
      <c r="W5" s="97">
        <f>tabela!U5+tabela!V5</f>
        <v>0</v>
      </c>
      <c r="Y5" s="116" t="str">
        <f>tabela!Q5</f>
        <v>KamUla</v>
      </c>
      <c r="Z5" s="97">
        <f>tabela!W5</f>
        <v>0</v>
      </c>
      <c r="AB5" s="116" t="str">
        <f>'r1'!B7</f>
        <v>KamUla</v>
      </c>
      <c r="AC5" s="97" t="e">
        <f>'r1'!AE7</f>
        <v>#N/A</v>
      </c>
    </row>
    <row r="6" spans="2:29" ht="15.75">
      <c r="B6" s="71">
        <v>4</v>
      </c>
      <c r="C6" s="126" t="str">
        <v>MagdaS</v>
      </c>
      <c r="D6" s="72" t="str">
        <v/>
      </c>
      <c r="E6" s="133"/>
      <c r="F6" s="136">
        <v>4</v>
      </c>
      <c r="G6" s="126" t="str">
        <v>MagdaS</v>
      </c>
      <c r="H6" s="72">
        <v>0</v>
      </c>
      <c r="I6" s="131"/>
      <c r="J6" s="136">
        <v>4</v>
      </c>
      <c r="K6" s="126" t="str">
        <v>MagdaS</v>
      </c>
      <c r="L6" s="142">
        <v>0</v>
      </c>
      <c r="M6" s="133"/>
      <c r="N6" s="136">
        <v>4</v>
      </c>
      <c r="O6" s="126" t="str">
        <v>MagdaS</v>
      </c>
      <c r="P6" s="72" t="e">
        <v>#N/A</v>
      </c>
      <c r="Q6" s="131"/>
      <c r="S6" s="116" t="str">
        <f>'day by day'!B9</f>
        <v>MagdaS</v>
      </c>
      <c r="T6" s="97" t="str">
        <f>'day by day'!C9</f>
        <v/>
      </c>
      <c r="V6" s="116" t="str">
        <f>tabela!Q6</f>
        <v>MagdaS</v>
      </c>
      <c r="W6" s="97">
        <f>tabela!U6+tabela!V6</f>
        <v>0</v>
      </c>
      <c r="Y6" s="116" t="str">
        <f>tabela!Q6</f>
        <v>MagdaS</v>
      </c>
      <c r="Z6" s="97">
        <f>tabela!W6</f>
        <v>0</v>
      </c>
      <c r="AB6" s="116" t="str">
        <f>'r1'!B8</f>
        <v>MagdaS</v>
      </c>
      <c r="AC6" s="97" t="e">
        <f>'r1'!AE8</f>
        <v>#N/A</v>
      </c>
    </row>
    <row r="7" spans="2:29" ht="15.75">
      <c r="B7" s="81">
        <v>5</v>
      </c>
      <c r="C7" s="125" t="str">
        <v>KasiaJ</v>
      </c>
      <c r="D7" s="72" t="str">
        <v/>
      </c>
      <c r="E7" s="133"/>
      <c r="F7" s="135">
        <v>5</v>
      </c>
      <c r="G7" s="125" t="str">
        <v>KasiaJ</v>
      </c>
      <c r="H7" s="72">
        <v>0</v>
      </c>
      <c r="I7" s="131"/>
      <c r="J7" s="135">
        <v>5</v>
      </c>
      <c r="K7" s="125" t="str">
        <v>KasiaJ</v>
      </c>
      <c r="L7" s="142">
        <v>0</v>
      </c>
      <c r="M7" s="133"/>
      <c r="N7" s="135">
        <v>5</v>
      </c>
      <c r="O7" s="125" t="str">
        <v>KasiaJ</v>
      </c>
      <c r="P7" s="72" t="e">
        <v>#N/A</v>
      </c>
      <c r="Q7" s="131"/>
      <c r="S7" s="116" t="str">
        <f>'day by day'!B10</f>
        <v>KasiaJ</v>
      </c>
      <c r="T7" s="97" t="str">
        <f>'day by day'!C10</f>
        <v/>
      </c>
      <c r="V7" s="116" t="str">
        <f>tabela!Q7</f>
        <v>KasiaJ</v>
      </c>
      <c r="W7" s="97">
        <f>tabela!U7+tabela!V7</f>
        <v>0</v>
      </c>
      <c r="Y7" s="116" t="str">
        <f>tabela!Q7</f>
        <v>KasiaJ</v>
      </c>
      <c r="Z7" s="97">
        <f>tabela!W7</f>
        <v>0</v>
      </c>
      <c r="AB7" s="116" t="str">
        <f>'r1'!B9</f>
        <v>KasiaJ</v>
      </c>
      <c r="AC7" s="97" t="e">
        <f>'r1'!AE9</f>
        <v>#N/A</v>
      </c>
    </row>
    <row r="8" spans="2:29" ht="15.75">
      <c r="B8" s="71">
        <v>6</v>
      </c>
      <c r="C8" s="126" t="str">
        <v>KrystianM</v>
      </c>
      <c r="D8" s="72" t="str">
        <v/>
      </c>
      <c r="E8" s="133"/>
      <c r="F8" s="136">
        <v>6</v>
      </c>
      <c r="G8" s="126" t="str">
        <v>KrystianM</v>
      </c>
      <c r="H8" s="72">
        <v>0</v>
      </c>
      <c r="I8" s="131"/>
      <c r="J8" s="136">
        <v>6</v>
      </c>
      <c r="K8" s="126" t="str">
        <v>KrystianM</v>
      </c>
      <c r="L8" s="142">
        <v>0</v>
      </c>
      <c r="M8" s="133"/>
      <c r="N8" s="136">
        <v>6</v>
      </c>
      <c r="O8" s="126" t="str">
        <v>KrystianM</v>
      </c>
      <c r="P8" s="72" t="e">
        <v>#N/A</v>
      </c>
      <c r="Q8" s="131"/>
      <c r="S8" s="116" t="str">
        <f>'day by day'!B11</f>
        <v>KrystianM</v>
      </c>
      <c r="T8" s="97" t="str">
        <f>'day by day'!C11</f>
        <v/>
      </c>
      <c r="V8" s="116" t="str">
        <f>tabela!Q8</f>
        <v>KrystianM</v>
      </c>
      <c r="W8" s="97">
        <f>tabela!U8+tabela!V8</f>
        <v>0</v>
      </c>
      <c r="Y8" s="116" t="str">
        <f>tabela!Q8</f>
        <v>KrystianM</v>
      </c>
      <c r="Z8" s="97">
        <f>tabela!W8</f>
        <v>0</v>
      </c>
      <c r="AB8" s="116" t="str">
        <f>'r1'!B10</f>
        <v>KrystianM</v>
      </c>
      <c r="AC8" s="97" t="e">
        <f>'r1'!AE10</f>
        <v>#N/A</v>
      </c>
    </row>
    <row r="9" spans="2:29" ht="15.75">
      <c r="B9" s="81">
        <v>7</v>
      </c>
      <c r="C9" s="125" t="str">
        <v>PiotreG</v>
      </c>
      <c r="D9" s="72" t="str">
        <v/>
      </c>
      <c r="E9" s="133"/>
      <c r="F9" s="135">
        <v>7</v>
      </c>
      <c r="G9" s="125" t="str">
        <v>PiotreG</v>
      </c>
      <c r="H9" s="72">
        <v>0</v>
      </c>
      <c r="I9" s="131"/>
      <c r="J9" s="135">
        <v>7</v>
      </c>
      <c r="K9" s="125" t="str">
        <v>PiotreG</v>
      </c>
      <c r="L9" s="142">
        <v>0</v>
      </c>
      <c r="M9" s="133"/>
      <c r="N9" s="135">
        <v>7</v>
      </c>
      <c r="O9" s="125" t="str">
        <v>PiotreG</v>
      </c>
      <c r="P9" s="72" t="e">
        <v>#N/A</v>
      </c>
      <c r="Q9" s="131"/>
      <c r="S9" s="116" t="str">
        <f>'day by day'!B12</f>
        <v>PiotreG</v>
      </c>
      <c r="T9" s="97" t="str">
        <f>'day by day'!C12</f>
        <v/>
      </c>
      <c r="V9" s="116" t="str">
        <f>tabela!Q9</f>
        <v>PiotreG</v>
      </c>
      <c r="W9" s="97">
        <f>tabela!U9+tabela!V9</f>
        <v>0</v>
      </c>
      <c r="Y9" s="116" t="str">
        <f>tabela!Q9</f>
        <v>PiotreG</v>
      </c>
      <c r="Z9" s="97">
        <f>tabela!W9</f>
        <v>0</v>
      </c>
      <c r="AB9" s="116" t="str">
        <f>'r1'!B11</f>
        <v>PiotreG</v>
      </c>
      <c r="AC9" s="97" t="e">
        <f>'r1'!AE11</f>
        <v>#N/A</v>
      </c>
    </row>
    <row r="10" spans="2:29" ht="15.75">
      <c r="B10" s="71">
        <v>8</v>
      </c>
      <c r="C10" s="126" t="str">
        <v>Prozped</v>
      </c>
      <c r="D10" s="72" t="str">
        <v/>
      </c>
      <c r="E10" s="133"/>
      <c r="F10" s="136">
        <v>8</v>
      </c>
      <c r="G10" s="126" t="str">
        <v>Prozped</v>
      </c>
      <c r="H10" s="72">
        <v>0</v>
      </c>
      <c r="I10" s="131"/>
      <c r="J10" s="136">
        <v>8</v>
      </c>
      <c r="K10" s="126" t="str">
        <v>Prozped</v>
      </c>
      <c r="L10" s="142">
        <v>0</v>
      </c>
      <c r="M10" s="133"/>
      <c r="N10" s="136">
        <v>8</v>
      </c>
      <c r="O10" s="126" t="str">
        <v>Prozped</v>
      </c>
      <c r="P10" s="72" t="e">
        <v>#N/A</v>
      </c>
      <c r="Q10" s="131"/>
      <c r="S10" s="116" t="str">
        <f>'day by day'!B13</f>
        <v>Prozped</v>
      </c>
      <c r="T10" s="97" t="str">
        <f>'day by day'!C13</f>
        <v/>
      </c>
      <c r="V10" s="116" t="str">
        <f>tabela!Q10</f>
        <v>Prozped</v>
      </c>
      <c r="W10" s="97">
        <f>tabela!U10+tabela!V10</f>
        <v>0</v>
      </c>
      <c r="Y10" s="116" t="str">
        <f>tabela!Q10</f>
        <v>Prozped</v>
      </c>
      <c r="Z10" s="97">
        <f>tabela!W10</f>
        <v>0</v>
      </c>
      <c r="AB10" s="116" t="str">
        <f>'r1'!B12</f>
        <v>Prozped</v>
      </c>
      <c r="AC10" s="97" t="e">
        <f>'r1'!AE12</f>
        <v>#N/A</v>
      </c>
    </row>
    <row r="11" spans="2:29" ht="15.75">
      <c r="B11" s="81">
        <v>9</v>
      </c>
      <c r="C11" s="125" t="str">
        <v>Artur</v>
      </c>
      <c r="D11" s="72" t="str">
        <v/>
      </c>
      <c r="E11" s="133"/>
      <c r="F11" s="135">
        <v>9</v>
      </c>
      <c r="G11" s="125" t="str">
        <v>Artur</v>
      </c>
      <c r="H11" s="72">
        <v>0</v>
      </c>
      <c r="I11" s="131"/>
      <c r="J11" s="135">
        <v>9</v>
      </c>
      <c r="K11" s="125" t="str">
        <v>Artur</v>
      </c>
      <c r="L11" s="142">
        <v>0</v>
      </c>
      <c r="M11" s="133"/>
      <c r="N11" s="135">
        <v>9</v>
      </c>
      <c r="O11" s="125" t="str">
        <v>Artur</v>
      </c>
      <c r="P11" s="72" t="e">
        <v>#N/A</v>
      </c>
      <c r="Q11" s="131"/>
      <c r="S11" s="116" t="str">
        <f>'day by day'!B14</f>
        <v>Artur</v>
      </c>
      <c r="T11" s="97" t="str">
        <f>'day by day'!C14</f>
        <v/>
      </c>
      <c r="V11" s="116" t="str">
        <f>tabela!Q11</f>
        <v>Artur</v>
      </c>
      <c r="W11" s="97">
        <f>tabela!U11+tabela!V11</f>
        <v>0</v>
      </c>
      <c r="Y11" s="116" t="str">
        <f>tabela!Q11</f>
        <v>Artur</v>
      </c>
      <c r="Z11" s="97">
        <f>tabela!W11</f>
        <v>0</v>
      </c>
      <c r="AB11" s="116" t="str">
        <f>'r1'!B13</f>
        <v>Artur</v>
      </c>
      <c r="AC11" s="97" t="e">
        <f>'r1'!AE13</f>
        <v>#N/A</v>
      </c>
    </row>
    <row r="12" spans="2:29" ht="15.75">
      <c r="B12" s="71">
        <v>10</v>
      </c>
      <c r="C12" s="126" t="str">
        <v>Sokółka</v>
      </c>
      <c r="D12" s="72" t="str">
        <v/>
      </c>
      <c r="E12" s="133"/>
      <c r="F12" s="136">
        <v>10</v>
      </c>
      <c r="G12" s="126" t="str">
        <v>Sokółka</v>
      </c>
      <c r="H12" s="72">
        <v>0</v>
      </c>
      <c r="I12" s="131"/>
      <c r="J12" s="136">
        <v>10</v>
      </c>
      <c r="K12" s="126" t="str">
        <v>Sokółka</v>
      </c>
      <c r="L12" s="142">
        <v>0</v>
      </c>
      <c r="M12" s="133"/>
      <c r="N12" s="136">
        <v>10</v>
      </c>
      <c r="O12" s="126" t="str">
        <v>Sokółka</v>
      </c>
      <c r="P12" s="72" t="e">
        <v>#N/A</v>
      </c>
      <c r="Q12" s="131"/>
      <c r="S12" s="116" t="str">
        <f>'day by day'!B15</f>
        <v>Sokółka</v>
      </c>
      <c r="T12" s="97" t="str">
        <f>'day by day'!C15</f>
        <v/>
      </c>
      <c r="V12" s="116" t="str">
        <f>tabela!Q12</f>
        <v>Sokółka</v>
      </c>
      <c r="W12" s="97">
        <f>tabela!U12+tabela!V12</f>
        <v>0</v>
      </c>
      <c r="Y12" s="116" t="str">
        <f>tabela!Q12</f>
        <v>Sokółka</v>
      </c>
      <c r="Z12" s="97">
        <f>tabela!W12</f>
        <v>0</v>
      </c>
      <c r="AB12" s="116" t="str">
        <f>'r1'!B14</f>
        <v>Sokółka</v>
      </c>
      <c r="AC12" s="97" t="e">
        <f>'r1'!AE14</f>
        <v>#N/A</v>
      </c>
    </row>
    <row r="13" spans="2:29" ht="15.75">
      <c r="B13" s="81">
        <v>11</v>
      </c>
      <c r="C13" s="125" t="str">
        <v>KasiaK</v>
      </c>
      <c r="D13" s="72" t="str">
        <v/>
      </c>
      <c r="E13" s="133"/>
      <c r="F13" s="135">
        <v>11</v>
      </c>
      <c r="G13" s="125" t="str">
        <v>KasiaK</v>
      </c>
      <c r="H13" s="72">
        <v>0</v>
      </c>
      <c r="I13" s="131"/>
      <c r="J13" s="135">
        <v>11</v>
      </c>
      <c r="K13" s="125" t="str">
        <v>KasiaK</v>
      </c>
      <c r="L13" s="142">
        <v>0</v>
      </c>
      <c r="M13" s="133"/>
      <c r="N13" s="135">
        <v>11</v>
      </c>
      <c r="O13" s="125" t="str">
        <v>KasiaK</v>
      </c>
      <c r="P13" s="72" t="e">
        <v>#N/A</v>
      </c>
      <c r="Q13" s="131"/>
      <c r="S13" s="116" t="str">
        <f>'day by day'!B16</f>
        <v>KasiaK</v>
      </c>
      <c r="T13" s="97" t="str">
        <f>'day by day'!C16</f>
        <v/>
      </c>
      <c r="V13" s="116" t="str">
        <f>tabela!Q13</f>
        <v>KasiaK</v>
      </c>
      <c r="W13" s="97">
        <f>tabela!U13+tabela!V13</f>
        <v>0</v>
      </c>
      <c r="Y13" s="116" t="str">
        <f>tabela!Q13</f>
        <v>KasiaK</v>
      </c>
      <c r="Z13" s="97">
        <f>tabela!W13</f>
        <v>0</v>
      </c>
      <c r="AB13" s="116" t="str">
        <f>'r1'!B15</f>
        <v>KasiaK</v>
      </c>
      <c r="AC13" s="97" t="e">
        <f>'r1'!AE15</f>
        <v>#N/A</v>
      </c>
    </row>
    <row r="14" spans="2:29" ht="15.75">
      <c r="B14" s="71">
        <v>12</v>
      </c>
      <c r="C14" s="126" t="str">
        <v>Seweryn</v>
      </c>
      <c r="D14" s="72" t="str">
        <v/>
      </c>
      <c r="E14" s="133"/>
      <c r="F14" s="136">
        <v>12</v>
      </c>
      <c r="G14" s="126" t="str">
        <v>Seweryn</v>
      </c>
      <c r="H14" s="72">
        <v>0</v>
      </c>
      <c r="I14" s="131"/>
      <c r="J14" s="136">
        <v>12</v>
      </c>
      <c r="K14" s="126" t="str">
        <v>Seweryn</v>
      </c>
      <c r="L14" s="142">
        <v>0</v>
      </c>
      <c r="M14" s="133"/>
      <c r="N14" s="136">
        <v>12</v>
      </c>
      <c r="O14" s="126" t="str">
        <v>Seweryn</v>
      </c>
      <c r="P14" s="72" t="e">
        <v>#N/A</v>
      </c>
      <c r="Q14" s="131"/>
      <c r="S14" s="116" t="str">
        <f>'day by day'!B17</f>
        <v>Seweryn</v>
      </c>
      <c r="T14" s="97" t="str">
        <f>'day by day'!C17</f>
        <v/>
      </c>
      <c r="V14" s="116" t="str">
        <f>tabela!Q14</f>
        <v>Seweryn</v>
      </c>
      <c r="W14" s="97">
        <f>tabela!U14+tabela!V14</f>
        <v>0</v>
      </c>
      <c r="Y14" s="116" t="str">
        <f>tabela!Q14</f>
        <v>Seweryn</v>
      </c>
      <c r="Z14" s="97">
        <f>tabela!W14</f>
        <v>0</v>
      </c>
      <c r="AB14" s="116" t="str">
        <f>'r1'!B16</f>
        <v>Seweryn</v>
      </c>
      <c r="AC14" s="97" t="e">
        <f>'r1'!AE16</f>
        <v>#N/A</v>
      </c>
    </row>
    <row r="15" spans="2:29" ht="15.75">
      <c r="B15" s="81">
        <v>13</v>
      </c>
      <c r="C15" s="125" t="str">
        <v>DarekL</v>
      </c>
      <c r="D15" s="72" t="str">
        <v/>
      </c>
      <c r="E15" s="133"/>
      <c r="F15" s="135">
        <v>13</v>
      </c>
      <c r="G15" s="125" t="str">
        <v>DarekL</v>
      </c>
      <c r="H15" s="72">
        <v>0</v>
      </c>
      <c r="I15" s="131"/>
      <c r="J15" s="135">
        <v>13</v>
      </c>
      <c r="K15" s="125" t="str">
        <v>DarekL</v>
      </c>
      <c r="L15" s="142">
        <v>0</v>
      </c>
      <c r="M15" s="133"/>
      <c r="N15" s="135">
        <v>13</v>
      </c>
      <c r="O15" s="125" t="str">
        <v>DarekL</v>
      </c>
      <c r="P15" s="72" t="e">
        <v>#N/A</v>
      </c>
      <c r="Q15" s="131"/>
      <c r="S15" s="116" t="str">
        <f>'day by day'!B18</f>
        <v>DarekL</v>
      </c>
      <c r="T15" s="97" t="str">
        <f>'day by day'!C18</f>
        <v/>
      </c>
      <c r="V15" s="116" t="str">
        <f>tabela!Q15</f>
        <v>DarekL</v>
      </c>
      <c r="W15" s="97">
        <f>tabela!U15+tabela!V15</f>
        <v>0</v>
      </c>
      <c r="Y15" s="116" t="str">
        <f>tabela!Q15</f>
        <v>DarekL</v>
      </c>
      <c r="Z15" s="97">
        <f>tabela!W15</f>
        <v>0</v>
      </c>
      <c r="AB15" s="116" t="str">
        <f>'r1'!B17</f>
        <v>DarekL</v>
      </c>
      <c r="AC15" s="97" t="e">
        <f>'r1'!AE17</f>
        <v>#N/A</v>
      </c>
    </row>
    <row r="16" spans="2:29" ht="15.75">
      <c r="B16" s="71">
        <v>14</v>
      </c>
      <c r="C16" s="126" t="str">
        <v>KrzysztoW</v>
      </c>
      <c r="D16" s="72" t="str">
        <v/>
      </c>
      <c r="E16" s="133"/>
      <c r="F16" s="136">
        <v>14</v>
      </c>
      <c r="G16" s="126" t="str">
        <v>KrzysztoW</v>
      </c>
      <c r="H16" s="72">
        <v>0</v>
      </c>
      <c r="I16" s="131"/>
      <c r="J16" s="136">
        <v>14</v>
      </c>
      <c r="K16" s="126" t="str">
        <v>KrzysztoW</v>
      </c>
      <c r="L16" s="142">
        <v>0</v>
      </c>
      <c r="M16" s="133"/>
      <c r="N16" s="136">
        <v>14</v>
      </c>
      <c r="O16" s="126" t="str">
        <v>KrzysztoW</v>
      </c>
      <c r="P16" s="72" t="e">
        <v>#N/A</v>
      </c>
      <c r="Q16" s="131"/>
      <c r="S16" s="116" t="str">
        <f>'day by day'!B19</f>
        <v>KrzysztoW</v>
      </c>
      <c r="T16" s="97" t="str">
        <f>'day by day'!C19</f>
        <v/>
      </c>
      <c r="V16" s="116" t="str">
        <f>tabela!Q16</f>
        <v>KrzysztoW</v>
      </c>
      <c r="W16" s="97">
        <f>tabela!U16+tabela!V16</f>
        <v>0</v>
      </c>
      <c r="Y16" s="116" t="str">
        <f>tabela!Q16</f>
        <v>KrzysztoW</v>
      </c>
      <c r="Z16" s="97">
        <f>tabela!W16</f>
        <v>0</v>
      </c>
      <c r="AB16" s="116" t="str">
        <f>'r1'!B18</f>
        <v>KrzysztoW</v>
      </c>
      <c r="AC16" s="97" t="e">
        <f>'r1'!AE18</f>
        <v>#N/A</v>
      </c>
    </row>
    <row r="17" spans="2:29" ht="15.75">
      <c r="B17" s="81">
        <v>15</v>
      </c>
      <c r="C17" s="125" t="str">
        <v>Magiera</v>
      </c>
      <c r="D17" s="72" t="str">
        <v/>
      </c>
      <c r="E17" s="133"/>
      <c r="F17" s="135">
        <v>15</v>
      </c>
      <c r="G17" s="125" t="str">
        <v>Magiera</v>
      </c>
      <c r="H17" s="72">
        <v>0</v>
      </c>
      <c r="I17" s="131"/>
      <c r="J17" s="135">
        <v>15</v>
      </c>
      <c r="K17" s="125" t="str">
        <v>Magiera</v>
      </c>
      <c r="L17" s="142">
        <v>0</v>
      </c>
      <c r="M17" s="133"/>
      <c r="N17" s="135">
        <v>15</v>
      </c>
      <c r="O17" s="125" t="str">
        <v>Magiera</v>
      </c>
      <c r="P17" s="72" t="e">
        <v>#N/A</v>
      </c>
      <c r="Q17" s="131"/>
      <c r="S17" s="116" t="str">
        <f>'day by day'!B20</f>
        <v>Magiera</v>
      </c>
      <c r="T17" s="97" t="str">
        <f>'day by day'!C20</f>
        <v/>
      </c>
      <c r="V17" s="116" t="str">
        <f>tabela!Q17</f>
        <v>Magiera</v>
      </c>
      <c r="W17" s="97">
        <f>tabela!U17+tabela!V17</f>
        <v>0</v>
      </c>
      <c r="Y17" s="116" t="str">
        <f>tabela!Q17</f>
        <v>Magiera</v>
      </c>
      <c r="Z17" s="97">
        <f>tabela!W17</f>
        <v>0</v>
      </c>
      <c r="AB17" s="116" t="str">
        <f>'r1'!B19</f>
        <v>Magiera</v>
      </c>
      <c r="AC17" s="97" t="e">
        <f>'r1'!AE19</f>
        <v>#N/A</v>
      </c>
    </row>
    <row r="18" spans="2:29" ht="15.75">
      <c r="B18" s="71">
        <v>16</v>
      </c>
      <c r="C18" s="126" t="str">
        <v>Henryk</v>
      </c>
      <c r="D18" s="72" t="str">
        <v/>
      </c>
      <c r="E18" s="133"/>
      <c r="F18" s="136">
        <v>16</v>
      </c>
      <c r="G18" s="126" t="str">
        <v>Henryk</v>
      </c>
      <c r="H18" s="72">
        <v>0</v>
      </c>
      <c r="I18" s="131"/>
      <c r="J18" s="136">
        <v>16</v>
      </c>
      <c r="K18" s="126" t="str">
        <v>Henryk</v>
      </c>
      <c r="L18" s="142">
        <v>0</v>
      </c>
      <c r="M18" s="133"/>
      <c r="N18" s="136">
        <v>16</v>
      </c>
      <c r="O18" s="126" t="str">
        <v>Henryk</v>
      </c>
      <c r="P18" s="72" t="e">
        <v>#N/A</v>
      </c>
      <c r="Q18" s="131"/>
      <c r="S18" s="116" t="str">
        <f>'day by day'!B21</f>
        <v>Henryk</v>
      </c>
      <c r="T18" s="97" t="str">
        <f>'day by day'!C21</f>
        <v/>
      </c>
      <c r="V18" s="116" t="str">
        <f>tabela!Q18</f>
        <v>Henryk</v>
      </c>
      <c r="W18" s="97">
        <f>tabela!U18+tabela!V18</f>
        <v>0</v>
      </c>
      <c r="Y18" s="116" t="str">
        <f>tabela!Q18</f>
        <v>Henryk</v>
      </c>
      <c r="Z18" s="97">
        <f>tabela!W18</f>
        <v>0</v>
      </c>
      <c r="AB18" s="116" t="str">
        <f>'r1'!B20</f>
        <v>Henryk</v>
      </c>
      <c r="AC18" s="97" t="e">
        <f>'r1'!AE20</f>
        <v>#N/A</v>
      </c>
    </row>
    <row r="19" spans="2:29" ht="15.75">
      <c r="B19" s="81">
        <v>17</v>
      </c>
      <c r="C19" s="125" t="str">
        <v>PPP</v>
      </c>
      <c r="D19" s="72" t="str">
        <v/>
      </c>
      <c r="E19" s="133"/>
      <c r="F19" s="135">
        <v>17</v>
      </c>
      <c r="G19" s="125" t="str">
        <v>PPP</v>
      </c>
      <c r="H19" s="72">
        <v>0</v>
      </c>
      <c r="I19" s="131"/>
      <c r="J19" s="135">
        <v>17</v>
      </c>
      <c r="K19" s="125" t="str">
        <v>PPP</v>
      </c>
      <c r="L19" s="142">
        <v>0</v>
      </c>
      <c r="M19" s="133"/>
      <c r="N19" s="135">
        <v>17</v>
      </c>
      <c r="O19" s="125" t="str">
        <v>PPP</v>
      </c>
      <c r="P19" s="72" t="e">
        <v>#N/A</v>
      </c>
      <c r="Q19" s="131"/>
      <c r="S19" s="116" t="str">
        <f>'day by day'!B22</f>
        <v>PPP</v>
      </c>
      <c r="T19" s="97" t="str">
        <f>'day by day'!C22</f>
        <v/>
      </c>
      <c r="V19" s="116" t="str">
        <f>tabela!Q19</f>
        <v>PPP</v>
      </c>
      <c r="W19" s="97">
        <f>tabela!U19+tabela!V19</f>
        <v>0</v>
      </c>
      <c r="Y19" s="116" t="str">
        <f>tabela!Q19</f>
        <v>PPP</v>
      </c>
      <c r="Z19" s="97">
        <f>tabela!W19</f>
        <v>0</v>
      </c>
      <c r="AB19" s="116" t="str">
        <f>'r1'!B21</f>
        <v>PPP</v>
      </c>
      <c r="AC19" s="97" t="e">
        <f>'r1'!AE21</f>
        <v>#N/A</v>
      </c>
    </row>
    <row r="20" spans="2:29" ht="15.75">
      <c r="B20" s="71">
        <v>18</v>
      </c>
      <c r="C20" s="126" t="str">
        <v>Żaklina</v>
      </c>
      <c r="D20" s="72" t="str">
        <v/>
      </c>
      <c r="E20" s="133"/>
      <c r="F20" s="136">
        <v>18</v>
      </c>
      <c r="G20" s="126" t="str">
        <v>Żaklina</v>
      </c>
      <c r="H20" s="72">
        <v>0</v>
      </c>
      <c r="I20" s="131"/>
      <c r="J20" s="136">
        <v>18</v>
      </c>
      <c r="K20" s="126" t="str">
        <v>Żaklina</v>
      </c>
      <c r="L20" s="142">
        <v>0</v>
      </c>
      <c r="M20" s="133"/>
      <c r="N20" s="136">
        <v>18</v>
      </c>
      <c r="O20" s="126" t="str">
        <v>Żaklina</v>
      </c>
      <c r="P20" s="72" t="e">
        <v>#N/A</v>
      </c>
      <c r="Q20" s="131"/>
      <c r="S20" s="116" t="str">
        <f>'day by day'!B23</f>
        <v>Żaklina</v>
      </c>
      <c r="T20" s="97" t="str">
        <f>'day by day'!C23</f>
        <v/>
      </c>
      <c r="V20" s="116" t="str">
        <f>tabela!Q20</f>
        <v>Żaklina</v>
      </c>
      <c r="W20" s="97">
        <f>tabela!U20+tabela!V20</f>
        <v>0</v>
      </c>
      <c r="Y20" s="116" t="str">
        <f>tabela!Q20</f>
        <v>Żaklina</v>
      </c>
      <c r="Z20" s="97">
        <f>tabela!W20</f>
        <v>0</v>
      </c>
      <c r="AB20" s="116" t="str">
        <f>'r1'!B22</f>
        <v>Żaklina</v>
      </c>
      <c r="AC20" s="97" t="e">
        <f>'r1'!AE22</f>
        <v>#N/A</v>
      </c>
    </row>
    <row r="21" spans="2:29" ht="15.75">
      <c r="B21" s="81">
        <v>19</v>
      </c>
      <c r="C21" s="125" t="str">
        <v>Cezary</v>
      </c>
      <c r="D21" s="72" t="str">
        <v/>
      </c>
      <c r="E21" s="133"/>
      <c r="F21" s="135">
        <v>19</v>
      </c>
      <c r="G21" s="125" t="str">
        <v>Cezary</v>
      </c>
      <c r="H21" s="72">
        <v>0</v>
      </c>
      <c r="I21" s="131"/>
      <c r="J21" s="135">
        <v>19</v>
      </c>
      <c r="K21" s="125" t="str">
        <v>Cezary</v>
      </c>
      <c r="L21" s="142">
        <v>0</v>
      </c>
      <c r="M21" s="133"/>
      <c r="N21" s="135">
        <v>19</v>
      </c>
      <c r="O21" s="125" t="str">
        <v>Cezary</v>
      </c>
      <c r="P21" s="72" t="e">
        <v>#N/A</v>
      </c>
      <c r="Q21" s="131"/>
      <c r="S21" s="116" t="str">
        <f>'day by day'!B24</f>
        <v>Cezary</v>
      </c>
      <c r="T21" s="97" t="str">
        <f>'day by day'!C24</f>
        <v/>
      </c>
      <c r="V21" s="116" t="str">
        <f>tabela!Q21</f>
        <v>Cezary</v>
      </c>
      <c r="W21" s="97">
        <f>tabela!U21+tabela!V21</f>
        <v>0</v>
      </c>
      <c r="Y21" s="116" t="str">
        <f>tabela!Q21</f>
        <v>Cezary</v>
      </c>
      <c r="Z21" s="97">
        <f>tabela!W21</f>
        <v>0</v>
      </c>
      <c r="AB21" s="116" t="str">
        <f>'r1'!B23</f>
        <v>Cezary</v>
      </c>
      <c r="AC21" s="97" t="e">
        <f>'r1'!AE23</f>
        <v>#N/A</v>
      </c>
    </row>
    <row r="22" spans="2:29" ht="15.75">
      <c r="B22" s="71">
        <v>20</v>
      </c>
      <c r="C22" s="126" t="str">
        <v>Dziobak</v>
      </c>
      <c r="D22" s="72" t="str">
        <v/>
      </c>
      <c r="E22" s="133"/>
      <c r="F22" s="136">
        <v>20</v>
      </c>
      <c r="G22" s="126" t="str">
        <v>Dziobak</v>
      </c>
      <c r="H22" s="72">
        <v>0</v>
      </c>
      <c r="I22" s="131"/>
      <c r="J22" s="136">
        <v>20</v>
      </c>
      <c r="K22" s="126" t="str">
        <v>Dziobak</v>
      </c>
      <c r="L22" s="142">
        <v>0</v>
      </c>
      <c r="M22" s="133"/>
      <c r="N22" s="136">
        <v>20</v>
      </c>
      <c r="O22" s="126" t="str">
        <v>Dziobak</v>
      </c>
      <c r="P22" s="72" t="e">
        <v>#N/A</v>
      </c>
      <c r="Q22" s="131"/>
      <c r="S22" s="116" t="str">
        <f>'day by day'!B25</f>
        <v>Dziobak</v>
      </c>
      <c r="T22" s="97" t="str">
        <f>'day by day'!C25</f>
        <v/>
      </c>
      <c r="V22" s="116" t="str">
        <f>tabela!Q22</f>
        <v>Dziobak</v>
      </c>
      <c r="W22" s="97">
        <f>tabela!U22+tabela!V22</f>
        <v>0</v>
      </c>
      <c r="Y22" s="116" t="str">
        <f>tabela!Q22</f>
        <v>Dziobak</v>
      </c>
      <c r="Z22" s="97">
        <f>tabela!W22</f>
        <v>0</v>
      </c>
      <c r="AB22" s="116" t="str">
        <f>'r1'!B24</f>
        <v>Dziobak</v>
      </c>
      <c r="AC22" s="97" t="e">
        <f>'r1'!AE24</f>
        <v>#N/A</v>
      </c>
    </row>
    <row r="23" spans="2:29" ht="15.75">
      <c r="B23" s="81">
        <v>21</v>
      </c>
      <c r="C23" s="125" t="str">
        <v>MateuszKn</v>
      </c>
      <c r="D23" s="72" t="str">
        <v/>
      </c>
      <c r="E23" s="133"/>
      <c r="F23" s="135">
        <v>21</v>
      </c>
      <c r="G23" s="125" t="str">
        <v>MateuszKn</v>
      </c>
      <c r="H23" s="72">
        <v>0</v>
      </c>
      <c r="I23" s="131"/>
      <c r="J23" s="135">
        <v>21</v>
      </c>
      <c r="K23" s="125" t="str">
        <v>MateuszKn</v>
      </c>
      <c r="L23" s="142">
        <v>0</v>
      </c>
      <c r="M23" s="133"/>
      <c r="N23" s="135">
        <v>21</v>
      </c>
      <c r="O23" s="125" t="str">
        <v>MateuszKn</v>
      </c>
      <c r="P23" s="72" t="e">
        <v>#N/A</v>
      </c>
      <c r="Q23" s="131"/>
      <c r="S23" s="116" t="str">
        <f>'day by day'!B26</f>
        <v>MateuszKn</v>
      </c>
      <c r="T23" s="97" t="str">
        <f>'day by day'!C26</f>
        <v/>
      </c>
      <c r="V23" s="116" t="str">
        <f>tabela!Q23</f>
        <v>MateuszKn</v>
      </c>
      <c r="W23" s="97">
        <f>tabela!U23+tabela!V23</f>
        <v>0</v>
      </c>
      <c r="Y23" s="116" t="str">
        <f>tabela!Q23</f>
        <v>MateuszKn</v>
      </c>
      <c r="Z23" s="97">
        <f>tabela!W23</f>
        <v>0</v>
      </c>
      <c r="AB23" s="116" t="str">
        <f>'r1'!B25</f>
        <v>MateuszKn</v>
      </c>
      <c r="AC23" s="97" t="e">
        <f>'r1'!AE25</f>
        <v>#N/A</v>
      </c>
    </row>
    <row r="24" spans="2:29" ht="15.75">
      <c r="B24" s="71">
        <v>22</v>
      </c>
      <c r="C24" s="126" t="str">
        <v>Przemek</v>
      </c>
      <c r="D24" s="72" t="str">
        <v/>
      </c>
      <c r="E24" s="133"/>
      <c r="F24" s="136">
        <v>22</v>
      </c>
      <c r="G24" s="126" t="str">
        <v>Przemek</v>
      </c>
      <c r="H24" s="72">
        <v>0</v>
      </c>
      <c r="I24" s="131"/>
      <c r="J24" s="136">
        <v>22</v>
      </c>
      <c r="K24" s="126" t="str">
        <v>Przemek</v>
      </c>
      <c r="L24" s="142">
        <v>0</v>
      </c>
      <c r="M24" s="133"/>
      <c r="N24" s="136">
        <v>22</v>
      </c>
      <c r="O24" s="126" t="str">
        <v>Przemek</v>
      </c>
      <c r="P24" s="72" t="e">
        <v>#N/A</v>
      </c>
      <c r="Q24" s="131"/>
      <c r="S24" s="116" t="str">
        <f>'day by day'!B27</f>
        <v>Przemek</v>
      </c>
      <c r="T24" s="97" t="str">
        <f>'day by day'!C27</f>
        <v/>
      </c>
      <c r="V24" s="116" t="str">
        <f>tabela!Q24</f>
        <v>Przemek</v>
      </c>
      <c r="W24" s="97">
        <f>tabela!U24+tabela!V24</f>
        <v>0</v>
      </c>
      <c r="Y24" s="116" t="str">
        <f>tabela!Q24</f>
        <v>Przemek</v>
      </c>
      <c r="Z24" s="97">
        <f>tabela!W24</f>
        <v>0</v>
      </c>
      <c r="AB24" s="116" t="str">
        <f>'r1'!B26</f>
        <v>Przemek</v>
      </c>
      <c r="AC24" s="97" t="e">
        <f>'r1'!AE26</f>
        <v>#N/A</v>
      </c>
    </row>
    <row r="25" spans="2:29" ht="15.75">
      <c r="B25" s="81">
        <v>23</v>
      </c>
      <c r="C25" s="125" t="str">
        <v>Borys</v>
      </c>
      <c r="D25" s="72" t="str">
        <v/>
      </c>
      <c r="E25" s="133"/>
      <c r="F25" s="135">
        <v>23</v>
      </c>
      <c r="G25" s="125" t="str">
        <v>Borys</v>
      </c>
      <c r="H25" s="72">
        <v>0</v>
      </c>
      <c r="I25" s="131"/>
      <c r="J25" s="135">
        <v>23</v>
      </c>
      <c r="K25" s="125" t="str">
        <v>Borys</v>
      </c>
      <c r="L25" s="142">
        <v>0</v>
      </c>
      <c r="M25" s="133"/>
      <c r="N25" s="135">
        <v>23</v>
      </c>
      <c r="O25" s="125" t="str">
        <v>Borys</v>
      </c>
      <c r="P25" s="72" t="e">
        <v>#N/A</v>
      </c>
      <c r="Q25" s="131"/>
      <c r="S25" s="116" t="str">
        <f>'day by day'!B28</f>
        <v>Borys</v>
      </c>
      <c r="T25" s="97" t="str">
        <f>'day by day'!C28</f>
        <v/>
      </c>
      <c r="V25" s="116" t="str">
        <f>tabela!Q25</f>
        <v>Borys</v>
      </c>
      <c r="W25" s="97">
        <f>tabela!U25+tabela!V25</f>
        <v>0</v>
      </c>
      <c r="Y25" s="116" t="str">
        <f>tabela!Q25</f>
        <v>Borys</v>
      </c>
      <c r="Z25" s="97">
        <f>tabela!W25</f>
        <v>0</v>
      </c>
      <c r="AB25" s="116" t="str">
        <f>'r1'!B27</f>
        <v>Borys</v>
      </c>
      <c r="AC25" s="97" t="e">
        <f>'r1'!AE27</f>
        <v>#N/A</v>
      </c>
    </row>
    <row r="26" spans="2:29" ht="15.75">
      <c r="B26" s="71">
        <v>24</v>
      </c>
      <c r="C26" s="126" t="str">
        <v>Turbo-Ryżu</v>
      </c>
      <c r="D26" s="72" t="str">
        <v/>
      </c>
      <c r="E26" s="133"/>
      <c r="F26" s="136">
        <v>24</v>
      </c>
      <c r="G26" s="126" t="str">
        <v>Turbo-Ryżu</v>
      </c>
      <c r="H26" s="72">
        <v>0</v>
      </c>
      <c r="I26" s="131"/>
      <c r="J26" s="136">
        <v>24</v>
      </c>
      <c r="K26" s="126" t="str">
        <v>Turbo-Ryżu</v>
      </c>
      <c r="L26" s="142">
        <v>0</v>
      </c>
      <c r="M26" s="133"/>
      <c r="N26" s="136">
        <v>24</v>
      </c>
      <c r="O26" s="126" t="str">
        <v>Turbo-Ryżu</v>
      </c>
      <c r="P26" s="72" t="e">
        <v>#N/A</v>
      </c>
      <c r="Q26" s="131"/>
      <c r="S26" s="116" t="str">
        <f>'day by day'!B29</f>
        <v>Turbo-Ryżu</v>
      </c>
      <c r="T26" s="97" t="str">
        <f>'day by day'!C29</f>
        <v/>
      </c>
      <c r="V26" s="116" t="str">
        <f>tabela!Q26</f>
        <v>Turbo-Ryżu</v>
      </c>
      <c r="W26" s="97">
        <f>tabela!U26+tabela!V26</f>
        <v>0</v>
      </c>
      <c r="Y26" s="116" t="str">
        <f>tabela!Q26</f>
        <v>Turbo-Ryżu</v>
      </c>
      <c r="Z26" s="97">
        <f>tabela!W26</f>
        <v>0</v>
      </c>
      <c r="AB26" s="116" t="str">
        <f>'r1'!B28</f>
        <v>Turbo-Ryżu</v>
      </c>
      <c r="AC26" s="97" t="e">
        <f>'r1'!AE28</f>
        <v>#N/A</v>
      </c>
    </row>
    <row r="27" spans="2:29" ht="15.75">
      <c r="B27" s="81">
        <v>25</v>
      </c>
      <c r="C27" s="125" t="str">
        <v>MagdaP</v>
      </c>
      <c r="D27" s="72" t="str">
        <v/>
      </c>
      <c r="E27" s="133"/>
      <c r="F27" s="135">
        <v>25</v>
      </c>
      <c r="G27" s="125" t="str">
        <v>MagdaP</v>
      </c>
      <c r="H27" s="72">
        <v>0</v>
      </c>
      <c r="I27" s="131"/>
      <c r="J27" s="135">
        <v>25</v>
      </c>
      <c r="K27" s="125" t="str">
        <v>MagdaP</v>
      </c>
      <c r="L27" s="142">
        <v>0</v>
      </c>
      <c r="M27" s="133"/>
      <c r="N27" s="135">
        <v>25</v>
      </c>
      <c r="O27" s="125" t="str">
        <v>MagdaP</v>
      </c>
      <c r="P27" s="72" t="e">
        <v>#N/A</v>
      </c>
      <c r="Q27" s="131"/>
      <c r="S27" s="116" t="str">
        <f>'day by day'!B30</f>
        <v>MagdaP</v>
      </c>
      <c r="T27" s="97" t="str">
        <f>'day by day'!C30</f>
        <v/>
      </c>
      <c r="V27" s="116" t="str">
        <f>tabela!Q27</f>
        <v>MagdaP</v>
      </c>
      <c r="W27" s="97">
        <f>tabela!U27+tabela!V27</f>
        <v>0</v>
      </c>
      <c r="Y27" s="116" t="str">
        <f>tabela!Q27</f>
        <v>MagdaP</v>
      </c>
      <c r="Z27" s="97">
        <f>tabela!W27</f>
        <v>0</v>
      </c>
      <c r="AB27" s="116" t="str">
        <f>'r1'!B29</f>
        <v>MagdaP</v>
      </c>
      <c r="AC27" s="97" t="e">
        <f>'r1'!AE29</f>
        <v>#N/A</v>
      </c>
    </row>
    <row r="28" spans="2:29" ht="15.75">
      <c r="B28" s="71">
        <v>26</v>
      </c>
      <c r="C28" s="126" t="str">
        <v>Małgorzata</v>
      </c>
      <c r="D28" s="72" t="str">
        <v/>
      </c>
      <c r="E28" s="133"/>
      <c r="F28" s="136">
        <v>26</v>
      </c>
      <c r="G28" s="126" t="str">
        <v>Małgorzata</v>
      </c>
      <c r="H28" s="72">
        <v>0</v>
      </c>
      <c r="I28" s="131"/>
      <c r="J28" s="136">
        <v>26</v>
      </c>
      <c r="K28" s="126" t="str">
        <v>Małgorzata</v>
      </c>
      <c r="L28" s="142">
        <v>0</v>
      </c>
      <c r="M28" s="133"/>
      <c r="N28" s="136">
        <v>26</v>
      </c>
      <c r="O28" s="126" t="str">
        <v>Małgorzata</v>
      </c>
      <c r="P28" s="72" t="e">
        <v>#N/A</v>
      </c>
      <c r="Q28" s="131"/>
      <c r="S28" s="116" t="str">
        <f>'day by day'!B31</f>
        <v>Małgorzata</v>
      </c>
      <c r="T28" s="97" t="str">
        <f>'day by day'!C31</f>
        <v/>
      </c>
      <c r="V28" s="116" t="str">
        <f>tabela!Q28</f>
        <v>Małgorzata</v>
      </c>
      <c r="W28" s="97">
        <f>tabela!U28+tabela!V28</f>
        <v>0</v>
      </c>
      <c r="Y28" s="116" t="str">
        <f>tabela!Q28</f>
        <v>Małgorzata</v>
      </c>
      <c r="Z28" s="97">
        <f>tabela!W28</f>
        <v>0</v>
      </c>
      <c r="AB28" s="116" t="str">
        <f>'r1'!B30</f>
        <v>Małgorzata</v>
      </c>
      <c r="AC28" s="97" t="e">
        <f>'r1'!AE30</f>
        <v>#N/A</v>
      </c>
    </row>
    <row r="29" spans="2:29" ht="15.75">
      <c r="B29" s="81">
        <v>27</v>
      </c>
      <c r="C29" s="125" t="str">
        <v>KamilF</v>
      </c>
      <c r="D29" s="72" t="str">
        <v/>
      </c>
      <c r="E29" s="133"/>
      <c r="F29" s="135">
        <v>27</v>
      </c>
      <c r="G29" s="125" t="str">
        <v>KamilF</v>
      </c>
      <c r="H29" s="72">
        <v>0</v>
      </c>
      <c r="I29" s="131"/>
      <c r="J29" s="135">
        <v>27</v>
      </c>
      <c r="K29" s="125" t="str">
        <v>KamilF</v>
      </c>
      <c r="L29" s="142">
        <v>0</v>
      </c>
      <c r="M29" s="133"/>
      <c r="N29" s="135">
        <v>27</v>
      </c>
      <c r="O29" s="125" t="str">
        <v>KamilF</v>
      </c>
      <c r="P29" s="72" t="e">
        <v>#N/A</v>
      </c>
      <c r="Q29" s="131"/>
      <c r="S29" s="116" t="str">
        <f>'day by day'!B32</f>
        <v>KamilF</v>
      </c>
      <c r="T29" s="97" t="str">
        <f>'day by day'!C32</f>
        <v/>
      </c>
      <c r="V29" s="116" t="str">
        <f>tabela!Q29</f>
        <v>KamilF</v>
      </c>
      <c r="W29" s="97">
        <f>tabela!U29+tabela!V29</f>
        <v>0</v>
      </c>
      <c r="Y29" s="116" t="str">
        <f>tabela!Q29</f>
        <v>KamilF</v>
      </c>
      <c r="Z29" s="97">
        <f>tabela!W29</f>
        <v>0</v>
      </c>
      <c r="AB29" s="116" t="str">
        <f>'r1'!B31</f>
        <v>KamilF</v>
      </c>
      <c r="AC29" s="97" t="e">
        <f>'r1'!AE31</f>
        <v>#N/A</v>
      </c>
    </row>
    <row r="30" spans="2:29" ht="15.75">
      <c r="B30" s="71">
        <v>28</v>
      </c>
      <c r="C30" s="126" t="str">
        <v>MichałCz</v>
      </c>
      <c r="D30" s="72" t="str">
        <v/>
      </c>
      <c r="E30" s="133"/>
      <c r="F30" s="136">
        <v>28</v>
      </c>
      <c r="G30" s="126" t="str">
        <v>MichałCz</v>
      </c>
      <c r="H30" s="72">
        <v>0</v>
      </c>
      <c r="I30" s="131"/>
      <c r="J30" s="136">
        <v>28</v>
      </c>
      <c r="K30" s="126" t="str">
        <v>MichałCz</v>
      </c>
      <c r="L30" s="142">
        <v>0</v>
      </c>
      <c r="M30" s="133"/>
      <c r="N30" s="136">
        <v>28</v>
      </c>
      <c r="O30" s="126" t="str">
        <v>MichałCz</v>
      </c>
      <c r="P30" s="72" t="e">
        <v>#N/A</v>
      </c>
      <c r="Q30" s="131"/>
      <c r="S30" s="116" t="str">
        <f>'day by day'!B33</f>
        <v>MichałCz</v>
      </c>
      <c r="T30" s="97" t="str">
        <f>'day by day'!C33</f>
        <v/>
      </c>
      <c r="V30" s="116" t="str">
        <f>tabela!Q30</f>
        <v>MichałCz</v>
      </c>
      <c r="W30" s="97">
        <f>tabela!U30+tabela!V30</f>
        <v>0</v>
      </c>
      <c r="Y30" s="116" t="str">
        <f>tabela!Q30</f>
        <v>MichałCz</v>
      </c>
      <c r="Z30" s="97">
        <f>tabela!W30</f>
        <v>0</v>
      </c>
      <c r="AB30" s="116" t="str">
        <f>'r1'!B32</f>
        <v>MichałCz</v>
      </c>
      <c r="AC30" s="97" t="e">
        <f>'r1'!AE32</f>
        <v>#N/A</v>
      </c>
    </row>
    <row r="31" spans="2:29" ht="15.75">
      <c r="B31" s="81">
        <v>29</v>
      </c>
      <c r="C31" s="125" t="str">
        <v>Talvik</v>
      </c>
      <c r="D31" s="72" t="str">
        <v/>
      </c>
      <c r="E31" s="133"/>
      <c r="F31" s="135">
        <v>29</v>
      </c>
      <c r="G31" s="125" t="str">
        <v>Talvik</v>
      </c>
      <c r="H31" s="72">
        <v>0</v>
      </c>
      <c r="I31" s="131"/>
      <c r="J31" s="135">
        <v>29</v>
      </c>
      <c r="K31" s="125" t="str">
        <v>Talvik</v>
      </c>
      <c r="L31" s="142">
        <v>0</v>
      </c>
      <c r="M31" s="133"/>
      <c r="N31" s="135">
        <v>29</v>
      </c>
      <c r="O31" s="125" t="str">
        <v>Talvik</v>
      </c>
      <c r="P31" s="72" t="e">
        <v>#N/A</v>
      </c>
      <c r="Q31" s="131"/>
      <c r="S31" s="116" t="str">
        <f>'day by day'!B34</f>
        <v>Talvik</v>
      </c>
      <c r="T31" s="97" t="str">
        <f>'day by day'!C34</f>
        <v/>
      </c>
      <c r="V31" s="116" t="str">
        <f>tabela!Q31</f>
        <v>Talvik</v>
      </c>
      <c r="W31" s="97">
        <f>tabela!U31+tabela!V31</f>
        <v>0</v>
      </c>
      <c r="Y31" s="116" t="str">
        <f>tabela!Q31</f>
        <v>Talvik</v>
      </c>
      <c r="Z31" s="97">
        <f>tabela!W31</f>
        <v>0</v>
      </c>
      <c r="AB31" s="116" t="str">
        <f>'r1'!B33</f>
        <v>Talvik</v>
      </c>
      <c r="AC31" s="97" t="e">
        <f>'r1'!AE33</f>
        <v>#N/A</v>
      </c>
    </row>
    <row r="32" spans="2:29" ht="15.75">
      <c r="B32" s="71">
        <v>30</v>
      </c>
      <c r="C32" s="126" t="str">
        <v>Rafał</v>
      </c>
      <c r="D32" s="72" t="str">
        <v/>
      </c>
      <c r="E32" s="133"/>
      <c r="F32" s="136">
        <v>30</v>
      </c>
      <c r="G32" s="126" t="str">
        <v>Rafał</v>
      </c>
      <c r="H32" s="72">
        <v>0</v>
      </c>
      <c r="I32" s="131"/>
      <c r="J32" s="136">
        <v>30</v>
      </c>
      <c r="K32" s="126" t="str">
        <v>Rafał</v>
      </c>
      <c r="L32" s="142">
        <v>0</v>
      </c>
      <c r="M32" s="133"/>
      <c r="N32" s="136">
        <v>30</v>
      </c>
      <c r="O32" s="126" t="str">
        <v>Rafał</v>
      </c>
      <c r="P32" s="72" t="e">
        <v>#N/A</v>
      </c>
      <c r="Q32" s="131"/>
      <c r="S32" s="116" t="str">
        <f>'day by day'!B35</f>
        <v>Rafał</v>
      </c>
      <c r="T32" s="97" t="str">
        <f>'day by day'!C35</f>
        <v/>
      </c>
      <c r="V32" s="116" t="str">
        <f>tabela!Q32</f>
        <v>Rafał</v>
      </c>
      <c r="W32" s="97">
        <f>tabela!U32+tabela!V32</f>
        <v>0</v>
      </c>
      <c r="Y32" s="116" t="str">
        <f>tabela!Q32</f>
        <v>Rafał</v>
      </c>
      <c r="Z32" s="97">
        <f>tabela!W32</f>
        <v>0</v>
      </c>
      <c r="AB32" s="116" t="str">
        <f>'r1'!B34</f>
        <v>Rafał</v>
      </c>
      <c r="AC32" s="97" t="e">
        <f>'r1'!AE34</f>
        <v>#N/A</v>
      </c>
    </row>
    <row r="33" spans="2:29" ht="15.75">
      <c r="B33" s="81">
        <v>31</v>
      </c>
      <c r="C33" s="125" t="str">
        <v>MarekS</v>
      </c>
      <c r="D33" s="72" t="str">
        <v/>
      </c>
      <c r="E33" s="133"/>
      <c r="F33" s="135">
        <v>31</v>
      </c>
      <c r="G33" s="125" t="str">
        <v>MarekS</v>
      </c>
      <c r="H33" s="72">
        <v>0</v>
      </c>
      <c r="I33" s="131"/>
      <c r="J33" s="135">
        <v>31</v>
      </c>
      <c r="K33" s="125" t="str">
        <v>MarekS</v>
      </c>
      <c r="L33" s="142">
        <v>0</v>
      </c>
      <c r="M33" s="133"/>
      <c r="N33" s="135">
        <v>31</v>
      </c>
      <c r="O33" s="125" t="str">
        <v>MarekS</v>
      </c>
      <c r="P33" s="72" t="e">
        <v>#N/A</v>
      </c>
      <c r="Q33" s="131"/>
      <c r="S33" s="116" t="str">
        <f>'day by day'!B36</f>
        <v>MarekS</v>
      </c>
      <c r="T33" s="97" t="str">
        <f>'day by day'!C36</f>
        <v/>
      </c>
      <c r="V33" s="116" t="str">
        <f>tabela!Q33</f>
        <v>MarekS</v>
      </c>
      <c r="W33" s="97">
        <f>tabela!U33+tabela!V33</f>
        <v>0</v>
      </c>
      <c r="Y33" s="116" t="str">
        <f>tabela!Q33</f>
        <v>MarekS</v>
      </c>
      <c r="Z33" s="97">
        <f>tabela!W33</f>
        <v>0</v>
      </c>
      <c r="AB33" s="116" t="str">
        <f>'r1'!B35</f>
        <v>MarekS</v>
      </c>
      <c r="AC33" s="97" t="e">
        <f>'r1'!AE35</f>
        <v>#N/A</v>
      </c>
    </row>
    <row r="34" spans="2:29" ht="15.75">
      <c r="B34" s="71">
        <v>32</v>
      </c>
      <c r="C34" s="126" t="str">
        <v>Karolina</v>
      </c>
      <c r="D34" s="72" t="str">
        <v/>
      </c>
      <c r="E34" s="133"/>
      <c r="F34" s="136">
        <v>32</v>
      </c>
      <c r="G34" s="126" t="str">
        <v>Karolina</v>
      </c>
      <c r="H34" s="72">
        <v>0</v>
      </c>
      <c r="I34" s="131"/>
      <c r="J34" s="136">
        <v>32</v>
      </c>
      <c r="K34" s="126" t="str">
        <v>Karolina</v>
      </c>
      <c r="L34" s="142">
        <v>0</v>
      </c>
      <c r="M34" s="133"/>
      <c r="N34" s="136">
        <v>32</v>
      </c>
      <c r="O34" s="126" t="str">
        <v>Karolina</v>
      </c>
      <c r="P34" s="72" t="e">
        <v>#N/A</v>
      </c>
      <c r="Q34" s="131"/>
      <c r="S34" s="116" t="str">
        <f>'day by day'!B37</f>
        <v>Karolina</v>
      </c>
      <c r="T34" s="97" t="str">
        <f>'day by day'!C37</f>
        <v/>
      </c>
      <c r="V34" s="116" t="str">
        <f>tabela!Q34</f>
        <v>Karolina</v>
      </c>
      <c r="W34" s="97">
        <f>tabela!U34+tabela!V34</f>
        <v>0</v>
      </c>
      <c r="Y34" s="116" t="str">
        <f>tabela!Q34</f>
        <v>Karolina</v>
      </c>
      <c r="Z34" s="97">
        <f>tabela!W34</f>
        <v>0</v>
      </c>
      <c r="AB34" s="116" t="str">
        <f>'r1'!B36</f>
        <v>Karolina</v>
      </c>
      <c r="AC34" s="97" t="e">
        <f>'r1'!AE36</f>
        <v>#N/A</v>
      </c>
    </row>
    <row r="35" spans="2:29" ht="15.75">
      <c r="B35" s="81">
        <v>33</v>
      </c>
      <c r="C35" s="125" t="str">
        <v>AndrzejO</v>
      </c>
      <c r="D35" s="72" t="str">
        <v/>
      </c>
      <c r="E35" s="133"/>
      <c r="F35" s="135">
        <v>33</v>
      </c>
      <c r="G35" s="125" t="str">
        <v>AndrzejO</v>
      </c>
      <c r="H35" s="72">
        <v>0</v>
      </c>
      <c r="I35" s="131"/>
      <c r="J35" s="135">
        <v>33</v>
      </c>
      <c r="K35" s="125" t="str">
        <v>AndrzejO</v>
      </c>
      <c r="L35" s="142">
        <v>0</v>
      </c>
      <c r="M35" s="133"/>
      <c r="N35" s="135">
        <v>33</v>
      </c>
      <c r="O35" s="125" t="str">
        <v>AndrzejO</v>
      </c>
      <c r="P35" s="72" t="e">
        <v>#N/A</v>
      </c>
      <c r="Q35" s="131"/>
      <c r="S35" s="116" t="str">
        <f>'day by day'!B38</f>
        <v>AndrzejO</v>
      </c>
      <c r="T35" s="97" t="str">
        <f>'day by day'!C38</f>
        <v/>
      </c>
      <c r="V35" s="116" t="str">
        <f>tabela!Q35</f>
        <v>AndrzejO</v>
      </c>
      <c r="W35" s="97">
        <f>tabela!U35+tabela!V35</f>
        <v>0</v>
      </c>
      <c r="Y35" s="116" t="str">
        <f>tabela!Q35</f>
        <v>AndrzejO</v>
      </c>
      <c r="Z35" s="97">
        <f>tabela!W35</f>
        <v>0</v>
      </c>
      <c r="AB35" s="116" t="str">
        <f>'r1'!B37</f>
        <v>AndrzejO</v>
      </c>
      <c r="AC35" s="97" t="e">
        <f>'r1'!AE37</f>
        <v>#N/A</v>
      </c>
    </row>
    <row r="36" spans="2:29" ht="15.75">
      <c r="B36" s="71">
        <v>34</v>
      </c>
      <c r="C36" s="126" t="str">
        <v>PiotreM</v>
      </c>
      <c r="D36" s="72" t="str">
        <v/>
      </c>
      <c r="E36" s="133"/>
      <c r="F36" s="136">
        <v>34</v>
      </c>
      <c r="G36" s="126" t="str">
        <v>PiotreM</v>
      </c>
      <c r="H36" s="72">
        <v>0</v>
      </c>
      <c r="I36" s="131"/>
      <c r="J36" s="136">
        <v>34</v>
      </c>
      <c r="K36" s="126" t="str">
        <v>PiotreM</v>
      </c>
      <c r="L36" s="142">
        <v>0</v>
      </c>
      <c r="M36" s="133"/>
      <c r="N36" s="136">
        <v>34</v>
      </c>
      <c r="O36" s="126" t="str">
        <v>PiotreM</v>
      </c>
      <c r="P36" s="72" t="e">
        <v>#N/A</v>
      </c>
      <c r="Q36" s="131"/>
      <c r="S36" s="116" t="str">
        <f>'day by day'!B39</f>
        <v>PiotreM</v>
      </c>
      <c r="T36" s="97" t="str">
        <f>'day by day'!C39</f>
        <v/>
      </c>
      <c r="V36" s="116" t="str">
        <f>tabela!Q36</f>
        <v>PiotreM</v>
      </c>
      <c r="W36" s="97">
        <f>tabela!U36+tabela!V36</f>
        <v>0</v>
      </c>
      <c r="Y36" s="116" t="str">
        <f>tabela!Q36</f>
        <v>PiotreM</v>
      </c>
      <c r="Z36" s="97">
        <f>tabela!W36</f>
        <v>0</v>
      </c>
      <c r="AB36" s="116" t="str">
        <f>'r1'!B38</f>
        <v>PiotreM</v>
      </c>
      <c r="AC36" s="97" t="e">
        <f>'r1'!AE38</f>
        <v>#N/A</v>
      </c>
    </row>
    <row r="37" spans="2:29" ht="15.75">
      <c r="B37" s="81">
        <v>35</v>
      </c>
      <c r="C37" s="125" t="str">
        <v>DarekJell</v>
      </c>
      <c r="D37" s="72" t="str">
        <v/>
      </c>
      <c r="E37" s="133"/>
      <c r="F37" s="135">
        <v>35</v>
      </c>
      <c r="G37" s="125" t="str">
        <v>DarekJell</v>
      </c>
      <c r="H37" s="72">
        <v>0</v>
      </c>
      <c r="I37" s="131"/>
      <c r="J37" s="135">
        <v>35</v>
      </c>
      <c r="K37" s="125" t="str">
        <v>DarekJell</v>
      </c>
      <c r="L37" s="142">
        <v>0</v>
      </c>
      <c r="M37" s="133"/>
      <c r="N37" s="135">
        <v>35</v>
      </c>
      <c r="O37" s="125" t="str">
        <v>DarekJell</v>
      </c>
      <c r="P37" s="72" t="e">
        <v>#N/A</v>
      </c>
      <c r="Q37" s="131"/>
      <c r="S37" s="116" t="str">
        <f>'day by day'!B40</f>
        <v>DarekJell</v>
      </c>
      <c r="T37" s="97" t="str">
        <f>'day by day'!C40</f>
        <v/>
      </c>
      <c r="V37" s="116" t="str">
        <f>tabela!Q37</f>
        <v>DarekJell</v>
      </c>
      <c r="W37" s="97">
        <f>tabela!U37+tabela!V37</f>
        <v>0</v>
      </c>
      <c r="Y37" s="116" t="str">
        <f>tabela!Q37</f>
        <v>DarekJell</v>
      </c>
      <c r="Z37" s="97">
        <f>tabela!W37</f>
        <v>0</v>
      </c>
      <c r="AB37" s="116" t="str">
        <f>'r1'!B39</f>
        <v>DarekJell</v>
      </c>
      <c r="AC37" s="97" t="e">
        <f>'r1'!AE39</f>
        <v>#N/A</v>
      </c>
    </row>
    <row r="38" spans="2:29" ht="15.75">
      <c r="B38" s="71">
        <v>36</v>
      </c>
      <c r="C38" s="126" t="str">
        <v>Maciej</v>
      </c>
      <c r="D38" s="72" t="str">
        <v/>
      </c>
      <c r="E38" s="133"/>
      <c r="F38" s="136">
        <v>36</v>
      </c>
      <c r="G38" s="126" t="str">
        <v>Maciej</v>
      </c>
      <c r="H38" s="72">
        <v>0</v>
      </c>
      <c r="I38" s="131"/>
      <c r="J38" s="136">
        <v>36</v>
      </c>
      <c r="K38" s="126" t="str">
        <v>Maciej</v>
      </c>
      <c r="L38" s="142">
        <v>0</v>
      </c>
      <c r="M38" s="133"/>
      <c r="N38" s="136">
        <v>36</v>
      </c>
      <c r="O38" s="126" t="str">
        <v>Maciej</v>
      </c>
      <c r="P38" s="72" t="e">
        <v>#N/A</v>
      </c>
      <c r="Q38" s="131"/>
      <c r="S38" s="116" t="str">
        <f>'day by day'!B41</f>
        <v>Maciej</v>
      </c>
      <c r="T38" s="97" t="str">
        <f>'day by day'!C41</f>
        <v/>
      </c>
      <c r="V38" s="116" t="str">
        <f>tabela!Q38</f>
        <v>Maciej</v>
      </c>
      <c r="W38" s="97">
        <f>tabela!U38+tabela!V38</f>
        <v>0</v>
      </c>
      <c r="Y38" s="116" t="str">
        <f>tabela!Q38</f>
        <v>Maciej</v>
      </c>
      <c r="Z38" s="97">
        <f>tabela!W38</f>
        <v>0</v>
      </c>
      <c r="AB38" s="116" t="str">
        <f>'r1'!B40</f>
        <v>Maciej</v>
      </c>
      <c r="AC38" s="97" t="e">
        <f>'r1'!AE40</f>
        <v>#N/A</v>
      </c>
    </row>
    <row r="39" spans="2:29" ht="15.75">
      <c r="B39" s="81">
        <v>37</v>
      </c>
      <c r="C39" s="125" t="str">
        <v>KSZ</v>
      </c>
      <c r="D39" s="72" t="str">
        <v/>
      </c>
      <c r="E39" s="133"/>
      <c r="F39" s="135">
        <v>37</v>
      </c>
      <c r="G39" s="125" t="str">
        <v>KSZ</v>
      </c>
      <c r="H39" s="72">
        <v>0</v>
      </c>
      <c r="I39" s="131"/>
      <c r="J39" s="135">
        <v>37</v>
      </c>
      <c r="K39" s="125" t="str">
        <v>KSZ</v>
      </c>
      <c r="L39" s="142">
        <v>0</v>
      </c>
      <c r="M39" s="133"/>
      <c r="N39" s="135">
        <v>37</v>
      </c>
      <c r="O39" s="125" t="str">
        <v>KSZ</v>
      </c>
      <c r="P39" s="72" t="e">
        <v>#N/A</v>
      </c>
      <c r="Q39" s="131"/>
      <c r="S39" s="116" t="str">
        <f>'day by day'!B42</f>
        <v>KSZ</v>
      </c>
      <c r="T39" s="97" t="str">
        <f>'day by day'!C42</f>
        <v/>
      </c>
      <c r="V39" s="116" t="str">
        <f>tabela!Q39</f>
        <v>KSZ</v>
      </c>
      <c r="W39" s="97">
        <f>tabela!U39+tabela!V39</f>
        <v>0</v>
      </c>
      <c r="Y39" s="116" t="str">
        <f>tabela!Q39</f>
        <v>KSZ</v>
      </c>
      <c r="Z39" s="97">
        <f>tabela!W39</f>
        <v>0</v>
      </c>
      <c r="AB39" s="116" t="str">
        <f>'r1'!B41</f>
        <v>KSZ</v>
      </c>
      <c r="AC39" s="97" t="e">
        <f>'r1'!AE41</f>
        <v>#N/A</v>
      </c>
    </row>
    <row r="40" spans="2:29" ht="15.75">
      <c r="B40" s="71">
        <v>38</v>
      </c>
      <c r="C40" s="126" t="str">
        <v>MarekP</v>
      </c>
      <c r="D40" s="72" t="str">
        <v/>
      </c>
      <c r="E40" s="133"/>
      <c r="F40" s="136">
        <v>38</v>
      </c>
      <c r="G40" s="126" t="str">
        <v>MarekP</v>
      </c>
      <c r="H40" s="72">
        <v>0</v>
      </c>
      <c r="I40" s="131"/>
      <c r="J40" s="136">
        <v>38</v>
      </c>
      <c r="K40" s="126" t="str">
        <v>MarekP</v>
      </c>
      <c r="L40" s="142">
        <v>0</v>
      </c>
      <c r="M40" s="133"/>
      <c r="N40" s="136">
        <v>38</v>
      </c>
      <c r="O40" s="126" t="str">
        <v>MarekP</v>
      </c>
      <c r="P40" s="72" t="e">
        <v>#N/A</v>
      </c>
      <c r="Q40" s="131"/>
      <c r="S40" s="116" t="str">
        <f>'day by day'!B43</f>
        <v>MarekP</v>
      </c>
      <c r="T40" s="97" t="str">
        <f>'day by day'!C43</f>
        <v/>
      </c>
      <c r="V40" s="116" t="str">
        <f>tabela!Q40</f>
        <v>MarekP</v>
      </c>
      <c r="W40" s="97">
        <f>tabela!U40+tabela!V40</f>
        <v>0</v>
      </c>
      <c r="Y40" s="116" t="str">
        <f>tabela!Q40</f>
        <v>MarekP</v>
      </c>
      <c r="Z40" s="97">
        <f>tabela!W40</f>
        <v>0</v>
      </c>
      <c r="AB40" s="116" t="str">
        <f>'r1'!B42</f>
        <v>MarekP</v>
      </c>
      <c r="AC40" s="97" t="e">
        <f>'r1'!AE42</f>
        <v>#N/A</v>
      </c>
    </row>
    <row r="41" spans="2:29" ht="15.75">
      <c r="B41" s="81">
        <v>39</v>
      </c>
      <c r="C41" s="125" t="str">
        <v>KleoPatra</v>
      </c>
      <c r="D41" s="72" t="str">
        <v/>
      </c>
      <c r="E41" s="133"/>
      <c r="F41" s="135">
        <v>39</v>
      </c>
      <c r="G41" s="125" t="str">
        <v>KleoPatra</v>
      </c>
      <c r="H41" s="72">
        <v>0</v>
      </c>
      <c r="I41" s="131"/>
      <c r="J41" s="135">
        <v>39</v>
      </c>
      <c r="K41" s="125" t="str">
        <v>KleoPatra</v>
      </c>
      <c r="L41" s="142">
        <v>0</v>
      </c>
      <c r="M41" s="133"/>
      <c r="N41" s="135">
        <v>39</v>
      </c>
      <c r="O41" s="125" t="str">
        <v>KleoPatra</v>
      </c>
      <c r="P41" s="72" t="e">
        <v>#N/A</v>
      </c>
      <c r="Q41" s="131"/>
      <c r="S41" s="116" t="str">
        <f>'day by day'!B44</f>
        <v>KleoPatra</v>
      </c>
      <c r="T41" s="97" t="str">
        <f>'day by day'!C44</f>
        <v/>
      </c>
      <c r="V41" s="116" t="str">
        <f>tabela!Q41</f>
        <v>KleoPatra</v>
      </c>
      <c r="W41" s="97">
        <f>tabela!U41+tabela!V41</f>
        <v>0</v>
      </c>
      <c r="Y41" s="116" t="str">
        <f>tabela!Q41</f>
        <v>KleoPatra</v>
      </c>
      <c r="Z41" s="97">
        <f>tabela!W41</f>
        <v>0</v>
      </c>
      <c r="AB41" s="116" t="str">
        <f>'r1'!B43</f>
        <v>KleoPatra</v>
      </c>
      <c r="AC41" s="97" t="e">
        <f>'r1'!AE43</f>
        <v>#N/A</v>
      </c>
    </row>
    <row r="42" spans="2:29" ht="15.75">
      <c r="B42" s="71">
        <v>40</v>
      </c>
      <c r="C42" s="126" t="str">
        <v>MichałeK</v>
      </c>
      <c r="D42" s="72" t="str">
        <v/>
      </c>
      <c r="E42" s="133"/>
      <c r="F42" s="136">
        <v>40</v>
      </c>
      <c r="G42" s="126" t="str">
        <v>MichałeK</v>
      </c>
      <c r="H42" s="72">
        <v>0</v>
      </c>
      <c r="I42" s="131"/>
      <c r="J42" s="136">
        <v>40</v>
      </c>
      <c r="K42" s="126" t="str">
        <v>MichałeK</v>
      </c>
      <c r="L42" s="142">
        <v>0</v>
      </c>
      <c r="M42" s="133"/>
      <c r="N42" s="136">
        <v>40</v>
      </c>
      <c r="O42" s="126" t="str">
        <v>MichałeK</v>
      </c>
      <c r="P42" s="72" t="e">
        <v>#N/A</v>
      </c>
      <c r="Q42" s="131"/>
      <c r="S42" s="116" t="str">
        <f>'day by day'!B45</f>
        <v>MichałeK</v>
      </c>
      <c r="T42" s="97" t="str">
        <f>'day by day'!C45</f>
        <v/>
      </c>
      <c r="V42" s="116" t="str">
        <f>tabela!Q42</f>
        <v>MichałeK</v>
      </c>
      <c r="W42" s="97">
        <f>tabela!U42+tabela!V42</f>
        <v>0</v>
      </c>
      <c r="Y42" s="116" t="str">
        <f>tabela!Q42</f>
        <v>MichałeK</v>
      </c>
      <c r="Z42" s="97">
        <f>tabela!W42</f>
        <v>0</v>
      </c>
      <c r="AB42" s="116" t="str">
        <f>'r1'!B44</f>
        <v>MichałeK</v>
      </c>
      <c r="AC42" s="97" t="e">
        <f>'r1'!AE44</f>
        <v>#N/A</v>
      </c>
    </row>
    <row r="43" spans="2:29" ht="15.75">
      <c r="B43" s="81">
        <v>41</v>
      </c>
      <c r="C43" s="125" t="str">
        <v>Witek</v>
      </c>
      <c r="D43" s="72" t="str">
        <v/>
      </c>
      <c r="E43" s="133"/>
      <c r="F43" s="135">
        <v>41</v>
      </c>
      <c r="G43" s="125" t="str">
        <v>Witek</v>
      </c>
      <c r="H43" s="72">
        <v>0</v>
      </c>
      <c r="I43" s="131"/>
      <c r="J43" s="135">
        <v>41</v>
      </c>
      <c r="K43" s="125" t="str">
        <v>Witek</v>
      </c>
      <c r="L43" s="142">
        <v>0</v>
      </c>
      <c r="M43" s="133"/>
      <c r="N43" s="135">
        <v>41</v>
      </c>
      <c r="O43" s="125" t="str">
        <v>Witek</v>
      </c>
      <c r="P43" s="72" t="e">
        <v>#N/A</v>
      </c>
      <c r="Q43" s="131"/>
      <c r="S43" s="116" t="str">
        <f>'day by day'!B46</f>
        <v>Witek</v>
      </c>
      <c r="T43" s="97" t="str">
        <f>'day by day'!C46</f>
        <v/>
      </c>
      <c r="V43" s="116" t="str">
        <f>tabela!Q43</f>
        <v>Witek</v>
      </c>
      <c r="W43" s="97">
        <f>tabela!U43+tabela!V43</f>
        <v>0</v>
      </c>
      <c r="Y43" s="116" t="str">
        <f>tabela!Q43</f>
        <v>Witek</v>
      </c>
      <c r="Z43" s="97">
        <f>tabela!W43</f>
        <v>0</v>
      </c>
      <c r="AB43" s="116" t="str">
        <f>'r1'!B45</f>
        <v>Witek</v>
      </c>
      <c r="AC43" s="97" t="e">
        <f>'r1'!AE45</f>
        <v>#N/A</v>
      </c>
    </row>
    <row r="44" spans="2:29" ht="15.75">
      <c r="B44" s="71">
        <v>42</v>
      </c>
      <c r="C44" s="126" t="str">
        <v>RobertLat</v>
      </c>
      <c r="D44" s="72" t="str">
        <v/>
      </c>
      <c r="E44" s="133"/>
      <c r="F44" s="136">
        <v>42</v>
      </c>
      <c r="G44" s="126" t="str">
        <v>RobertLat</v>
      </c>
      <c r="H44" s="72">
        <v>0</v>
      </c>
      <c r="I44" s="131"/>
      <c r="J44" s="136">
        <v>42</v>
      </c>
      <c r="K44" s="126" t="str">
        <v>RobertLat</v>
      </c>
      <c r="L44" s="142">
        <v>0</v>
      </c>
      <c r="M44" s="133"/>
      <c r="N44" s="136">
        <v>42</v>
      </c>
      <c r="O44" s="126" t="str">
        <v>RobertLat</v>
      </c>
      <c r="P44" s="72" t="e">
        <v>#N/A</v>
      </c>
      <c r="Q44" s="131"/>
      <c r="S44" s="116" t="str">
        <f>'day by day'!B47</f>
        <v>RobertLat</v>
      </c>
      <c r="T44" s="97" t="str">
        <f>'day by day'!C47</f>
        <v/>
      </c>
      <c r="V44" s="116" t="str">
        <f>tabela!Q44</f>
        <v>RobertLat</v>
      </c>
      <c r="W44" s="97">
        <f>tabela!U44+tabela!V44</f>
        <v>0</v>
      </c>
      <c r="Y44" s="116" t="str">
        <f>tabela!Q44</f>
        <v>RobertLat</v>
      </c>
      <c r="Z44" s="97">
        <f>tabela!W44</f>
        <v>0</v>
      </c>
      <c r="AB44" s="116" t="str">
        <f>'r1'!B46</f>
        <v>RobertLat</v>
      </c>
      <c r="AC44" s="97" t="e">
        <f>'r1'!AE46</f>
        <v>#N/A</v>
      </c>
    </row>
    <row r="45" spans="2:29" ht="15.75">
      <c r="B45" s="81">
        <v>43</v>
      </c>
      <c r="C45" s="125" t="str">
        <v>DeDe</v>
      </c>
      <c r="D45" s="72" t="str">
        <v/>
      </c>
      <c r="E45" s="133"/>
      <c r="F45" s="135">
        <v>43</v>
      </c>
      <c r="G45" s="125" t="str">
        <v>DeDe</v>
      </c>
      <c r="H45" s="72">
        <v>0</v>
      </c>
      <c r="I45" s="131"/>
      <c r="J45" s="135">
        <v>43</v>
      </c>
      <c r="K45" s="125" t="str">
        <v>DeDe</v>
      </c>
      <c r="L45" s="142">
        <v>0</v>
      </c>
      <c r="M45" s="133"/>
      <c r="N45" s="135">
        <v>43</v>
      </c>
      <c r="O45" s="125" t="str">
        <v>DeDe</v>
      </c>
      <c r="P45" s="72" t="e">
        <v>#N/A</v>
      </c>
      <c r="Q45" s="131"/>
      <c r="S45" s="116" t="str">
        <f>'day by day'!B48</f>
        <v>DeDe</v>
      </c>
      <c r="T45" s="97" t="str">
        <f>'day by day'!C48</f>
        <v/>
      </c>
      <c r="V45" s="116" t="str">
        <f>tabela!Q45</f>
        <v>DeDe</v>
      </c>
      <c r="W45" s="97">
        <f>tabela!U45+tabela!V45</f>
        <v>0</v>
      </c>
      <c r="Y45" s="116" t="str">
        <f>tabela!Q45</f>
        <v>DeDe</v>
      </c>
      <c r="Z45" s="97">
        <f>tabela!W45</f>
        <v>0</v>
      </c>
      <c r="AB45" s="116" t="str">
        <f>'r1'!B47</f>
        <v>DeDe</v>
      </c>
      <c r="AC45" s="97" t="e">
        <f>'r1'!AE47</f>
        <v>#N/A</v>
      </c>
    </row>
    <row r="46" spans="2:29" ht="15.75">
      <c r="B46" s="71">
        <v>44</v>
      </c>
      <c r="C46" s="126" t="str">
        <v>Cypryjka</v>
      </c>
      <c r="D46" s="72" t="str">
        <v/>
      </c>
      <c r="E46" s="133"/>
      <c r="F46" s="136">
        <v>44</v>
      </c>
      <c r="G46" s="126" t="str">
        <v>Cypryjka</v>
      </c>
      <c r="H46" s="72">
        <v>0</v>
      </c>
      <c r="I46" s="131"/>
      <c r="J46" s="136">
        <v>44</v>
      </c>
      <c r="K46" s="126" t="str">
        <v>Cypryjka</v>
      </c>
      <c r="L46" s="142">
        <v>0</v>
      </c>
      <c r="M46" s="133"/>
      <c r="N46" s="136">
        <v>44</v>
      </c>
      <c r="O46" s="126" t="str">
        <v>Cypryjka</v>
      </c>
      <c r="P46" s="72" t="e">
        <v>#N/A</v>
      </c>
      <c r="Q46" s="131"/>
      <c r="S46" s="116" t="str">
        <f>'day by day'!B49</f>
        <v>Cypryjka</v>
      </c>
      <c r="T46" s="97" t="str">
        <f>'day by day'!C49</f>
        <v/>
      </c>
      <c r="V46" s="116" t="str">
        <f>tabela!Q46</f>
        <v>Cypryjka</v>
      </c>
      <c r="W46" s="97">
        <f>tabela!U46+tabela!V46</f>
        <v>0</v>
      </c>
      <c r="Y46" s="116" t="str">
        <f>tabela!Q46</f>
        <v>Cypryjka</v>
      </c>
      <c r="Z46" s="97">
        <f>tabela!W46</f>
        <v>0</v>
      </c>
      <c r="AB46" s="116" t="str">
        <f>'r1'!B48</f>
        <v>Cypryjka</v>
      </c>
      <c r="AC46" s="97" t="e">
        <f>'r1'!AE48</f>
        <v>#N/A</v>
      </c>
    </row>
    <row r="47" spans="2:29" ht="15.75">
      <c r="B47" s="81">
        <v>45</v>
      </c>
      <c r="C47" s="125" t="str">
        <v>Tabus</v>
      </c>
      <c r="D47" s="72" t="str">
        <v/>
      </c>
      <c r="E47" s="133"/>
      <c r="F47" s="135">
        <v>45</v>
      </c>
      <c r="G47" s="125" t="str">
        <v>Tabus</v>
      </c>
      <c r="H47" s="72">
        <v>0</v>
      </c>
      <c r="I47" s="131"/>
      <c r="J47" s="135">
        <v>45</v>
      </c>
      <c r="K47" s="125" t="str">
        <v>Tabus</v>
      </c>
      <c r="L47" s="142">
        <v>0</v>
      </c>
      <c r="M47" s="133"/>
      <c r="N47" s="135">
        <v>45</v>
      </c>
      <c r="O47" s="125" t="str">
        <v>Tabus</v>
      </c>
      <c r="P47" s="72" t="e">
        <v>#N/A</v>
      </c>
      <c r="Q47" s="131"/>
      <c r="S47" s="116" t="str">
        <f>'day by day'!B50</f>
        <v>Tabus</v>
      </c>
      <c r="T47" s="97" t="str">
        <f>'day by day'!C50</f>
        <v/>
      </c>
      <c r="V47" s="116" t="str">
        <f>tabela!Q47</f>
        <v>Tabus</v>
      </c>
      <c r="W47" s="97">
        <f>tabela!U47+tabela!V47</f>
        <v>0</v>
      </c>
      <c r="Y47" s="116" t="str">
        <f>tabela!Q47</f>
        <v>Tabus</v>
      </c>
      <c r="Z47" s="97">
        <f>tabela!W47</f>
        <v>0</v>
      </c>
      <c r="AB47" s="116" t="str">
        <f>'r1'!B49</f>
        <v>Tabus</v>
      </c>
      <c r="AC47" s="97" t="e">
        <f>'r1'!AE49</f>
        <v>#N/A</v>
      </c>
    </row>
    <row r="48" spans="2:29" ht="15.75">
      <c r="B48" s="71">
        <v>46</v>
      </c>
      <c r="C48" s="126" t="str">
        <v>AniaS</v>
      </c>
      <c r="D48" s="72" t="str">
        <v/>
      </c>
      <c r="E48" s="133"/>
      <c r="F48" s="136">
        <v>46</v>
      </c>
      <c r="G48" s="126" t="str">
        <v>AniaS</v>
      </c>
      <c r="H48" s="72">
        <v>0</v>
      </c>
      <c r="I48" s="131"/>
      <c r="J48" s="136">
        <v>46</v>
      </c>
      <c r="K48" s="126" t="str">
        <v>AniaS</v>
      </c>
      <c r="L48" s="142">
        <v>0</v>
      </c>
      <c r="M48" s="133"/>
      <c r="N48" s="136">
        <v>46</v>
      </c>
      <c r="O48" s="126" t="str">
        <v>AniaS</v>
      </c>
      <c r="P48" s="72" t="e">
        <v>#N/A</v>
      </c>
      <c r="Q48" s="131"/>
      <c r="S48" s="116" t="str">
        <f>'day by day'!B51</f>
        <v>AniaS</v>
      </c>
      <c r="T48" s="97" t="str">
        <f>'day by day'!C51</f>
        <v/>
      </c>
      <c r="V48" s="116" t="str">
        <f>tabela!Q48</f>
        <v>AniaS</v>
      </c>
      <c r="W48" s="97">
        <f>tabela!U48+tabela!V48</f>
        <v>0</v>
      </c>
      <c r="Y48" s="116" t="str">
        <f>tabela!Q48</f>
        <v>AniaS</v>
      </c>
      <c r="Z48" s="97">
        <f>tabela!W48</f>
        <v>0</v>
      </c>
      <c r="AB48" s="116" t="str">
        <f>'r1'!B50</f>
        <v>AniaS</v>
      </c>
      <c r="AC48" s="97" t="e">
        <f>'r1'!AE50</f>
        <v>#N/A</v>
      </c>
    </row>
    <row r="49" spans="2:29" ht="15.75">
      <c r="B49" s="81">
        <v>47</v>
      </c>
      <c r="C49" s="125" t="str">
        <v>Pimozid</v>
      </c>
      <c r="D49" s="72" t="str">
        <v/>
      </c>
      <c r="E49" s="133"/>
      <c r="F49" s="135">
        <v>47</v>
      </c>
      <c r="G49" s="125" t="str">
        <v>Pimozid</v>
      </c>
      <c r="H49" s="72">
        <v>0</v>
      </c>
      <c r="I49" s="131"/>
      <c r="J49" s="135">
        <v>47</v>
      </c>
      <c r="K49" s="125" t="str">
        <v>Pimozid</v>
      </c>
      <c r="L49" s="142">
        <v>0</v>
      </c>
      <c r="M49" s="133"/>
      <c r="N49" s="135">
        <v>47</v>
      </c>
      <c r="O49" s="125" t="str">
        <v>Pimozid</v>
      </c>
      <c r="P49" s="72" t="e">
        <v>#N/A</v>
      </c>
      <c r="Q49" s="131"/>
      <c r="S49" s="116" t="str">
        <f>'day by day'!B52</f>
        <v>Pimozid</v>
      </c>
      <c r="T49" s="97" t="str">
        <f>'day by day'!C52</f>
        <v/>
      </c>
      <c r="V49" s="116" t="str">
        <f>tabela!Q49</f>
        <v>Pimozid</v>
      </c>
      <c r="W49" s="97">
        <f>tabela!U49+tabela!V49</f>
        <v>0</v>
      </c>
      <c r="Y49" s="116" t="str">
        <f>tabela!Q49</f>
        <v>Pimozid</v>
      </c>
      <c r="Z49" s="97">
        <f>tabela!W49</f>
        <v>0</v>
      </c>
      <c r="AB49" s="116" t="str">
        <f>'r1'!B51</f>
        <v>Pimozid</v>
      </c>
      <c r="AC49" s="97" t="e">
        <f>'r1'!AE51</f>
        <v>#N/A</v>
      </c>
    </row>
    <row r="50" spans="2:29" ht="15.75">
      <c r="B50" s="71">
        <v>48</v>
      </c>
      <c r="C50" s="126" t="str">
        <v>KrzysztoWś</v>
      </c>
      <c r="D50" s="72" t="str">
        <v/>
      </c>
      <c r="E50" s="133"/>
      <c r="F50" s="136">
        <v>48</v>
      </c>
      <c r="G50" s="126" t="str">
        <v>KrzysztoWś</v>
      </c>
      <c r="H50" s="72">
        <v>0</v>
      </c>
      <c r="I50" s="131"/>
      <c r="J50" s="136">
        <v>48</v>
      </c>
      <c r="K50" s="126" t="str">
        <v>KrzysztoWś</v>
      </c>
      <c r="L50" s="142">
        <v>0</v>
      </c>
      <c r="M50" s="133"/>
      <c r="N50" s="136">
        <v>48</v>
      </c>
      <c r="O50" s="126" t="str">
        <v>KrzysztoWś</v>
      </c>
      <c r="P50" s="72" t="e">
        <v>#N/A</v>
      </c>
      <c r="Q50" s="131"/>
      <c r="S50" s="116" t="str">
        <f>'day by day'!B53</f>
        <v>KrzysztoWś</v>
      </c>
      <c r="T50" s="97" t="str">
        <f>'day by day'!C53</f>
        <v/>
      </c>
      <c r="V50" s="116" t="str">
        <f>tabela!Q50</f>
        <v>KrzysztoWś</v>
      </c>
      <c r="W50" s="97">
        <f>tabela!U50+tabela!V50</f>
        <v>0</v>
      </c>
      <c r="Y50" s="116" t="str">
        <f>tabela!Q50</f>
        <v>KrzysztoWś</v>
      </c>
      <c r="Z50" s="97">
        <f>tabela!W50</f>
        <v>0</v>
      </c>
      <c r="AB50" s="116" t="str">
        <f>'r1'!B52</f>
        <v>KrzysztoWś</v>
      </c>
      <c r="AC50" s="97" t="e">
        <f>'r1'!AE52</f>
        <v>#N/A</v>
      </c>
    </row>
    <row r="51" spans="2:29" ht="15.75">
      <c r="B51" s="81">
        <v>49</v>
      </c>
      <c r="C51" s="125" t="str">
        <v>Ruslan</v>
      </c>
      <c r="D51" s="72" t="str">
        <v/>
      </c>
      <c r="E51" s="133"/>
      <c r="F51" s="135">
        <v>49</v>
      </c>
      <c r="G51" s="125" t="str">
        <v>Ruslan</v>
      </c>
      <c r="H51" s="72">
        <v>0</v>
      </c>
      <c r="I51" s="131"/>
      <c r="J51" s="135">
        <v>49</v>
      </c>
      <c r="K51" s="125" t="str">
        <v>Ruslan</v>
      </c>
      <c r="L51" s="142">
        <v>0</v>
      </c>
      <c r="M51" s="133"/>
      <c r="N51" s="135">
        <v>49</v>
      </c>
      <c r="O51" s="125" t="str">
        <v>Ruslan</v>
      </c>
      <c r="P51" s="72" t="e">
        <v>#N/A</v>
      </c>
      <c r="S51" s="116" t="str">
        <f>'day by day'!B54</f>
        <v>Ruslan</v>
      </c>
      <c r="T51" s="97" t="str">
        <f>'day by day'!C54</f>
        <v/>
      </c>
      <c r="V51" s="116" t="str">
        <f>tabela!Q51</f>
        <v>Ruslan</v>
      </c>
      <c r="W51" s="97">
        <f>tabela!U51+tabela!V51</f>
        <v>0</v>
      </c>
      <c r="Y51" s="116" t="str">
        <f>tabela!Q51</f>
        <v>Ruslan</v>
      </c>
      <c r="Z51" s="97">
        <f>tabela!W51</f>
        <v>0</v>
      </c>
      <c r="AB51" s="116" t="str">
        <f>'r1'!B53</f>
        <v>Ruslan</v>
      </c>
      <c r="AC51" s="97" t="e">
        <f>'r1'!AE53</f>
        <v>#N/A</v>
      </c>
    </row>
    <row r="52" spans="2:29" ht="15.75">
      <c r="B52" s="71">
        <v>50</v>
      </c>
      <c r="C52" s="126" t="str">
        <v>PiotreK</v>
      </c>
      <c r="D52" s="72" t="str">
        <v/>
      </c>
      <c r="E52" s="133"/>
      <c r="F52" s="136">
        <v>50</v>
      </c>
      <c r="G52" s="126" t="str">
        <v>PiotreK</v>
      </c>
      <c r="H52" s="72">
        <v>0</v>
      </c>
      <c r="I52" s="131"/>
      <c r="J52" s="136">
        <v>50</v>
      </c>
      <c r="K52" s="126" t="str">
        <v>PiotreK</v>
      </c>
      <c r="L52" s="142">
        <v>0</v>
      </c>
      <c r="M52" s="133"/>
      <c r="N52" s="136">
        <v>50</v>
      </c>
      <c r="O52" s="126" t="str">
        <v>PiotreK</v>
      </c>
      <c r="P52" s="72" t="e">
        <v>#N/A</v>
      </c>
      <c r="S52" s="116" t="str">
        <f>'day by day'!B55</f>
        <v>PiotreK</v>
      </c>
      <c r="T52" s="97" t="str">
        <f>'day by day'!C55</f>
        <v/>
      </c>
      <c r="V52" s="116" t="str">
        <f>tabela!Q52</f>
        <v>PiotreK</v>
      </c>
      <c r="W52" s="97">
        <f>tabela!U52+tabela!V52</f>
        <v>0</v>
      </c>
      <c r="Y52" s="116" t="str">
        <f>tabela!Q52</f>
        <v>PiotreK</v>
      </c>
      <c r="Z52" s="97">
        <f>tabela!W52</f>
        <v>0</v>
      </c>
      <c r="AB52" s="116" t="str">
        <f>'r1'!B54</f>
        <v>PiotreK</v>
      </c>
      <c r="AC52" s="97" t="e">
        <f>'r1'!AE54</f>
        <v>#N/A</v>
      </c>
    </row>
    <row r="53" spans="2:29" ht="15.75">
      <c r="B53" s="81">
        <v>51</v>
      </c>
      <c r="C53" s="125" t="str">
        <v>KaBed</v>
      </c>
      <c r="D53" s="72" t="str">
        <v/>
      </c>
      <c r="E53" s="133"/>
      <c r="F53" s="135">
        <v>51</v>
      </c>
      <c r="G53" s="125" t="str">
        <v>KaBed</v>
      </c>
      <c r="H53" s="72">
        <v>0</v>
      </c>
      <c r="I53" s="131"/>
      <c r="J53" s="135">
        <v>51</v>
      </c>
      <c r="K53" s="125" t="str">
        <v>KaBed</v>
      </c>
      <c r="L53" s="142">
        <v>0</v>
      </c>
      <c r="M53" s="133"/>
      <c r="N53" s="135">
        <v>51</v>
      </c>
      <c r="O53" s="125" t="str">
        <v>KaBed</v>
      </c>
      <c r="P53" s="72" t="e">
        <v>#N/A</v>
      </c>
      <c r="S53" s="116" t="str">
        <f>'day by day'!B56</f>
        <v>KaBed</v>
      </c>
      <c r="T53" s="97" t="str">
        <f>'day by day'!C56</f>
        <v/>
      </c>
      <c r="V53" s="116" t="str">
        <f>tabela!Q53</f>
        <v>KaBed</v>
      </c>
      <c r="W53" s="97">
        <f>tabela!U53+tabela!V53</f>
        <v>0</v>
      </c>
      <c r="Y53" s="116" t="str">
        <f>tabela!Q53</f>
        <v>KaBed</v>
      </c>
      <c r="Z53" s="97">
        <f>tabela!W53</f>
        <v>0</v>
      </c>
      <c r="AB53" s="116" t="str">
        <f>'r1'!B55</f>
        <v>KaBed</v>
      </c>
      <c r="AC53" s="97" t="e">
        <f>'r1'!AE55</f>
        <v>#N/A</v>
      </c>
    </row>
    <row r="54" spans="2:29" ht="15.75">
      <c r="B54" s="71">
        <v>52</v>
      </c>
      <c r="C54" s="126" t="str">
        <v>Mirella</v>
      </c>
      <c r="D54" s="72" t="str">
        <v/>
      </c>
      <c r="E54" s="133"/>
      <c r="F54" s="136">
        <v>52</v>
      </c>
      <c r="G54" s="126" t="str">
        <v>Mirella</v>
      </c>
      <c r="H54" s="72">
        <v>0</v>
      </c>
      <c r="I54" s="131"/>
      <c r="J54" s="136">
        <v>52</v>
      </c>
      <c r="K54" s="126" t="str">
        <v>Mirella</v>
      </c>
      <c r="L54" s="142">
        <v>0</v>
      </c>
      <c r="M54" s="133"/>
      <c r="N54" s="136">
        <v>52</v>
      </c>
      <c r="O54" s="126" t="str">
        <v>Mirella</v>
      </c>
      <c r="P54" s="72" t="e">
        <v>#N/A</v>
      </c>
      <c r="S54" s="116" t="str">
        <f>'day by day'!B57</f>
        <v>Mirella</v>
      </c>
      <c r="T54" s="97" t="str">
        <f>'day by day'!C57</f>
        <v/>
      </c>
      <c r="V54" s="116" t="str">
        <f>tabela!Q54</f>
        <v>Mirella</v>
      </c>
      <c r="W54" s="97">
        <f>tabela!U54+tabela!V54</f>
        <v>0</v>
      </c>
      <c r="Y54" s="116" t="str">
        <f>tabela!Q54</f>
        <v>Mirella</v>
      </c>
      <c r="Z54" s="97">
        <f>tabela!W54</f>
        <v>0</v>
      </c>
      <c r="AB54" s="116" t="str">
        <f>'r1'!B56</f>
        <v>Mirella</v>
      </c>
      <c r="AC54" s="97" t="e">
        <f>'r1'!AE56</f>
        <v>#N/A</v>
      </c>
    </row>
    <row r="55" spans="2:29" ht="15.75">
      <c r="B55" s="81">
        <v>53</v>
      </c>
      <c r="C55" s="125" t="str">
        <v>Maria</v>
      </c>
      <c r="D55" s="72" t="str">
        <v/>
      </c>
      <c r="E55" s="133"/>
      <c r="F55" s="135">
        <v>53</v>
      </c>
      <c r="G55" s="125" t="str">
        <v>Maria</v>
      </c>
      <c r="H55" s="72">
        <v>0</v>
      </c>
      <c r="I55" s="131"/>
      <c r="J55" s="135">
        <v>53</v>
      </c>
      <c r="K55" s="125" t="str">
        <v>Maria</v>
      </c>
      <c r="L55" s="142">
        <v>0</v>
      </c>
      <c r="M55" s="133"/>
      <c r="N55" s="135">
        <v>53</v>
      </c>
      <c r="O55" s="125" t="str">
        <v>Maria</v>
      </c>
      <c r="P55" s="72" t="e">
        <v>#N/A</v>
      </c>
      <c r="S55" s="116" t="str">
        <f>'day by day'!B58</f>
        <v>Maria</v>
      </c>
      <c r="T55" s="97" t="str">
        <f>'day by day'!C58</f>
        <v/>
      </c>
      <c r="V55" s="116" t="str">
        <f>tabela!Q55</f>
        <v>Maria</v>
      </c>
      <c r="W55" s="97">
        <f>tabela!U55+tabela!V55</f>
        <v>0</v>
      </c>
      <c r="Y55" s="116" t="str">
        <f>tabela!Q55</f>
        <v>Maria</v>
      </c>
      <c r="Z55" s="97">
        <f>tabela!W55</f>
        <v>0</v>
      </c>
      <c r="AB55" s="116" t="str">
        <f>'r1'!B57</f>
        <v>Maria</v>
      </c>
      <c r="AC55" s="97" t="e">
        <f>'r1'!AE57</f>
        <v>#N/A</v>
      </c>
    </row>
    <row r="56" spans="2:29" ht="15.75">
      <c r="B56" s="71">
        <v>54</v>
      </c>
      <c r="C56" s="126" t="str">
        <v>Sławek</v>
      </c>
      <c r="D56" s="72" t="str">
        <v/>
      </c>
      <c r="E56" s="133"/>
      <c r="F56" s="136">
        <v>54</v>
      </c>
      <c r="G56" s="126" t="str">
        <v>Sławek</v>
      </c>
      <c r="H56" s="72">
        <v>0</v>
      </c>
      <c r="I56" s="131"/>
      <c r="J56" s="136">
        <v>54</v>
      </c>
      <c r="K56" s="126" t="str">
        <v>Sławek</v>
      </c>
      <c r="L56" s="142">
        <v>0</v>
      </c>
      <c r="M56" s="133"/>
      <c r="N56" s="136">
        <v>54</v>
      </c>
      <c r="O56" s="126" t="str">
        <v>Sławek</v>
      </c>
      <c r="P56" s="72" t="e">
        <v>#N/A</v>
      </c>
      <c r="S56" s="116" t="str">
        <f>'day by day'!B59</f>
        <v>Sławek</v>
      </c>
      <c r="T56" s="97" t="str">
        <f>'day by day'!C59</f>
        <v/>
      </c>
      <c r="V56" s="116" t="str">
        <f>tabela!Q56</f>
        <v>Sławek</v>
      </c>
      <c r="W56" s="97">
        <f>tabela!U56+tabela!V56</f>
        <v>0</v>
      </c>
      <c r="Y56" s="116" t="str">
        <f>tabela!Q56</f>
        <v>Sławek</v>
      </c>
      <c r="Z56" s="97">
        <f>tabela!W56</f>
        <v>0</v>
      </c>
      <c r="AB56" s="116" t="str">
        <f>'r1'!B58</f>
        <v>Sławek</v>
      </c>
      <c r="AC56" s="97" t="e">
        <f>'r1'!AE58</f>
        <v>#N/A</v>
      </c>
    </row>
    <row r="57" spans="2:29" ht="15.75">
      <c r="B57" s="81">
        <v>55</v>
      </c>
      <c r="C57" s="125" t="str">
        <v>PawełSt</v>
      </c>
      <c r="D57" s="72" t="str">
        <v/>
      </c>
      <c r="E57" s="133"/>
      <c r="F57" s="135">
        <v>55</v>
      </c>
      <c r="G57" s="125" t="str">
        <v>PawełSt</v>
      </c>
      <c r="H57" s="72">
        <v>0</v>
      </c>
      <c r="I57" s="131"/>
      <c r="J57" s="135">
        <v>55</v>
      </c>
      <c r="K57" s="125" t="str">
        <v>PawełSt</v>
      </c>
      <c r="L57" s="142">
        <v>0</v>
      </c>
      <c r="M57" s="133"/>
      <c r="N57" s="135">
        <v>55</v>
      </c>
      <c r="O57" s="125" t="str">
        <v>PawełSt</v>
      </c>
      <c r="P57" s="72" t="e">
        <v>#N/A</v>
      </c>
      <c r="S57" s="116" t="str">
        <f>'day by day'!B60</f>
        <v>PawełSt</v>
      </c>
      <c r="T57" s="97" t="str">
        <f>'day by day'!C60</f>
        <v/>
      </c>
      <c r="V57" s="116" t="str">
        <f>tabela!Q57</f>
        <v>PawełSt</v>
      </c>
      <c r="W57" s="97">
        <f>tabela!U57+tabela!V57</f>
        <v>0</v>
      </c>
      <c r="Y57" s="116" t="str">
        <f>tabela!Q57</f>
        <v>PawełSt</v>
      </c>
      <c r="Z57" s="97">
        <f>tabela!W57</f>
        <v>0</v>
      </c>
      <c r="AB57" s="116" t="str">
        <f>'r1'!B59</f>
        <v>PawełSt</v>
      </c>
      <c r="AC57" s="97" t="e">
        <f>'r1'!AE59</f>
        <v>#N/A</v>
      </c>
    </row>
    <row r="58" spans="2:29" ht="15.75">
      <c r="B58" s="71">
        <v>56</v>
      </c>
      <c r="C58" s="126" t="str">
        <v>KrzysztofeR</v>
      </c>
      <c r="D58" s="72" t="str">
        <v/>
      </c>
      <c r="E58" s="133"/>
      <c r="F58" s="136">
        <v>56</v>
      </c>
      <c r="G58" s="126" t="str">
        <v>KrzysztofeR</v>
      </c>
      <c r="H58" s="72">
        <v>0</v>
      </c>
      <c r="I58" s="131"/>
      <c r="J58" s="136">
        <v>56</v>
      </c>
      <c r="K58" s="126" t="str">
        <v>KrzysztofeR</v>
      </c>
      <c r="L58" s="142">
        <v>0</v>
      </c>
      <c r="M58" s="133"/>
      <c r="N58" s="136">
        <v>56</v>
      </c>
      <c r="O58" s="126" t="str">
        <v>KrzysztofeR</v>
      </c>
      <c r="P58" s="72" t="e">
        <v>#N/A</v>
      </c>
      <c r="S58" s="116" t="str">
        <f>'day by day'!B61</f>
        <v>KrzysztofeR</v>
      </c>
      <c r="T58" s="97" t="str">
        <f>'day by day'!C61</f>
        <v/>
      </c>
      <c r="V58" s="116" t="str">
        <f>tabela!Q58</f>
        <v>KrzysztofeR</v>
      </c>
      <c r="W58" s="97">
        <f>tabela!U58+tabela!V58</f>
        <v>0</v>
      </c>
      <c r="Y58" s="116" t="str">
        <f>tabela!Q58</f>
        <v>KrzysztofeR</v>
      </c>
      <c r="Z58" s="97">
        <f>tabela!W58</f>
        <v>0</v>
      </c>
      <c r="AB58" s="116" t="str">
        <f>'r1'!B60</f>
        <v>KrzysztofeR</v>
      </c>
      <c r="AC58" s="97" t="e">
        <f>'r1'!AE60</f>
        <v>#N/A</v>
      </c>
    </row>
  </sheetData>
  <mergeCells count="4">
    <mergeCell ref="N2:O2"/>
    <mergeCell ref="J2:K2"/>
    <mergeCell ref="F2:G2"/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A420-2422-4A40-BE7E-1F63E82FA947}">
  <dimension ref="A1"/>
  <sheetViews>
    <sheetView workbookViewId="0">
      <selection activeCell="I59" sqref="I59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C60F-9A0B-4D5D-B212-70F07FAD4AF9}">
  <dimension ref="B1:AB61"/>
  <sheetViews>
    <sheetView showGridLines="0" zoomScale="80" zoomScaleNormal="80" zoomScaleSheetLayoutView="80" workbookViewId="0">
      <selection activeCell="Q21" sqref="Q21"/>
    </sheetView>
  </sheetViews>
  <sheetFormatPr defaultColWidth="9.140625" defaultRowHeight="18" customHeight="1"/>
  <cols>
    <col min="1" max="1" width="37.5703125" style="1" customWidth="1"/>
    <col min="2" max="2" width="9.140625" style="1"/>
    <col min="3" max="3" width="19.42578125" style="1" customWidth="1"/>
    <col min="4" max="8" width="6.7109375" style="1" customWidth="1"/>
    <col min="9" max="9" width="7.140625" style="1" bestFit="1" customWidth="1"/>
    <col min="10" max="13" width="6.7109375" style="1" customWidth="1"/>
    <col min="14" max="14" width="8" style="1" customWidth="1"/>
    <col min="15" max="15" width="6.7109375" style="1" customWidth="1"/>
    <col min="16" max="16" width="55.140625" style="1" customWidth="1"/>
    <col min="17" max="17" width="15.7109375" style="20" customWidth="1"/>
    <col min="18" max="18" width="7.140625" style="3" customWidth="1"/>
    <col min="19" max="22" width="5.7109375" style="1" customWidth="1"/>
    <col min="23" max="23" width="11.5703125" style="1" bestFit="1" customWidth="1"/>
    <col min="24" max="28" width="8.7109375" style="1" customWidth="1"/>
    <col min="29" max="31" width="3.7109375" style="1" bestFit="1" customWidth="1"/>
    <col min="32" max="16384" width="9.140625" style="1"/>
  </cols>
  <sheetData>
    <row r="1" spans="2:28" ht="30.75" customHeight="1">
      <c r="B1" s="145" t="s">
        <v>54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30">
        <f>'r1'!AE2</f>
        <v>1</v>
      </c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</row>
    <row r="2" spans="2:28" ht="18" customHeight="1">
      <c r="B2" s="68" t="s">
        <v>42</v>
      </c>
      <c r="C2" s="68" t="s">
        <v>43</v>
      </c>
      <c r="D2" s="68" t="s">
        <v>0</v>
      </c>
      <c r="E2" s="68" t="s">
        <v>2</v>
      </c>
      <c r="F2" s="68" t="s">
        <v>3</v>
      </c>
      <c r="G2" s="68" t="s">
        <v>4</v>
      </c>
      <c r="H2" s="68" t="s">
        <v>45</v>
      </c>
      <c r="I2" s="68" t="s">
        <v>5</v>
      </c>
      <c r="J2" s="69" t="s">
        <v>46</v>
      </c>
      <c r="K2" s="69" t="s">
        <v>47</v>
      </c>
      <c r="L2" s="69" t="s">
        <v>48</v>
      </c>
      <c r="M2" s="69" t="s">
        <v>14</v>
      </c>
      <c r="N2" s="70" t="s">
        <v>49</v>
      </c>
      <c r="Q2" s="95" t="s">
        <v>43</v>
      </c>
      <c r="R2" s="95" t="s">
        <v>0</v>
      </c>
      <c r="S2" s="95" t="s">
        <v>2</v>
      </c>
      <c r="T2" s="95" t="s">
        <v>3</v>
      </c>
      <c r="U2" s="95" t="s">
        <v>4</v>
      </c>
      <c r="V2" s="95" t="s">
        <v>45</v>
      </c>
      <c r="W2" s="95" t="s">
        <v>5</v>
      </c>
      <c r="X2" s="95" t="s">
        <v>46</v>
      </c>
      <c r="Y2" s="95" t="s">
        <v>47</v>
      </c>
      <c r="Z2" s="95" t="s">
        <v>48</v>
      </c>
      <c r="AA2" s="95" t="s">
        <v>14</v>
      </c>
      <c r="AB2" s="95" t="s">
        <v>49</v>
      </c>
    </row>
    <row r="3" spans="2:28" ht="18" customHeight="1">
      <c r="B3" s="81">
        <v>1</v>
      </c>
      <c r="C3" s="125" t="str" cm="1">
        <f t="array" ref="C3:N58">_xlfn.SORTBY(Q3:AB58,R3:R58,-1,W3:W58,-1,AB3:AB58,-1,Z3:Z58,-1,Y3:Y58,-1,X3:X58,-1)</f>
        <v>Dario</v>
      </c>
      <c r="D3" s="72">
        <v>0</v>
      </c>
      <c r="E3" s="73">
        <v>0</v>
      </c>
      <c r="F3" s="73">
        <v>0</v>
      </c>
      <c r="G3" s="73">
        <v>0</v>
      </c>
      <c r="H3" s="73">
        <v>0</v>
      </c>
      <c r="I3" s="80">
        <v>0</v>
      </c>
      <c r="J3" s="74">
        <v>0</v>
      </c>
      <c r="K3" s="74">
        <v>0</v>
      </c>
      <c r="L3" s="74">
        <v>0</v>
      </c>
      <c r="M3" s="75">
        <v>0</v>
      </c>
      <c r="N3" s="76">
        <v>0</v>
      </c>
      <c r="Q3" s="116" t="s">
        <v>32</v>
      </c>
      <c r="R3" s="97">
        <f>SUM(X3:AB3)</f>
        <v>0</v>
      </c>
      <c r="S3" s="97">
        <f>'r1'!AB5</f>
        <v>0</v>
      </c>
      <c r="T3" s="97">
        <f>'r1'!AC5</f>
        <v>0</v>
      </c>
      <c r="U3" s="97">
        <f>'r1'!AD5</f>
        <v>0</v>
      </c>
      <c r="V3" s="97"/>
      <c r="W3" s="129">
        <f>SUM(S3:V3)/$N$1</f>
        <v>0</v>
      </c>
      <c r="X3" s="97">
        <f>'r1'!AA5</f>
        <v>0</v>
      </c>
      <c r="Y3" s="97"/>
      <c r="Z3" s="97"/>
      <c r="AA3" s="97"/>
      <c r="AB3" s="97"/>
    </row>
    <row r="4" spans="2:28" ht="18" customHeight="1">
      <c r="B4" s="71">
        <v>2</v>
      </c>
      <c r="C4" s="126" t="str">
        <v>Wojtek</v>
      </c>
      <c r="D4" s="139">
        <v>0</v>
      </c>
      <c r="E4" s="137">
        <v>0</v>
      </c>
      <c r="F4" s="137">
        <v>0</v>
      </c>
      <c r="G4" s="137">
        <v>0</v>
      </c>
      <c r="H4" s="137">
        <v>0</v>
      </c>
      <c r="I4" s="138">
        <v>0</v>
      </c>
      <c r="J4" s="77">
        <v>0</v>
      </c>
      <c r="K4" s="77">
        <v>0</v>
      </c>
      <c r="L4" s="77">
        <v>0</v>
      </c>
      <c r="M4" s="140">
        <v>0</v>
      </c>
      <c r="N4" s="141">
        <v>0</v>
      </c>
      <c r="Q4" s="116" t="s">
        <v>170</v>
      </c>
      <c r="R4" s="97">
        <f t="shared" ref="R4:R48" si="0">SUM(X4:AB4)</f>
        <v>0</v>
      </c>
      <c r="S4" s="97">
        <f>'r1'!AB6</f>
        <v>0</v>
      </c>
      <c r="T4" s="97">
        <f>'r1'!AC6</f>
        <v>0</v>
      </c>
      <c r="U4" s="97">
        <f>'r1'!AD6</f>
        <v>0</v>
      </c>
      <c r="V4" s="97"/>
      <c r="W4" s="129">
        <f t="shared" ref="W4:W48" si="1">SUM(S4:V4)/$N$1</f>
        <v>0</v>
      </c>
      <c r="X4" s="97">
        <f>'r1'!AA6</f>
        <v>0</v>
      </c>
      <c r="Y4" s="97"/>
      <c r="Z4" s="97"/>
      <c r="AA4" s="97"/>
      <c r="AB4" s="97"/>
    </row>
    <row r="5" spans="2:28" ht="18" customHeight="1">
      <c r="B5" s="81">
        <v>3</v>
      </c>
      <c r="C5" s="125" t="str">
        <v>KamUla</v>
      </c>
      <c r="D5" s="72">
        <v>0</v>
      </c>
      <c r="E5" s="73">
        <v>0</v>
      </c>
      <c r="F5" s="73">
        <v>0</v>
      </c>
      <c r="G5" s="73">
        <v>0</v>
      </c>
      <c r="H5" s="73">
        <v>0</v>
      </c>
      <c r="I5" s="80">
        <v>0</v>
      </c>
      <c r="J5" s="74">
        <v>0</v>
      </c>
      <c r="K5" s="74">
        <v>0</v>
      </c>
      <c r="L5" s="74">
        <v>0</v>
      </c>
      <c r="M5" s="75">
        <v>0</v>
      </c>
      <c r="N5" s="76">
        <v>0</v>
      </c>
      <c r="Q5" s="116" t="s">
        <v>171</v>
      </c>
      <c r="R5" s="97">
        <f t="shared" si="0"/>
        <v>0</v>
      </c>
      <c r="S5" s="97">
        <f>'r1'!AB7</f>
        <v>0</v>
      </c>
      <c r="T5" s="97">
        <f>'r1'!AC7</f>
        <v>0</v>
      </c>
      <c r="U5" s="97">
        <f>'r1'!AD7</f>
        <v>0</v>
      </c>
      <c r="V5" s="97"/>
      <c r="W5" s="129">
        <f t="shared" si="1"/>
        <v>0</v>
      </c>
      <c r="X5" s="97">
        <f>'r1'!AA7</f>
        <v>0</v>
      </c>
      <c r="Y5" s="97"/>
      <c r="Z5" s="97"/>
      <c r="AA5" s="97"/>
      <c r="AB5" s="97"/>
    </row>
    <row r="6" spans="2:28" ht="18" customHeight="1">
      <c r="B6" s="71">
        <v>4</v>
      </c>
      <c r="C6" s="126" t="str">
        <v>MagdaS</v>
      </c>
      <c r="D6" s="139">
        <v>0</v>
      </c>
      <c r="E6" s="137">
        <v>0</v>
      </c>
      <c r="F6" s="137">
        <v>0</v>
      </c>
      <c r="G6" s="137">
        <v>0</v>
      </c>
      <c r="H6" s="137">
        <v>0</v>
      </c>
      <c r="I6" s="138">
        <v>0</v>
      </c>
      <c r="J6" s="77">
        <v>0</v>
      </c>
      <c r="K6" s="77">
        <v>0</v>
      </c>
      <c r="L6" s="77">
        <v>0</v>
      </c>
      <c r="M6" s="140">
        <v>0</v>
      </c>
      <c r="N6" s="141">
        <v>0</v>
      </c>
      <c r="Q6" s="116" t="s">
        <v>172</v>
      </c>
      <c r="R6" s="97">
        <f t="shared" si="0"/>
        <v>0</v>
      </c>
      <c r="S6" s="97">
        <f>'r1'!AB8</f>
        <v>0</v>
      </c>
      <c r="T6" s="97">
        <f>'r1'!AC8</f>
        <v>0</v>
      </c>
      <c r="U6" s="97">
        <f>'r1'!AD8</f>
        <v>0</v>
      </c>
      <c r="V6" s="97"/>
      <c r="W6" s="129">
        <f t="shared" si="1"/>
        <v>0</v>
      </c>
      <c r="X6" s="97">
        <f>'r1'!AA8</f>
        <v>0</v>
      </c>
      <c r="Y6" s="97"/>
      <c r="Z6" s="97"/>
      <c r="AA6" s="97"/>
      <c r="AB6" s="97"/>
    </row>
    <row r="7" spans="2:28" ht="18" customHeight="1">
      <c r="B7" s="81">
        <v>5</v>
      </c>
      <c r="C7" s="125" t="str">
        <v>KasiaJ</v>
      </c>
      <c r="D7" s="72">
        <v>0</v>
      </c>
      <c r="E7" s="73">
        <v>0</v>
      </c>
      <c r="F7" s="73">
        <v>0</v>
      </c>
      <c r="G7" s="73">
        <v>0</v>
      </c>
      <c r="H7" s="73">
        <v>0</v>
      </c>
      <c r="I7" s="80">
        <v>0</v>
      </c>
      <c r="J7" s="74">
        <v>0</v>
      </c>
      <c r="K7" s="74">
        <v>0</v>
      </c>
      <c r="L7" s="74">
        <v>0</v>
      </c>
      <c r="M7" s="75">
        <v>0</v>
      </c>
      <c r="N7" s="76">
        <v>0</v>
      </c>
      <c r="Q7" s="116" t="s">
        <v>173</v>
      </c>
      <c r="R7" s="97">
        <f t="shared" si="0"/>
        <v>0</v>
      </c>
      <c r="S7" s="97">
        <f>'r1'!AB9</f>
        <v>0</v>
      </c>
      <c r="T7" s="97">
        <f>'r1'!AC9</f>
        <v>0</v>
      </c>
      <c r="U7" s="97">
        <f>'r1'!AD9</f>
        <v>0</v>
      </c>
      <c r="V7" s="97"/>
      <c r="W7" s="129">
        <f t="shared" si="1"/>
        <v>0</v>
      </c>
      <c r="X7" s="97">
        <f>'r1'!AA9</f>
        <v>0</v>
      </c>
      <c r="Y7" s="97"/>
      <c r="Z7" s="97"/>
      <c r="AA7" s="97"/>
      <c r="AB7" s="97"/>
    </row>
    <row r="8" spans="2:28" ht="18" customHeight="1">
      <c r="B8" s="71">
        <v>6</v>
      </c>
      <c r="C8" s="126" t="str">
        <v>KrystianM</v>
      </c>
      <c r="D8" s="139">
        <v>0</v>
      </c>
      <c r="E8" s="137">
        <v>0</v>
      </c>
      <c r="F8" s="137">
        <v>0</v>
      </c>
      <c r="G8" s="137">
        <v>0</v>
      </c>
      <c r="H8" s="137">
        <v>0</v>
      </c>
      <c r="I8" s="138">
        <v>0</v>
      </c>
      <c r="J8" s="77">
        <v>0</v>
      </c>
      <c r="K8" s="77">
        <v>0</v>
      </c>
      <c r="L8" s="77">
        <v>0</v>
      </c>
      <c r="M8" s="140">
        <v>0</v>
      </c>
      <c r="N8" s="141">
        <v>0</v>
      </c>
      <c r="Q8" s="116" t="s">
        <v>174</v>
      </c>
      <c r="R8" s="97">
        <f t="shared" si="0"/>
        <v>0</v>
      </c>
      <c r="S8" s="97">
        <f>'r1'!AB10</f>
        <v>0</v>
      </c>
      <c r="T8" s="97">
        <f>'r1'!AC10</f>
        <v>0</v>
      </c>
      <c r="U8" s="97">
        <f>'r1'!AD10</f>
        <v>0</v>
      </c>
      <c r="V8" s="97"/>
      <c r="W8" s="129">
        <f t="shared" si="1"/>
        <v>0</v>
      </c>
      <c r="X8" s="97">
        <f>'r1'!AA10</f>
        <v>0</v>
      </c>
      <c r="Y8" s="97"/>
      <c r="Z8" s="97"/>
      <c r="AA8" s="97"/>
      <c r="AB8" s="97"/>
    </row>
    <row r="9" spans="2:28" ht="18" customHeight="1">
      <c r="B9" s="81">
        <v>7</v>
      </c>
      <c r="C9" s="125" t="str">
        <v>PiotreG</v>
      </c>
      <c r="D9" s="72">
        <v>0</v>
      </c>
      <c r="E9" s="73">
        <v>0</v>
      </c>
      <c r="F9" s="73">
        <v>0</v>
      </c>
      <c r="G9" s="73">
        <v>0</v>
      </c>
      <c r="H9" s="73">
        <v>0</v>
      </c>
      <c r="I9" s="80">
        <v>0</v>
      </c>
      <c r="J9" s="74">
        <v>0</v>
      </c>
      <c r="K9" s="74">
        <v>0</v>
      </c>
      <c r="L9" s="74">
        <v>0</v>
      </c>
      <c r="M9" s="75">
        <v>0</v>
      </c>
      <c r="N9" s="76">
        <v>0</v>
      </c>
      <c r="Q9" s="116" t="s">
        <v>175</v>
      </c>
      <c r="R9" s="97">
        <f t="shared" si="0"/>
        <v>0</v>
      </c>
      <c r="S9" s="97">
        <f>'r1'!AB11</f>
        <v>0</v>
      </c>
      <c r="T9" s="97">
        <f>'r1'!AC11</f>
        <v>0</v>
      </c>
      <c r="U9" s="97">
        <f>'r1'!AD11</f>
        <v>0</v>
      </c>
      <c r="V9" s="97"/>
      <c r="W9" s="129">
        <f t="shared" si="1"/>
        <v>0</v>
      </c>
      <c r="X9" s="97">
        <f>'r1'!AA11</f>
        <v>0</v>
      </c>
      <c r="Y9" s="97"/>
      <c r="Z9" s="97"/>
      <c r="AA9" s="97"/>
      <c r="AB9" s="97"/>
    </row>
    <row r="10" spans="2:28" ht="18" customHeight="1">
      <c r="B10" s="71">
        <v>8</v>
      </c>
      <c r="C10" s="126" t="str">
        <v>Prozped</v>
      </c>
      <c r="D10" s="139">
        <v>0</v>
      </c>
      <c r="E10" s="137">
        <v>0</v>
      </c>
      <c r="F10" s="137">
        <v>0</v>
      </c>
      <c r="G10" s="137">
        <v>0</v>
      </c>
      <c r="H10" s="137">
        <v>0</v>
      </c>
      <c r="I10" s="138">
        <v>0</v>
      </c>
      <c r="J10" s="77">
        <v>0</v>
      </c>
      <c r="K10" s="77">
        <v>0</v>
      </c>
      <c r="L10" s="77">
        <v>0</v>
      </c>
      <c r="M10" s="140">
        <v>0</v>
      </c>
      <c r="N10" s="141">
        <v>0</v>
      </c>
      <c r="Q10" s="116" t="s">
        <v>33</v>
      </c>
      <c r="R10" s="97">
        <f t="shared" si="0"/>
        <v>0</v>
      </c>
      <c r="S10" s="97">
        <f>'r1'!AB12</f>
        <v>0</v>
      </c>
      <c r="T10" s="97">
        <f>'r1'!AC12</f>
        <v>0</v>
      </c>
      <c r="U10" s="97">
        <f>'r1'!AD12</f>
        <v>0</v>
      </c>
      <c r="V10" s="97"/>
      <c r="W10" s="129">
        <f t="shared" si="1"/>
        <v>0</v>
      </c>
      <c r="X10" s="97">
        <f>'r1'!AA12</f>
        <v>0</v>
      </c>
      <c r="Y10" s="97"/>
      <c r="Z10" s="97"/>
      <c r="AA10" s="97"/>
      <c r="AB10" s="97"/>
    </row>
    <row r="11" spans="2:28" ht="18" customHeight="1">
      <c r="B11" s="81">
        <v>9</v>
      </c>
      <c r="C11" s="125" t="str">
        <v>Artur</v>
      </c>
      <c r="D11" s="72">
        <v>0</v>
      </c>
      <c r="E11" s="73">
        <v>0</v>
      </c>
      <c r="F11" s="73">
        <v>0</v>
      </c>
      <c r="G11" s="73">
        <v>0</v>
      </c>
      <c r="H11" s="73">
        <v>0</v>
      </c>
      <c r="I11" s="80">
        <v>0</v>
      </c>
      <c r="J11" s="74">
        <v>0</v>
      </c>
      <c r="K11" s="74">
        <v>0</v>
      </c>
      <c r="L11" s="74">
        <v>0</v>
      </c>
      <c r="M11" s="75">
        <v>0</v>
      </c>
      <c r="N11" s="76">
        <v>0</v>
      </c>
      <c r="Q11" s="116" t="s">
        <v>176</v>
      </c>
      <c r="R11" s="97">
        <f t="shared" si="0"/>
        <v>0</v>
      </c>
      <c r="S11" s="97">
        <f>'r1'!AB13</f>
        <v>0</v>
      </c>
      <c r="T11" s="97">
        <f>'r1'!AC13</f>
        <v>0</v>
      </c>
      <c r="U11" s="97">
        <f>'r1'!AD13</f>
        <v>0</v>
      </c>
      <c r="V11" s="97"/>
      <c r="W11" s="129">
        <f t="shared" si="1"/>
        <v>0</v>
      </c>
      <c r="X11" s="97">
        <f>'r1'!AA13</f>
        <v>0</v>
      </c>
      <c r="Y11" s="97"/>
      <c r="Z11" s="97"/>
      <c r="AA11" s="97"/>
      <c r="AB11" s="97"/>
    </row>
    <row r="12" spans="2:28" ht="18" customHeight="1">
      <c r="B12" s="71">
        <v>10</v>
      </c>
      <c r="C12" s="126" t="str">
        <v>Sokółka</v>
      </c>
      <c r="D12" s="139">
        <v>0</v>
      </c>
      <c r="E12" s="137">
        <v>0</v>
      </c>
      <c r="F12" s="137">
        <v>0</v>
      </c>
      <c r="G12" s="137">
        <v>0</v>
      </c>
      <c r="H12" s="137">
        <v>0</v>
      </c>
      <c r="I12" s="138">
        <v>0</v>
      </c>
      <c r="J12" s="77">
        <v>0</v>
      </c>
      <c r="K12" s="77">
        <v>0</v>
      </c>
      <c r="L12" s="77">
        <v>0</v>
      </c>
      <c r="M12" s="140">
        <v>0</v>
      </c>
      <c r="N12" s="141">
        <v>0</v>
      </c>
      <c r="Q12" s="116" t="s">
        <v>177</v>
      </c>
      <c r="R12" s="97">
        <f t="shared" si="0"/>
        <v>0</v>
      </c>
      <c r="S12" s="97">
        <f>'r1'!AB14</f>
        <v>0</v>
      </c>
      <c r="T12" s="97">
        <f>'r1'!AC14</f>
        <v>0</v>
      </c>
      <c r="U12" s="97">
        <f>'r1'!AD14</f>
        <v>0</v>
      </c>
      <c r="V12" s="97"/>
      <c r="W12" s="129">
        <f t="shared" si="1"/>
        <v>0</v>
      </c>
      <c r="X12" s="97">
        <f>'r1'!AA14</f>
        <v>0</v>
      </c>
      <c r="Y12" s="97"/>
      <c r="Z12" s="97"/>
      <c r="AA12" s="97"/>
      <c r="AB12" s="97"/>
    </row>
    <row r="13" spans="2:28" ht="18" customHeight="1">
      <c r="B13" s="81">
        <v>11</v>
      </c>
      <c r="C13" s="125" t="str">
        <v>KasiaK</v>
      </c>
      <c r="D13" s="72">
        <v>0</v>
      </c>
      <c r="E13" s="73">
        <v>0</v>
      </c>
      <c r="F13" s="73">
        <v>0</v>
      </c>
      <c r="G13" s="73">
        <v>0</v>
      </c>
      <c r="H13" s="73">
        <v>0</v>
      </c>
      <c r="I13" s="80">
        <v>0</v>
      </c>
      <c r="J13" s="74">
        <v>0</v>
      </c>
      <c r="K13" s="74">
        <v>0</v>
      </c>
      <c r="L13" s="74">
        <v>0</v>
      </c>
      <c r="M13" s="75">
        <v>0</v>
      </c>
      <c r="N13" s="76">
        <v>0</v>
      </c>
      <c r="Q13" s="116" t="s">
        <v>178</v>
      </c>
      <c r="R13" s="97">
        <f t="shared" si="0"/>
        <v>0</v>
      </c>
      <c r="S13" s="97">
        <f>'r1'!AB15</f>
        <v>0</v>
      </c>
      <c r="T13" s="97">
        <f>'r1'!AC15</f>
        <v>0</v>
      </c>
      <c r="U13" s="97">
        <f>'r1'!AD15</f>
        <v>0</v>
      </c>
      <c r="V13" s="97"/>
      <c r="W13" s="129">
        <f t="shared" si="1"/>
        <v>0</v>
      </c>
      <c r="X13" s="97">
        <f>'r1'!AA15</f>
        <v>0</v>
      </c>
      <c r="Y13" s="97"/>
      <c r="Z13" s="97"/>
      <c r="AA13" s="97"/>
      <c r="AB13" s="97"/>
    </row>
    <row r="14" spans="2:28" ht="18" customHeight="1">
      <c r="B14" s="71">
        <v>12</v>
      </c>
      <c r="C14" s="126" t="str">
        <v>Seweryn</v>
      </c>
      <c r="D14" s="139">
        <v>0</v>
      </c>
      <c r="E14" s="137">
        <v>0</v>
      </c>
      <c r="F14" s="137">
        <v>0</v>
      </c>
      <c r="G14" s="137">
        <v>0</v>
      </c>
      <c r="H14" s="137">
        <v>0</v>
      </c>
      <c r="I14" s="138">
        <v>0</v>
      </c>
      <c r="J14" s="77">
        <v>0</v>
      </c>
      <c r="K14" s="77">
        <v>0</v>
      </c>
      <c r="L14" s="77">
        <v>0</v>
      </c>
      <c r="M14" s="140">
        <v>0</v>
      </c>
      <c r="N14" s="141">
        <v>0</v>
      </c>
      <c r="Q14" s="116" t="s">
        <v>179</v>
      </c>
      <c r="R14" s="97">
        <f t="shared" si="0"/>
        <v>0</v>
      </c>
      <c r="S14" s="97">
        <f>'r1'!AB16</f>
        <v>0</v>
      </c>
      <c r="T14" s="97">
        <f>'r1'!AC16</f>
        <v>0</v>
      </c>
      <c r="U14" s="97">
        <f>'r1'!AD16</f>
        <v>0</v>
      </c>
      <c r="V14" s="97"/>
      <c r="W14" s="129">
        <f t="shared" si="1"/>
        <v>0</v>
      </c>
      <c r="X14" s="97">
        <f>'r1'!AA16</f>
        <v>0</v>
      </c>
      <c r="Y14" s="97"/>
      <c r="Z14" s="97"/>
      <c r="AA14" s="97"/>
      <c r="AB14" s="97"/>
    </row>
    <row r="15" spans="2:28" ht="18" customHeight="1">
      <c r="B15" s="81">
        <v>13</v>
      </c>
      <c r="C15" s="125" t="str">
        <v>DarekL</v>
      </c>
      <c r="D15" s="72">
        <v>0</v>
      </c>
      <c r="E15" s="73">
        <v>0</v>
      </c>
      <c r="F15" s="73">
        <v>0</v>
      </c>
      <c r="G15" s="73">
        <v>0</v>
      </c>
      <c r="H15" s="73">
        <v>0</v>
      </c>
      <c r="I15" s="80">
        <v>0</v>
      </c>
      <c r="J15" s="74">
        <v>0</v>
      </c>
      <c r="K15" s="74">
        <v>0</v>
      </c>
      <c r="L15" s="74">
        <v>0</v>
      </c>
      <c r="M15" s="75">
        <v>0</v>
      </c>
      <c r="N15" s="76">
        <v>0</v>
      </c>
      <c r="Q15" s="116" t="s">
        <v>180</v>
      </c>
      <c r="R15" s="97">
        <f t="shared" si="0"/>
        <v>0</v>
      </c>
      <c r="S15" s="97">
        <f>'r1'!AB17</f>
        <v>0</v>
      </c>
      <c r="T15" s="97">
        <f>'r1'!AC17</f>
        <v>0</v>
      </c>
      <c r="U15" s="97">
        <f>'r1'!AD17</f>
        <v>0</v>
      </c>
      <c r="V15" s="97"/>
      <c r="W15" s="129">
        <f t="shared" si="1"/>
        <v>0</v>
      </c>
      <c r="X15" s="97">
        <f>'r1'!AA17</f>
        <v>0</v>
      </c>
      <c r="Y15" s="97"/>
      <c r="Z15" s="97"/>
      <c r="AA15" s="97"/>
      <c r="AB15" s="97"/>
    </row>
    <row r="16" spans="2:28" ht="18" customHeight="1">
      <c r="B16" s="71">
        <v>14</v>
      </c>
      <c r="C16" s="126" t="str">
        <v>KrzysztoW</v>
      </c>
      <c r="D16" s="139">
        <v>0</v>
      </c>
      <c r="E16" s="137">
        <v>0</v>
      </c>
      <c r="F16" s="137">
        <v>0</v>
      </c>
      <c r="G16" s="137">
        <v>0</v>
      </c>
      <c r="H16" s="137">
        <v>0</v>
      </c>
      <c r="I16" s="138">
        <v>0</v>
      </c>
      <c r="J16" s="77">
        <v>0</v>
      </c>
      <c r="K16" s="77">
        <v>0</v>
      </c>
      <c r="L16" s="77">
        <v>0</v>
      </c>
      <c r="M16" s="140">
        <v>0</v>
      </c>
      <c r="N16" s="141">
        <v>0</v>
      </c>
      <c r="Q16" s="116" t="s">
        <v>181</v>
      </c>
      <c r="R16" s="97">
        <f t="shared" si="0"/>
        <v>0</v>
      </c>
      <c r="S16" s="97">
        <f>'r1'!AB18</f>
        <v>0</v>
      </c>
      <c r="T16" s="97">
        <f>'r1'!AC18</f>
        <v>0</v>
      </c>
      <c r="U16" s="97">
        <f>'r1'!AD18</f>
        <v>0</v>
      </c>
      <c r="V16" s="97"/>
      <c r="W16" s="129">
        <f t="shared" si="1"/>
        <v>0</v>
      </c>
      <c r="X16" s="97">
        <f>'r1'!AA18</f>
        <v>0</v>
      </c>
      <c r="Y16" s="97"/>
      <c r="Z16" s="97"/>
      <c r="AA16" s="97"/>
      <c r="AB16" s="97"/>
    </row>
    <row r="17" spans="2:28" ht="18" customHeight="1">
      <c r="B17" s="81">
        <v>15</v>
      </c>
      <c r="C17" s="125" t="str">
        <v>Magiera</v>
      </c>
      <c r="D17" s="72">
        <v>0</v>
      </c>
      <c r="E17" s="73">
        <v>0</v>
      </c>
      <c r="F17" s="73">
        <v>0</v>
      </c>
      <c r="G17" s="73">
        <v>0</v>
      </c>
      <c r="H17" s="73">
        <v>0</v>
      </c>
      <c r="I17" s="80">
        <v>0</v>
      </c>
      <c r="J17" s="74">
        <v>0</v>
      </c>
      <c r="K17" s="74">
        <v>0</v>
      </c>
      <c r="L17" s="74">
        <v>0</v>
      </c>
      <c r="M17" s="75">
        <v>0</v>
      </c>
      <c r="N17" s="76">
        <v>0</v>
      </c>
      <c r="Q17" s="116" t="s">
        <v>182</v>
      </c>
      <c r="R17" s="97">
        <f t="shared" si="0"/>
        <v>0</v>
      </c>
      <c r="S17" s="97">
        <f>'r1'!AB19</f>
        <v>0</v>
      </c>
      <c r="T17" s="97">
        <f>'r1'!AC19</f>
        <v>0</v>
      </c>
      <c r="U17" s="97">
        <f>'r1'!AD19</f>
        <v>0</v>
      </c>
      <c r="V17" s="97"/>
      <c r="W17" s="129">
        <f t="shared" si="1"/>
        <v>0</v>
      </c>
      <c r="X17" s="97">
        <f>'r1'!AA19</f>
        <v>0</v>
      </c>
      <c r="Y17" s="97"/>
      <c r="Z17" s="97"/>
      <c r="AA17" s="97"/>
      <c r="AB17" s="97"/>
    </row>
    <row r="18" spans="2:28" ht="18" customHeight="1">
      <c r="B18" s="71">
        <v>16</v>
      </c>
      <c r="C18" s="126" t="str">
        <v>Henryk</v>
      </c>
      <c r="D18" s="139">
        <v>0</v>
      </c>
      <c r="E18" s="137">
        <v>0</v>
      </c>
      <c r="F18" s="137">
        <v>0</v>
      </c>
      <c r="G18" s="137">
        <v>0</v>
      </c>
      <c r="H18" s="137">
        <v>0</v>
      </c>
      <c r="I18" s="138">
        <v>0</v>
      </c>
      <c r="J18" s="77">
        <v>0</v>
      </c>
      <c r="K18" s="77">
        <v>0</v>
      </c>
      <c r="L18" s="77">
        <v>0</v>
      </c>
      <c r="M18" s="140">
        <v>0</v>
      </c>
      <c r="N18" s="141">
        <v>0</v>
      </c>
      <c r="Q18" s="116" t="s">
        <v>183</v>
      </c>
      <c r="R18" s="97">
        <f t="shared" si="0"/>
        <v>0</v>
      </c>
      <c r="S18" s="97">
        <f>'r1'!AB20</f>
        <v>0</v>
      </c>
      <c r="T18" s="97">
        <f>'r1'!AC20</f>
        <v>0</v>
      </c>
      <c r="U18" s="97">
        <f>'r1'!AD20</f>
        <v>0</v>
      </c>
      <c r="V18" s="97"/>
      <c r="W18" s="129">
        <f t="shared" si="1"/>
        <v>0</v>
      </c>
      <c r="X18" s="97">
        <f>'r1'!AA20</f>
        <v>0</v>
      </c>
      <c r="Y18" s="97"/>
      <c r="Z18" s="97"/>
      <c r="AA18" s="97"/>
      <c r="AB18" s="97"/>
    </row>
    <row r="19" spans="2:28" ht="18" customHeight="1">
      <c r="B19" s="81">
        <v>17</v>
      </c>
      <c r="C19" s="125" t="str">
        <v>PPP</v>
      </c>
      <c r="D19" s="72">
        <v>0</v>
      </c>
      <c r="E19" s="73">
        <v>0</v>
      </c>
      <c r="F19" s="73">
        <v>0</v>
      </c>
      <c r="G19" s="73">
        <v>0</v>
      </c>
      <c r="H19" s="73">
        <v>0</v>
      </c>
      <c r="I19" s="80">
        <v>0</v>
      </c>
      <c r="J19" s="74">
        <v>0</v>
      </c>
      <c r="K19" s="74">
        <v>0</v>
      </c>
      <c r="L19" s="74">
        <v>0</v>
      </c>
      <c r="M19" s="75">
        <v>0</v>
      </c>
      <c r="N19" s="76">
        <v>0</v>
      </c>
      <c r="Q19" s="116" t="s">
        <v>184</v>
      </c>
      <c r="R19" s="97">
        <f t="shared" si="0"/>
        <v>0</v>
      </c>
      <c r="S19" s="97">
        <f>'r1'!AB21</f>
        <v>0</v>
      </c>
      <c r="T19" s="97">
        <f>'r1'!AC21</f>
        <v>0</v>
      </c>
      <c r="U19" s="97">
        <f>'r1'!AD21</f>
        <v>0</v>
      </c>
      <c r="V19" s="97"/>
      <c r="W19" s="129">
        <f t="shared" si="1"/>
        <v>0</v>
      </c>
      <c r="X19" s="97">
        <f>'r1'!AA21</f>
        <v>0</v>
      </c>
      <c r="Y19" s="97"/>
      <c r="Z19" s="97"/>
      <c r="AA19" s="97"/>
      <c r="AB19" s="97"/>
    </row>
    <row r="20" spans="2:28" ht="18" customHeight="1">
      <c r="B20" s="71">
        <v>18</v>
      </c>
      <c r="C20" s="126" t="str">
        <v>Żaklina</v>
      </c>
      <c r="D20" s="139">
        <v>0</v>
      </c>
      <c r="E20" s="137">
        <v>0</v>
      </c>
      <c r="F20" s="137">
        <v>0</v>
      </c>
      <c r="G20" s="137">
        <v>0</v>
      </c>
      <c r="H20" s="137">
        <v>0</v>
      </c>
      <c r="I20" s="138">
        <v>0</v>
      </c>
      <c r="J20" s="77">
        <v>0</v>
      </c>
      <c r="K20" s="77">
        <v>0</v>
      </c>
      <c r="L20" s="77">
        <v>0</v>
      </c>
      <c r="M20" s="140">
        <v>0</v>
      </c>
      <c r="N20" s="141">
        <v>0</v>
      </c>
      <c r="Q20" s="116" t="s">
        <v>222</v>
      </c>
      <c r="R20" s="97">
        <f t="shared" si="0"/>
        <v>0</v>
      </c>
      <c r="S20" s="97">
        <f>'r1'!AB22</f>
        <v>0</v>
      </c>
      <c r="T20" s="97">
        <f>'r1'!AC22</f>
        <v>0</v>
      </c>
      <c r="U20" s="97">
        <f>'r1'!AD22</f>
        <v>0</v>
      </c>
      <c r="V20" s="97"/>
      <c r="W20" s="129">
        <f t="shared" si="1"/>
        <v>0</v>
      </c>
      <c r="X20" s="97">
        <f>'r1'!AA22</f>
        <v>0</v>
      </c>
      <c r="Y20" s="97"/>
      <c r="Z20" s="97"/>
      <c r="AA20" s="97"/>
      <c r="AB20" s="97"/>
    </row>
    <row r="21" spans="2:28" ht="18" customHeight="1">
      <c r="B21" s="81">
        <v>19</v>
      </c>
      <c r="C21" s="125" t="str">
        <v>Cezary</v>
      </c>
      <c r="D21" s="72">
        <v>0</v>
      </c>
      <c r="E21" s="73">
        <v>0</v>
      </c>
      <c r="F21" s="73">
        <v>0</v>
      </c>
      <c r="G21" s="73">
        <v>0</v>
      </c>
      <c r="H21" s="73">
        <v>0</v>
      </c>
      <c r="I21" s="80">
        <v>0</v>
      </c>
      <c r="J21" s="74">
        <v>0</v>
      </c>
      <c r="K21" s="74">
        <v>0</v>
      </c>
      <c r="L21" s="74">
        <v>0</v>
      </c>
      <c r="M21" s="75">
        <v>0</v>
      </c>
      <c r="N21" s="76">
        <v>0</v>
      </c>
      <c r="Q21" s="116" t="s">
        <v>185</v>
      </c>
      <c r="R21" s="97">
        <f t="shared" si="0"/>
        <v>0</v>
      </c>
      <c r="S21" s="97">
        <f>'r1'!AB23</f>
        <v>0</v>
      </c>
      <c r="T21" s="97">
        <f>'r1'!AC23</f>
        <v>0</v>
      </c>
      <c r="U21" s="97">
        <f>'r1'!AD23</f>
        <v>0</v>
      </c>
      <c r="V21" s="97"/>
      <c r="W21" s="129">
        <f t="shared" si="1"/>
        <v>0</v>
      </c>
      <c r="X21" s="97">
        <f>'r1'!AA23</f>
        <v>0</v>
      </c>
      <c r="Y21" s="97"/>
      <c r="Z21" s="97"/>
      <c r="AA21" s="97"/>
      <c r="AB21" s="97"/>
    </row>
    <row r="22" spans="2:28" ht="18" customHeight="1">
      <c r="B22" s="71">
        <v>20</v>
      </c>
      <c r="C22" s="126" t="str">
        <v>Dziobak</v>
      </c>
      <c r="D22" s="139">
        <v>0</v>
      </c>
      <c r="E22" s="137">
        <v>0</v>
      </c>
      <c r="F22" s="137">
        <v>0</v>
      </c>
      <c r="G22" s="137">
        <v>0</v>
      </c>
      <c r="H22" s="137">
        <v>0</v>
      </c>
      <c r="I22" s="138">
        <v>0</v>
      </c>
      <c r="J22" s="77">
        <v>0</v>
      </c>
      <c r="K22" s="77">
        <v>0</v>
      </c>
      <c r="L22" s="77">
        <v>0</v>
      </c>
      <c r="M22" s="140">
        <v>0</v>
      </c>
      <c r="N22" s="141">
        <v>0</v>
      </c>
      <c r="Q22" s="116" t="s">
        <v>186</v>
      </c>
      <c r="R22" s="97">
        <f t="shared" si="0"/>
        <v>0</v>
      </c>
      <c r="S22" s="97">
        <f>'r1'!AB24</f>
        <v>0</v>
      </c>
      <c r="T22" s="97">
        <f>'r1'!AC24</f>
        <v>0</v>
      </c>
      <c r="U22" s="97">
        <f>'r1'!AD24</f>
        <v>0</v>
      </c>
      <c r="V22" s="97"/>
      <c r="W22" s="129">
        <f t="shared" si="1"/>
        <v>0</v>
      </c>
      <c r="X22" s="97">
        <f>'r1'!AA24</f>
        <v>0</v>
      </c>
      <c r="Y22" s="97"/>
      <c r="Z22" s="97"/>
      <c r="AA22" s="97"/>
      <c r="AB22" s="97"/>
    </row>
    <row r="23" spans="2:28" ht="18" customHeight="1">
      <c r="B23" s="81">
        <v>21</v>
      </c>
      <c r="C23" s="125" t="str">
        <v>MateuszKn</v>
      </c>
      <c r="D23" s="72">
        <v>0</v>
      </c>
      <c r="E23" s="73">
        <v>0</v>
      </c>
      <c r="F23" s="73">
        <v>0</v>
      </c>
      <c r="G23" s="73">
        <v>0</v>
      </c>
      <c r="H23" s="73">
        <v>0</v>
      </c>
      <c r="I23" s="80">
        <v>0</v>
      </c>
      <c r="J23" s="74">
        <v>0</v>
      </c>
      <c r="K23" s="74">
        <v>0</v>
      </c>
      <c r="L23" s="74">
        <v>0</v>
      </c>
      <c r="M23" s="75">
        <v>0</v>
      </c>
      <c r="N23" s="76">
        <v>0</v>
      </c>
      <c r="Q23" s="116" t="s">
        <v>187</v>
      </c>
      <c r="R23" s="97">
        <f t="shared" si="0"/>
        <v>0</v>
      </c>
      <c r="S23" s="97">
        <f>'r1'!AB25</f>
        <v>0</v>
      </c>
      <c r="T23" s="97">
        <f>'r1'!AC25</f>
        <v>0</v>
      </c>
      <c r="U23" s="97">
        <f>'r1'!AD25</f>
        <v>0</v>
      </c>
      <c r="V23" s="97"/>
      <c r="W23" s="129">
        <f t="shared" si="1"/>
        <v>0</v>
      </c>
      <c r="X23" s="97">
        <f>'r1'!AA25</f>
        <v>0</v>
      </c>
      <c r="Y23" s="97"/>
      <c r="Z23" s="97"/>
      <c r="AA23" s="97"/>
      <c r="AB23" s="97"/>
    </row>
    <row r="24" spans="2:28" ht="18" customHeight="1">
      <c r="B24" s="71">
        <v>22</v>
      </c>
      <c r="C24" s="126" t="str">
        <v>Przemek</v>
      </c>
      <c r="D24" s="139">
        <v>0</v>
      </c>
      <c r="E24" s="137">
        <v>0</v>
      </c>
      <c r="F24" s="137">
        <v>0</v>
      </c>
      <c r="G24" s="137">
        <v>0</v>
      </c>
      <c r="H24" s="137">
        <v>0</v>
      </c>
      <c r="I24" s="138">
        <v>0</v>
      </c>
      <c r="J24" s="77">
        <v>0</v>
      </c>
      <c r="K24" s="77">
        <v>0</v>
      </c>
      <c r="L24" s="77">
        <v>0</v>
      </c>
      <c r="M24" s="140">
        <v>0</v>
      </c>
      <c r="N24" s="141">
        <v>0</v>
      </c>
      <c r="Q24" s="116" t="s">
        <v>188</v>
      </c>
      <c r="R24" s="97">
        <f t="shared" si="0"/>
        <v>0</v>
      </c>
      <c r="S24" s="97">
        <f>'r1'!AB26</f>
        <v>0</v>
      </c>
      <c r="T24" s="97">
        <f>'r1'!AC26</f>
        <v>0</v>
      </c>
      <c r="U24" s="97">
        <f>'r1'!AD26</f>
        <v>0</v>
      </c>
      <c r="V24" s="97"/>
      <c r="W24" s="129">
        <f t="shared" si="1"/>
        <v>0</v>
      </c>
      <c r="X24" s="97">
        <f>'r1'!AA26</f>
        <v>0</v>
      </c>
      <c r="Y24" s="97"/>
      <c r="Z24" s="97"/>
      <c r="AA24" s="97"/>
      <c r="AB24" s="97"/>
    </row>
    <row r="25" spans="2:28" ht="18" customHeight="1">
      <c r="B25" s="81">
        <v>23</v>
      </c>
      <c r="C25" s="125" t="str">
        <v>Borys</v>
      </c>
      <c r="D25" s="72">
        <v>0</v>
      </c>
      <c r="E25" s="73">
        <v>0</v>
      </c>
      <c r="F25" s="73">
        <v>0</v>
      </c>
      <c r="G25" s="73">
        <v>0</v>
      </c>
      <c r="H25" s="73">
        <v>0</v>
      </c>
      <c r="I25" s="80">
        <v>0</v>
      </c>
      <c r="J25" s="74">
        <v>0</v>
      </c>
      <c r="K25" s="74">
        <v>0</v>
      </c>
      <c r="L25" s="74">
        <v>0</v>
      </c>
      <c r="M25" s="75">
        <v>0</v>
      </c>
      <c r="N25" s="76">
        <v>0</v>
      </c>
      <c r="Q25" s="116" t="s">
        <v>189</v>
      </c>
      <c r="R25" s="97">
        <f t="shared" si="0"/>
        <v>0</v>
      </c>
      <c r="S25" s="97">
        <f>'r1'!AB27</f>
        <v>0</v>
      </c>
      <c r="T25" s="97">
        <f>'r1'!AC27</f>
        <v>0</v>
      </c>
      <c r="U25" s="97">
        <f>'r1'!AD27</f>
        <v>0</v>
      </c>
      <c r="V25" s="97"/>
      <c r="W25" s="129">
        <f t="shared" si="1"/>
        <v>0</v>
      </c>
      <c r="X25" s="97">
        <f>'r1'!AA27</f>
        <v>0</v>
      </c>
      <c r="Y25" s="97"/>
      <c r="Z25" s="97"/>
      <c r="AA25" s="97"/>
      <c r="AB25" s="97"/>
    </row>
    <row r="26" spans="2:28" ht="18" customHeight="1">
      <c r="B26" s="71">
        <v>24</v>
      </c>
      <c r="C26" s="126" t="str">
        <v>Turbo-Ryżu</v>
      </c>
      <c r="D26" s="139">
        <v>0</v>
      </c>
      <c r="E26" s="137">
        <v>0</v>
      </c>
      <c r="F26" s="137">
        <v>0</v>
      </c>
      <c r="G26" s="137">
        <v>0</v>
      </c>
      <c r="H26" s="137">
        <v>0</v>
      </c>
      <c r="I26" s="138">
        <v>0</v>
      </c>
      <c r="J26" s="77">
        <v>0</v>
      </c>
      <c r="K26" s="77">
        <v>0</v>
      </c>
      <c r="L26" s="77">
        <v>0</v>
      </c>
      <c r="M26" s="140">
        <v>0</v>
      </c>
      <c r="N26" s="141">
        <v>0</v>
      </c>
      <c r="Q26" s="116" t="s">
        <v>190</v>
      </c>
      <c r="R26" s="97">
        <f t="shared" si="0"/>
        <v>0</v>
      </c>
      <c r="S26" s="97">
        <f>'r1'!AB28</f>
        <v>0</v>
      </c>
      <c r="T26" s="97">
        <f>'r1'!AC28</f>
        <v>0</v>
      </c>
      <c r="U26" s="97">
        <f>'r1'!AD28</f>
        <v>0</v>
      </c>
      <c r="V26" s="97"/>
      <c r="W26" s="129">
        <f t="shared" si="1"/>
        <v>0</v>
      </c>
      <c r="X26" s="97">
        <f>'r1'!AA28</f>
        <v>0</v>
      </c>
      <c r="Y26" s="97"/>
      <c r="Z26" s="97"/>
      <c r="AA26" s="97"/>
      <c r="AB26" s="97"/>
    </row>
    <row r="27" spans="2:28" ht="18" customHeight="1">
      <c r="B27" s="81">
        <v>25</v>
      </c>
      <c r="C27" s="125" t="str">
        <v>MagdaP</v>
      </c>
      <c r="D27" s="72">
        <v>0</v>
      </c>
      <c r="E27" s="73">
        <v>0</v>
      </c>
      <c r="F27" s="73">
        <v>0</v>
      </c>
      <c r="G27" s="73">
        <v>0</v>
      </c>
      <c r="H27" s="73">
        <v>0</v>
      </c>
      <c r="I27" s="80">
        <v>0</v>
      </c>
      <c r="J27" s="74">
        <v>0</v>
      </c>
      <c r="K27" s="74">
        <v>0</v>
      </c>
      <c r="L27" s="74">
        <v>0</v>
      </c>
      <c r="M27" s="75">
        <v>0</v>
      </c>
      <c r="N27" s="76">
        <v>0</v>
      </c>
      <c r="Q27" s="116" t="s">
        <v>191</v>
      </c>
      <c r="R27" s="97">
        <f t="shared" si="0"/>
        <v>0</v>
      </c>
      <c r="S27" s="97">
        <f>'r1'!AB29</f>
        <v>0</v>
      </c>
      <c r="T27" s="97">
        <f>'r1'!AC29</f>
        <v>0</v>
      </c>
      <c r="U27" s="97">
        <f>'r1'!AD29</f>
        <v>0</v>
      </c>
      <c r="V27" s="97"/>
      <c r="W27" s="129">
        <f t="shared" si="1"/>
        <v>0</v>
      </c>
      <c r="X27" s="97">
        <f>'r1'!AA29</f>
        <v>0</v>
      </c>
      <c r="Y27" s="97"/>
      <c r="Z27" s="97"/>
      <c r="AA27" s="97"/>
      <c r="AB27" s="97"/>
    </row>
    <row r="28" spans="2:28" ht="18" customHeight="1">
      <c r="B28" s="71">
        <v>26</v>
      </c>
      <c r="C28" s="126" t="str">
        <v>Małgorzata</v>
      </c>
      <c r="D28" s="139">
        <v>0</v>
      </c>
      <c r="E28" s="137">
        <v>0</v>
      </c>
      <c r="F28" s="137">
        <v>0</v>
      </c>
      <c r="G28" s="137">
        <v>0</v>
      </c>
      <c r="H28" s="137">
        <v>0</v>
      </c>
      <c r="I28" s="138">
        <v>0</v>
      </c>
      <c r="J28" s="77">
        <v>0</v>
      </c>
      <c r="K28" s="77">
        <v>0</v>
      </c>
      <c r="L28" s="77">
        <v>0</v>
      </c>
      <c r="M28" s="140">
        <v>0</v>
      </c>
      <c r="N28" s="141">
        <v>0</v>
      </c>
      <c r="Q28" s="116" t="s">
        <v>192</v>
      </c>
      <c r="R28" s="97">
        <f t="shared" si="0"/>
        <v>0</v>
      </c>
      <c r="S28" s="97">
        <f>'r1'!AB30</f>
        <v>0</v>
      </c>
      <c r="T28" s="97">
        <f>'r1'!AC30</f>
        <v>0</v>
      </c>
      <c r="U28" s="97">
        <f>'r1'!AD30</f>
        <v>0</v>
      </c>
      <c r="V28" s="97"/>
      <c r="W28" s="129">
        <f t="shared" si="1"/>
        <v>0</v>
      </c>
      <c r="X28" s="97">
        <f>'r1'!AA30</f>
        <v>0</v>
      </c>
      <c r="Y28" s="97"/>
      <c r="Z28" s="97"/>
      <c r="AA28" s="97"/>
      <c r="AB28" s="97"/>
    </row>
    <row r="29" spans="2:28" ht="18" customHeight="1">
      <c r="B29" s="81">
        <v>27</v>
      </c>
      <c r="C29" s="125" t="str">
        <v>KamilF</v>
      </c>
      <c r="D29" s="72">
        <v>0</v>
      </c>
      <c r="E29" s="73">
        <v>0</v>
      </c>
      <c r="F29" s="73">
        <v>0</v>
      </c>
      <c r="G29" s="73">
        <v>0</v>
      </c>
      <c r="H29" s="73">
        <v>0</v>
      </c>
      <c r="I29" s="80">
        <v>0</v>
      </c>
      <c r="J29" s="74">
        <v>0</v>
      </c>
      <c r="K29" s="74">
        <v>0</v>
      </c>
      <c r="L29" s="74">
        <v>0</v>
      </c>
      <c r="M29" s="75">
        <v>0</v>
      </c>
      <c r="N29" s="76">
        <v>0</v>
      </c>
      <c r="Q29" s="116" t="s">
        <v>193</v>
      </c>
      <c r="R29" s="97">
        <f t="shared" si="0"/>
        <v>0</v>
      </c>
      <c r="S29" s="97">
        <f>'r1'!AB31</f>
        <v>0</v>
      </c>
      <c r="T29" s="97">
        <f>'r1'!AC31</f>
        <v>0</v>
      </c>
      <c r="U29" s="97">
        <f>'r1'!AD31</f>
        <v>0</v>
      </c>
      <c r="V29" s="97"/>
      <c r="W29" s="129">
        <f t="shared" si="1"/>
        <v>0</v>
      </c>
      <c r="X29" s="97">
        <f>'r1'!AA31</f>
        <v>0</v>
      </c>
      <c r="Y29" s="97"/>
      <c r="Z29" s="97"/>
      <c r="AA29" s="97"/>
      <c r="AB29" s="97"/>
    </row>
    <row r="30" spans="2:28" ht="18" customHeight="1">
      <c r="B30" s="71">
        <v>28</v>
      </c>
      <c r="C30" s="126" t="str">
        <v>MichałCz</v>
      </c>
      <c r="D30" s="139">
        <v>0</v>
      </c>
      <c r="E30" s="137">
        <v>0</v>
      </c>
      <c r="F30" s="137">
        <v>0</v>
      </c>
      <c r="G30" s="137">
        <v>0</v>
      </c>
      <c r="H30" s="137">
        <v>0</v>
      </c>
      <c r="I30" s="138">
        <v>0</v>
      </c>
      <c r="J30" s="77">
        <v>0</v>
      </c>
      <c r="K30" s="77">
        <v>0</v>
      </c>
      <c r="L30" s="77">
        <v>0</v>
      </c>
      <c r="M30" s="140">
        <v>0</v>
      </c>
      <c r="N30" s="141">
        <v>0</v>
      </c>
      <c r="Q30" s="116" t="s">
        <v>194</v>
      </c>
      <c r="R30" s="97">
        <f t="shared" si="0"/>
        <v>0</v>
      </c>
      <c r="S30" s="97">
        <f>'r1'!AB32</f>
        <v>0</v>
      </c>
      <c r="T30" s="97">
        <f>'r1'!AC32</f>
        <v>0</v>
      </c>
      <c r="U30" s="97">
        <f>'r1'!AD32</f>
        <v>0</v>
      </c>
      <c r="V30" s="97"/>
      <c r="W30" s="129">
        <f t="shared" si="1"/>
        <v>0</v>
      </c>
      <c r="X30" s="97">
        <f>'r1'!AA32</f>
        <v>0</v>
      </c>
      <c r="Y30" s="97"/>
      <c r="Z30" s="97"/>
      <c r="AA30" s="97"/>
      <c r="AB30" s="97"/>
    </row>
    <row r="31" spans="2:28" ht="18" customHeight="1">
      <c r="B31" s="81">
        <v>29</v>
      </c>
      <c r="C31" s="125" t="str">
        <v>Talvik</v>
      </c>
      <c r="D31" s="72">
        <v>0</v>
      </c>
      <c r="E31" s="73">
        <v>0</v>
      </c>
      <c r="F31" s="73">
        <v>0</v>
      </c>
      <c r="G31" s="73">
        <v>0</v>
      </c>
      <c r="H31" s="73">
        <v>0</v>
      </c>
      <c r="I31" s="80">
        <v>0</v>
      </c>
      <c r="J31" s="74">
        <v>0</v>
      </c>
      <c r="K31" s="74">
        <v>0</v>
      </c>
      <c r="L31" s="74">
        <v>0</v>
      </c>
      <c r="M31" s="75">
        <v>0</v>
      </c>
      <c r="N31" s="76">
        <v>0</v>
      </c>
      <c r="Q31" s="116" t="s">
        <v>195</v>
      </c>
      <c r="R31" s="97">
        <f t="shared" si="0"/>
        <v>0</v>
      </c>
      <c r="S31" s="97">
        <f>'r1'!AB33</f>
        <v>0</v>
      </c>
      <c r="T31" s="97">
        <f>'r1'!AC33</f>
        <v>0</v>
      </c>
      <c r="U31" s="97">
        <f>'r1'!AD33</f>
        <v>0</v>
      </c>
      <c r="V31" s="97"/>
      <c r="W31" s="129">
        <f t="shared" si="1"/>
        <v>0</v>
      </c>
      <c r="X31" s="97">
        <f>'r1'!AA33</f>
        <v>0</v>
      </c>
      <c r="Y31" s="97"/>
      <c r="Z31" s="97"/>
      <c r="AA31" s="97"/>
      <c r="AB31" s="97"/>
    </row>
    <row r="32" spans="2:28" ht="18" customHeight="1">
      <c r="B32" s="71">
        <v>30</v>
      </c>
      <c r="C32" s="126" t="str">
        <v>Rafał</v>
      </c>
      <c r="D32" s="139">
        <v>0</v>
      </c>
      <c r="E32" s="137">
        <v>0</v>
      </c>
      <c r="F32" s="137">
        <v>0</v>
      </c>
      <c r="G32" s="137">
        <v>0</v>
      </c>
      <c r="H32" s="137">
        <v>0</v>
      </c>
      <c r="I32" s="138">
        <v>0</v>
      </c>
      <c r="J32" s="77">
        <v>0</v>
      </c>
      <c r="K32" s="77">
        <v>0</v>
      </c>
      <c r="L32" s="77">
        <v>0</v>
      </c>
      <c r="M32" s="140">
        <v>0</v>
      </c>
      <c r="N32" s="141">
        <v>0</v>
      </c>
      <c r="Q32" s="116" t="s">
        <v>196</v>
      </c>
      <c r="R32" s="97">
        <f t="shared" si="0"/>
        <v>0</v>
      </c>
      <c r="S32" s="97">
        <f>'r1'!AB34</f>
        <v>0</v>
      </c>
      <c r="T32" s="97">
        <f>'r1'!AC34</f>
        <v>0</v>
      </c>
      <c r="U32" s="97">
        <f>'r1'!AD34</f>
        <v>0</v>
      </c>
      <c r="V32" s="97"/>
      <c r="W32" s="129">
        <f t="shared" si="1"/>
        <v>0</v>
      </c>
      <c r="X32" s="97">
        <f>'r1'!AA34</f>
        <v>0</v>
      </c>
      <c r="Y32" s="97"/>
      <c r="Z32" s="97"/>
      <c r="AA32" s="97"/>
      <c r="AB32" s="97"/>
    </row>
    <row r="33" spans="2:28" ht="18" customHeight="1">
      <c r="B33" s="81">
        <v>31</v>
      </c>
      <c r="C33" s="125" t="str">
        <v>MarekS</v>
      </c>
      <c r="D33" s="72">
        <v>0</v>
      </c>
      <c r="E33" s="73">
        <v>0</v>
      </c>
      <c r="F33" s="73">
        <v>0</v>
      </c>
      <c r="G33" s="73">
        <v>0</v>
      </c>
      <c r="H33" s="73">
        <v>0</v>
      </c>
      <c r="I33" s="80">
        <v>0</v>
      </c>
      <c r="J33" s="74">
        <v>0</v>
      </c>
      <c r="K33" s="74">
        <v>0</v>
      </c>
      <c r="L33" s="74">
        <v>0</v>
      </c>
      <c r="M33" s="75">
        <v>0</v>
      </c>
      <c r="N33" s="76">
        <v>0</v>
      </c>
      <c r="Q33" s="116" t="s">
        <v>197</v>
      </c>
      <c r="R33" s="97">
        <f t="shared" si="0"/>
        <v>0</v>
      </c>
      <c r="S33" s="97">
        <f>'r1'!AB35</f>
        <v>0</v>
      </c>
      <c r="T33" s="97">
        <f>'r1'!AC35</f>
        <v>0</v>
      </c>
      <c r="U33" s="97">
        <f>'r1'!AD35</f>
        <v>0</v>
      </c>
      <c r="V33" s="97"/>
      <c r="W33" s="129">
        <f t="shared" si="1"/>
        <v>0</v>
      </c>
      <c r="X33" s="97">
        <f>'r1'!AA35</f>
        <v>0</v>
      </c>
      <c r="Y33" s="97"/>
      <c r="Z33" s="97"/>
      <c r="AA33" s="97"/>
      <c r="AB33" s="97"/>
    </row>
    <row r="34" spans="2:28" ht="18" customHeight="1">
      <c r="B34" s="71">
        <v>32</v>
      </c>
      <c r="C34" s="126" t="str">
        <v>Karolina</v>
      </c>
      <c r="D34" s="139">
        <v>0</v>
      </c>
      <c r="E34" s="137">
        <v>0</v>
      </c>
      <c r="F34" s="137">
        <v>0</v>
      </c>
      <c r="G34" s="137">
        <v>0</v>
      </c>
      <c r="H34" s="137">
        <v>0</v>
      </c>
      <c r="I34" s="138">
        <v>0</v>
      </c>
      <c r="J34" s="77">
        <v>0</v>
      </c>
      <c r="K34" s="77">
        <v>0</v>
      </c>
      <c r="L34" s="77">
        <v>0</v>
      </c>
      <c r="M34" s="140">
        <v>0</v>
      </c>
      <c r="N34" s="141">
        <v>0</v>
      </c>
      <c r="Q34" s="116" t="s">
        <v>198</v>
      </c>
      <c r="R34" s="97">
        <f t="shared" si="0"/>
        <v>0</v>
      </c>
      <c r="S34" s="97">
        <f>'r1'!AB36</f>
        <v>0</v>
      </c>
      <c r="T34" s="97">
        <f>'r1'!AC36</f>
        <v>0</v>
      </c>
      <c r="U34" s="97">
        <f>'r1'!AD36</f>
        <v>0</v>
      </c>
      <c r="V34" s="97"/>
      <c r="W34" s="129">
        <f t="shared" si="1"/>
        <v>0</v>
      </c>
      <c r="X34" s="97">
        <f>'r1'!AA36</f>
        <v>0</v>
      </c>
      <c r="Y34" s="97"/>
      <c r="Z34" s="97"/>
      <c r="AA34" s="97"/>
      <c r="AB34" s="97"/>
    </row>
    <row r="35" spans="2:28" ht="18" customHeight="1">
      <c r="B35" s="81">
        <v>33</v>
      </c>
      <c r="C35" s="125" t="str">
        <v>AndrzejO</v>
      </c>
      <c r="D35" s="72">
        <v>0</v>
      </c>
      <c r="E35" s="73">
        <v>0</v>
      </c>
      <c r="F35" s="73">
        <v>0</v>
      </c>
      <c r="G35" s="73">
        <v>0</v>
      </c>
      <c r="H35" s="73">
        <v>0</v>
      </c>
      <c r="I35" s="80">
        <v>0</v>
      </c>
      <c r="J35" s="74">
        <v>0</v>
      </c>
      <c r="K35" s="74">
        <v>0</v>
      </c>
      <c r="L35" s="74">
        <v>0</v>
      </c>
      <c r="M35" s="75">
        <v>0</v>
      </c>
      <c r="N35" s="76">
        <v>0</v>
      </c>
      <c r="Q35" s="116" t="s">
        <v>199</v>
      </c>
      <c r="R35" s="97">
        <f t="shared" si="0"/>
        <v>0</v>
      </c>
      <c r="S35" s="97">
        <f>'r1'!AB37</f>
        <v>0</v>
      </c>
      <c r="T35" s="97">
        <f>'r1'!AC37</f>
        <v>0</v>
      </c>
      <c r="U35" s="97">
        <f>'r1'!AD37</f>
        <v>0</v>
      </c>
      <c r="V35" s="97"/>
      <c r="W35" s="129">
        <f t="shared" si="1"/>
        <v>0</v>
      </c>
      <c r="X35" s="97">
        <f>'r1'!AA37</f>
        <v>0</v>
      </c>
      <c r="Y35" s="97"/>
      <c r="Z35" s="97"/>
      <c r="AA35" s="97"/>
      <c r="AB35" s="97"/>
    </row>
    <row r="36" spans="2:28" ht="18" customHeight="1">
      <c r="B36" s="71">
        <v>34</v>
      </c>
      <c r="C36" s="126" t="str">
        <v>PiotreM</v>
      </c>
      <c r="D36" s="139">
        <v>0</v>
      </c>
      <c r="E36" s="137">
        <v>0</v>
      </c>
      <c r="F36" s="137">
        <v>0</v>
      </c>
      <c r="G36" s="137">
        <v>0</v>
      </c>
      <c r="H36" s="137">
        <v>0</v>
      </c>
      <c r="I36" s="138">
        <v>0</v>
      </c>
      <c r="J36" s="77">
        <v>0</v>
      </c>
      <c r="K36" s="77">
        <v>0</v>
      </c>
      <c r="L36" s="77">
        <v>0</v>
      </c>
      <c r="M36" s="140">
        <v>0</v>
      </c>
      <c r="N36" s="141">
        <v>0</v>
      </c>
      <c r="Q36" s="116" t="s">
        <v>200</v>
      </c>
      <c r="R36" s="97">
        <f t="shared" si="0"/>
        <v>0</v>
      </c>
      <c r="S36" s="97">
        <f>'r1'!AB38</f>
        <v>0</v>
      </c>
      <c r="T36" s="97">
        <f>'r1'!AC38</f>
        <v>0</v>
      </c>
      <c r="U36" s="97">
        <f>'r1'!AD38</f>
        <v>0</v>
      </c>
      <c r="V36" s="97"/>
      <c r="W36" s="129">
        <f t="shared" si="1"/>
        <v>0</v>
      </c>
      <c r="X36" s="97">
        <f>'r1'!AA38</f>
        <v>0</v>
      </c>
      <c r="Y36" s="97"/>
      <c r="Z36" s="97"/>
      <c r="AA36" s="97"/>
      <c r="AB36" s="97"/>
    </row>
    <row r="37" spans="2:28" ht="18" customHeight="1">
      <c r="B37" s="81">
        <v>35</v>
      </c>
      <c r="C37" s="125" t="str">
        <v>DarekJell</v>
      </c>
      <c r="D37" s="72">
        <v>0</v>
      </c>
      <c r="E37" s="73">
        <v>0</v>
      </c>
      <c r="F37" s="73">
        <v>0</v>
      </c>
      <c r="G37" s="73">
        <v>0</v>
      </c>
      <c r="H37" s="73">
        <v>0</v>
      </c>
      <c r="I37" s="80">
        <v>0</v>
      </c>
      <c r="J37" s="74">
        <v>0</v>
      </c>
      <c r="K37" s="74">
        <v>0</v>
      </c>
      <c r="L37" s="74">
        <v>0</v>
      </c>
      <c r="M37" s="75">
        <v>0</v>
      </c>
      <c r="N37" s="76">
        <v>0</v>
      </c>
      <c r="Q37" s="116" t="s">
        <v>201</v>
      </c>
      <c r="R37" s="97">
        <f t="shared" si="0"/>
        <v>0</v>
      </c>
      <c r="S37" s="97">
        <f>'r1'!AB39</f>
        <v>0</v>
      </c>
      <c r="T37" s="97">
        <f>'r1'!AC39</f>
        <v>0</v>
      </c>
      <c r="U37" s="97">
        <f>'r1'!AD39</f>
        <v>0</v>
      </c>
      <c r="V37" s="97"/>
      <c r="W37" s="129">
        <f t="shared" si="1"/>
        <v>0</v>
      </c>
      <c r="X37" s="97">
        <f>'r1'!AA39</f>
        <v>0</v>
      </c>
      <c r="Y37" s="97"/>
      <c r="Z37" s="97"/>
      <c r="AA37" s="97"/>
      <c r="AB37" s="97"/>
    </row>
    <row r="38" spans="2:28" ht="18" customHeight="1">
      <c r="B38" s="71">
        <v>36</v>
      </c>
      <c r="C38" s="126" t="str">
        <v>Maciej</v>
      </c>
      <c r="D38" s="139">
        <v>0</v>
      </c>
      <c r="E38" s="137">
        <v>0</v>
      </c>
      <c r="F38" s="137">
        <v>0</v>
      </c>
      <c r="G38" s="137">
        <v>0</v>
      </c>
      <c r="H38" s="137">
        <v>0</v>
      </c>
      <c r="I38" s="138">
        <v>0</v>
      </c>
      <c r="J38" s="77">
        <v>0</v>
      </c>
      <c r="K38" s="77">
        <v>0</v>
      </c>
      <c r="L38" s="77">
        <v>0</v>
      </c>
      <c r="M38" s="140">
        <v>0</v>
      </c>
      <c r="N38" s="141">
        <v>0</v>
      </c>
      <c r="Q38" s="116" t="s">
        <v>202</v>
      </c>
      <c r="R38" s="97">
        <f t="shared" si="0"/>
        <v>0</v>
      </c>
      <c r="S38" s="97">
        <f>'r1'!AB40</f>
        <v>0</v>
      </c>
      <c r="T38" s="97">
        <f>'r1'!AC40</f>
        <v>0</v>
      </c>
      <c r="U38" s="97">
        <f>'r1'!AD40</f>
        <v>0</v>
      </c>
      <c r="V38" s="97"/>
      <c r="W38" s="129">
        <f t="shared" si="1"/>
        <v>0</v>
      </c>
      <c r="X38" s="97">
        <f>'r1'!AA40</f>
        <v>0</v>
      </c>
      <c r="Y38" s="97"/>
      <c r="Z38" s="97"/>
      <c r="AA38" s="97"/>
      <c r="AB38" s="97"/>
    </row>
    <row r="39" spans="2:28" ht="18" customHeight="1">
      <c r="B39" s="81">
        <v>37</v>
      </c>
      <c r="C39" s="125" t="str">
        <v>KSZ</v>
      </c>
      <c r="D39" s="72">
        <v>0</v>
      </c>
      <c r="E39" s="73">
        <v>0</v>
      </c>
      <c r="F39" s="73">
        <v>0</v>
      </c>
      <c r="G39" s="73">
        <v>0</v>
      </c>
      <c r="H39" s="73">
        <v>0</v>
      </c>
      <c r="I39" s="80">
        <v>0</v>
      </c>
      <c r="J39" s="74">
        <v>0</v>
      </c>
      <c r="K39" s="74">
        <v>0</v>
      </c>
      <c r="L39" s="74">
        <v>0</v>
      </c>
      <c r="M39" s="75">
        <v>0</v>
      </c>
      <c r="N39" s="76">
        <v>0</v>
      </c>
      <c r="Q39" s="116" t="s">
        <v>203</v>
      </c>
      <c r="R39" s="97">
        <f t="shared" si="0"/>
        <v>0</v>
      </c>
      <c r="S39" s="97">
        <f>'r1'!AB41</f>
        <v>0</v>
      </c>
      <c r="T39" s="97">
        <f>'r1'!AC41</f>
        <v>0</v>
      </c>
      <c r="U39" s="97">
        <f>'r1'!AD41</f>
        <v>0</v>
      </c>
      <c r="V39" s="97"/>
      <c r="W39" s="129">
        <f t="shared" si="1"/>
        <v>0</v>
      </c>
      <c r="X39" s="97">
        <f>'r1'!AA41</f>
        <v>0</v>
      </c>
      <c r="Y39" s="97"/>
      <c r="Z39" s="97"/>
      <c r="AA39" s="97"/>
      <c r="AB39" s="97"/>
    </row>
    <row r="40" spans="2:28" ht="18" customHeight="1">
      <c r="B40" s="71">
        <v>38</v>
      </c>
      <c r="C40" s="126" t="str">
        <v>MarekP</v>
      </c>
      <c r="D40" s="139">
        <v>0</v>
      </c>
      <c r="E40" s="137">
        <v>0</v>
      </c>
      <c r="F40" s="137">
        <v>0</v>
      </c>
      <c r="G40" s="137">
        <v>0</v>
      </c>
      <c r="H40" s="137">
        <v>0</v>
      </c>
      <c r="I40" s="138">
        <v>0</v>
      </c>
      <c r="J40" s="77">
        <v>0</v>
      </c>
      <c r="K40" s="77">
        <v>0</v>
      </c>
      <c r="L40" s="77">
        <v>0</v>
      </c>
      <c r="M40" s="140">
        <v>0</v>
      </c>
      <c r="N40" s="141">
        <v>0</v>
      </c>
      <c r="Q40" s="116" t="s">
        <v>204</v>
      </c>
      <c r="R40" s="97">
        <f t="shared" si="0"/>
        <v>0</v>
      </c>
      <c r="S40" s="97">
        <f>'r1'!AB42</f>
        <v>0</v>
      </c>
      <c r="T40" s="97">
        <f>'r1'!AC42</f>
        <v>0</v>
      </c>
      <c r="U40" s="97">
        <f>'r1'!AD42</f>
        <v>0</v>
      </c>
      <c r="V40" s="97"/>
      <c r="W40" s="129">
        <f t="shared" si="1"/>
        <v>0</v>
      </c>
      <c r="X40" s="97">
        <f>'r1'!AA42</f>
        <v>0</v>
      </c>
      <c r="Y40" s="97"/>
      <c r="Z40" s="97"/>
      <c r="AA40" s="97"/>
      <c r="AB40" s="97"/>
    </row>
    <row r="41" spans="2:28" ht="18" customHeight="1">
      <c r="B41" s="81">
        <v>39</v>
      </c>
      <c r="C41" s="125" t="str">
        <v>KleoPatra</v>
      </c>
      <c r="D41" s="72">
        <v>0</v>
      </c>
      <c r="E41" s="73">
        <v>0</v>
      </c>
      <c r="F41" s="73">
        <v>0</v>
      </c>
      <c r="G41" s="73">
        <v>0</v>
      </c>
      <c r="H41" s="73">
        <v>0</v>
      </c>
      <c r="I41" s="80">
        <v>0</v>
      </c>
      <c r="J41" s="74">
        <v>0</v>
      </c>
      <c r="K41" s="74">
        <v>0</v>
      </c>
      <c r="L41" s="74">
        <v>0</v>
      </c>
      <c r="M41" s="75">
        <v>0</v>
      </c>
      <c r="N41" s="76">
        <v>0</v>
      </c>
      <c r="Q41" s="116" t="s">
        <v>223</v>
      </c>
      <c r="R41" s="97">
        <f t="shared" si="0"/>
        <v>0</v>
      </c>
      <c r="S41" s="97">
        <f>'r1'!AB43</f>
        <v>0</v>
      </c>
      <c r="T41" s="97">
        <f>'r1'!AC43</f>
        <v>0</v>
      </c>
      <c r="U41" s="97">
        <f>'r1'!AD43</f>
        <v>0</v>
      </c>
      <c r="V41" s="97"/>
      <c r="W41" s="129">
        <f t="shared" si="1"/>
        <v>0</v>
      </c>
      <c r="X41" s="97">
        <f>'r1'!AA43</f>
        <v>0</v>
      </c>
      <c r="Y41" s="97"/>
      <c r="Z41" s="97"/>
      <c r="AA41" s="97"/>
      <c r="AB41" s="97"/>
    </row>
    <row r="42" spans="2:28" ht="18" customHeight="1">
      <c r="B42" s="71">
        <v>40</v>
      </c>
      <c r="C42" s="126" t="str">
        <v>MichałeK</v>
      </c>
      <c r="D42" s="139">
        <v>0</v>
      </c>
      <c r="E42" s="137">
        <v>0</v>
      </c>
      <c r="F42" s="137">
        <v>0</v>
      </c>
      <c r="G42" s="137">
        <v>0</v>
      </c>
      <c r="H42" s="137">
        <v>0</v>
      </c>
      <c r="I42" s="138">
        <v>0</v>
      </c>
      <c r="J42" s="77">
        <v>0</v>
      </c>
      <c r="K42" s="77">
        <v>0</v>
      </c>
      <c r="L42" s="77">
        <v>0</v>
      </c>
      <c r="M42" s="140">
        <v>0</v>
      </c>
      <c r="N42" s="141">
        <v>0</v>
      </c>
      <c r="Q42" s="116" t="s">
        <v>205</v>
      </c>
      <c r="R42" s="97">
        <f t="shared" si="0"/>
        <v>0</v>
      </c>
      <c r="S42" s="97">
        <f>'r1'!AB44</f>
        <v>0</v>
      </c>
      <c r="T42" s="97">
        <f>'r1'!AC44</f>
        <v>0</v>
      </c>
      <c r="U42" s="97">
        <f>'r1'!AD44</f>
        <v>0</v>
      </c>
      <c r="V42" s="97"/>
      <c r="W42" s="129">
        <f t="shared" si="1"/>
        <v>0</v>
      </c>
      <c r="X42" s="97">
        <f>'r1'!AA44</f>
        <v>0</v>
      </c>
      <c r="Y42" s="97"/>
      <c r="Z42" s="97"/>
      <c r="AA42" s="97"/>
      <c r="AB42" s="97"/>
    </row>
    <row r="43" spans="2:28" ht="18" customHeight="1">
      <c r="B43" s="81">
        <v>41</v>
      </c>
      <c r="C43" s="125" t="str">
        <v>Witek</v>
      </c>
      <c r="D43" s="72">
        <v>0</v>
      </c>
      <c r="E43" s="73">
        <v>0</v>
      </c>
      <c r="F43" s="73">
        <v>0</v>
      </c>
      <c r="G43" s="73">
        <v>0</v>
      </c>
      <c r="H43" s="73">
        <v>0</v>
      </c>
      <c r="I43" s="80">
        <v>0</v>
      </c>
      <c r="J43" s="74">
        <v>0</v>
      </c>
      <c r="K43" s="74">
        <v>0</v>
      </c>
      <c r="L43" s="74">
        <v>0</v>
      </c>
      <c r="M43" s="75">
        <v>0</v>
      </c>
      <c r="N43" s="76">
        <v>0</v>
      </c>
      <c r="Q43" s="116" t="s">
        <v>206</v>
      </c>
      <c r="R43" s="97">
        <f t="shared" si="0"/>
        <v>0</v>
      </c>
      <c r="S43" s="97">
        <f>'r1'!AB45</f>
        <v>0</v>
      </c>
      <c r="T43" s="97">
        <f>'r1'!AC45</f>
        <v>0</v>
      </c>
      <c r="U43" s="97">
        <f>'r1'!AD45</f>
        <v>0</v>
      </c>
      <c r="V43" s="97"/>
      <c r="W43" s="129">
        <f t="shared" si="1"/>
        <v>0</v>
      </c>
      <c r="X43" s="97">
        <f>'r1'!AA45</f>
        <v>0</v>
      </c>
      <c r="Y43" s="97"/>
      <c r="Z43" s="97"/>
      <c r="AA43" s="97"/>
      <c r="AB43" s="97"/>
    </row>
    <row r="44" spans="2:28" ht="18" customHeight="1">
      <c r="B44" s="71">
        <v>42</v>
      </c>
      <c r="C44" s="126" t="str">
        <v>RobertLat</v>
      </c>
      <c r="D44" s="139">
        <v>0</v>
      </c>
      <c r="E44" s="137">
        <v>0</v>
      </c>
      <c r="F44" s="137">
        <v>0</v>
      </c>
      <c r="G44" s="137">
        <v>0</v>
      </c>
      <c r="H44" s="137">
        <v>0</v>
      </c>
      <c r="I44" s="138">
        <v>0</v>
      </c>
      <c r="J44" s="77">
        <v>0</v>
      </c>
      <c r="K44" s="77">
        <v>0</v>
      </c>
      <c r="L44" s="77">
        <v>0</v>
      </c>
      <c r="M44" s="140">
        <v>0</v>
      </c>
      <c r="N44" s="141">
        <v>0</v>
      </c>
      <c r="Q44" s="116" t="s">
        <v>207</v>
      </c>
      <c r="R44" s="97">
        <f t="shared" si="0"/>
        <v>0</v>
      </c>
      <c r="S44" s="97">
        <f>'r1'!AB46</f>
        <v>0</v>
      </c>
      <c r="T44" s="97">
        <f>'r1'!AC46</f>
        <v>0</v>
      </c>
      <c r="U44" s="97">
        <f>'r1'!AD46</f>
        <v>0</v>
      </c>
      <c r="V44" s="97"/>
      <c r="W44" s="129">
        <f t="shared" si="1"/>
        <v>0</v>
      </c>
      <c r="X44" s="97">
        <f>'r1'!AA46</f>
        <v>0</v>
      </c>
      <c r="Y44" s="97"/>
      <c r="Z44" s="97"/>
      <c r="AA44" s="97"/>
      <c r="AB44" s="97"/>
    </row>
    <row r="45" spans="2:28" ht="18" customHeight="1">
      <c r="B45" s="81">
        <v>43</v>
      </c>
      <c r="C45" s="125" t="str">
        <v>DeDe</v>
      </c>
      <c r="D45" s="72">
        <v>0</v>
      </c>
      <c r="E45" s="73">
        <v>0</v>
      </c>
      <c r="F45" s="73">
        <v>0</v>
      </c>
      <c r="G45" s="73">
        <v>0</v>
      </c>
      <c r="H45" s="73">
        <v>0</v>
      </c>
      <c r="I45" s="80">
        <v>0</v>
      </c>
      <c r="J45" s="74">
        <v>0</v>
      </c>
      <c r="K45" s="74">
        <v>0</v>
      </c>
      <c r="L45" s="74">
        <v>0</v>
      </c>
      <c r="M45" s="75">
        <v>0</v>
      </c>
      <c r="N45" s="76">
        <v>0</v>
      </c>
      <c r="Q45" s="116" t="s">
        <v>208</v>
      </c>
      <c r="R45" s="97">
        <f t="shared" si="0"/>
        <v>0</v>
      </c>
      <c r="S45" s="97">
        <f>'r1'!AB47</f>
        <v>0</v>
      </c>
      <c r="T45" s="97">
        <f>'r1'!AC47</f>
        <v>0</v>
      </c>
      <c r="U45" s="97">
        <f>'r1'!AD47</f>
        <v>0</v>
      </c>
      <c r="V45" s="97"/>
      <c r="W45" s="129">
        <f t="shared" si="1"/>
        <v>0</v>
      </c>
      <c r="X45" s="97">
        <f>'r1'!AA47</f>
        <v>0</v>
      </c>
      <c r="Y45" s="97"/>
      <c r="Z45" s="97"/>
      <c r="AA45" s="97"/>
      <c r="AB45" s="97"/>
    </row>
    <row r="46" spans="2:28" ht="18" customHeight="1">
      <c r="B46" s="71">
        <v>44</v>
      </c>
      <c r="C46" s="126" t="str">
        <v>Cypryjka</v>
      </c>
      <c r="D46" s="139">
        <v>0</v>
      </c>
      <c r="E46" s="137">
        <v>0</v>
      </c>
      <c r="F46" s="137">
        <v>0</v>
      </c>
      <c r="G46" s="137">
        <v>0</v>
      </c>
      <c r="H46" s="137">
        <v>0</v>
      </c>
      <c r="I46" s="138">
        <v>0</v>
      </c>
      <c r="J46" s="77">
        <v>0</v>
      </c>
      <c r="K46" s="77">
        <v>0</v>
      </c>
      <c r="L46" s="77">
        <v>0</v>
      </c>
      <c r="M46" s="140">
        <v>0</v>
      </c>
      <c r="N46" s="141">
        <v>0</v>
      </c>
      <c r="Q46" s="116" t="s">
        <v>209</v>
      </c>
      <c r="R46" s="97">
        <f t="shared" si="0"/>
        <v>0</v>
      </c>
      <c r="S46" s="97">
        <f>'r1'!AB48</f>
        <v>0</v>
      </c>
      <c r="T46" s="97">
        <f>'r1'!AC48</f>
        <v>0</v>
      </c>
      <c r="U46" s="97">
        <f>'r1'!AD48</f>
        <v>0</v>
      </c>
      <c r="V46" s="97"/>
      <c r="W46" s="129">
        <f t="shared" si="1"/>
        <v>0</v>
      </c>
      <c r="X46" s="97">
        <f>'r1'!AA48</f>
        <v>0</v>
      </c>
      <c r="Y46" s="97"/>
      <c r="Z46" s="97"/>
      <c r="AA46" s="97"/>
      <c r="AB46" s="97"/>
    </row>
    <row r="47" spans="2:28" ht="18" customHeight="1">
      <c r="B47" s="81">
        <v>45</v>
      </c>
      <c r="C47" s="125" t="str">
        <v>Tabus</v>
      </c>
      <c r="D47" s="72">
        <v>0</v>
      </c>
      <c r="E47" s="73">
        <v>0</v>
      </c>
      <c r="F47" s="73">
        <v>0</v>
      </c>
      <c r="G47" s="73">
        <v>0</v>
      </c>
      <c r="H47" s="73">
        <v>0</v>
      </c>
      <c r="I47" s="80">
        <v>0</v>
      </c>
      <c r="J47" s="74">
        <v>0</v>
      </c>
      <c r="K47" s="74">
        <v>0</v>
      </c>
      <c r="L47" s="74">
        <v>0</v>
      </c>
      <c r="M47" s="75">
        <v>0</v>
      </c>
      <c r="N47" s="76">
        <v>0</v>
      </c>
      <c r="Q47" s="116" t="s">
        <v>210</v>
      </c>
      <c r="R47" s="97">
        <f t="shared" si="0"/>
        <v>0</v>
      </c>
      <c r="S47" s="97">
        <f>'r1'!AB49</f>
        <v>0</v>
      </c>
      <c r="T47" s="97">
        <f>'r1'!AC49</f>
        <v>0</v>
      </c>
      <c r="U47" s="97">
        <f>'r1'!AD49</f>
        <v>0</v>
      </c>
      <c r="V47" s="97"/>
      <c r="W47" s="129">
        <f t="shared" si="1"/>
        <v>0</v>
      </c>
      <c r="X47" s="97">
        <f>'r1'!AA49</f>
        <v>0</v>
      </c>
      <c r="Y47" s="97"/>
      <c r="Z47" s="97"/>
      <c r="AA47" s="97"/>
      <c r="AB47" s="97"/>
    </row>
    <row r="48" spans="2:28" ht="18" customHeight="1">
      <c r="B48" s="71">
        <v>46</v>
      </c>
      <c r="C48" s="126" t="str">
        <v>AniaS</v>
      </c>
      <c r="D48" s="139">
        <v>0</v>
      </c>
      <c r="E48" s="137">
        <v>0</v>
      </c>
      <c r="F48" s="137">
        <v>0</v>
      </c>
      <c r="G48" s="137">
        <v>0</v>
      </c>
      <c r="H48" s="137">
        <v>0</v>
      </c>
      <c r="I48" s="138">
        <v>0</v>
      </c>
      <c r="J48" s="77">
        <v>0</v>
      </c>
      <c r="K48" s="77">
        <v>0</v>
      </c>
      <c r="L48" s="77">
        <v>0</v>
      </c>
      <c r="M48" s="140">
        <v>0</v>
      </c>
      <c r="N48" s="141">
        <v>0</v>
      </c>
      <c r="Q48" s="116" t="s">
        <v>211</v>
      </c>
      <c r="R48" s="97">
        <f t="shared" si="0"/>
        <v>0</v>
      </c>
      <c r="S48" s="97">
        <f>'r1'!AB50</f>
        <v>0</v>
      </c>
      <c r="T48" s="97">
        <f>'r1'!AC50</f>
        <v>0</v>
      </c>
      <c r="U48" s="97">
        <f>'r1'!AD50</f>
        <v>0</v>
      </c>
      <c r="V48" s="97"/>
      <c r="W48" s="129">
        <f t="shared" si="1"/>
        <v>0</v>
      </c>
      <c r="X48" s="97">
        <f>'r1'!AA50</f>
        <v>0</v>
      </c>
      <c r="Y48" s="97"/>
      <c r="Z48" s="97"/>
      <c r="AA48" s="97"/>
      <c r="AB48" s="97"/>
    </row>
    <row r="49" spans="2:28" ht="18" customHeight="1">
      <c r="B49" s="81">
        <v>47</v>
      </c>
      <c r="C49" s="125" t="str">
        <v>Pimozid</v>
      </c>
      <c r="D49" s="72">
        <v>0</v>
      </c>
      <c r="E49" s="73">
        <v>0</v>
      </c>
      <c r="F49" s="73">
        <v>0</v>
      </c>
      <c r="G49" s="73">
        <v>0</v>
      </c>
      <c r="H49" s="73">
        <v>0</v>
      </c>
      <c r="I49" s="80">
        <v>0</v>
      </c>
      <c r="J49" s="74">
        <v>0</v>
      </c>
      <c r="K49" s="74">
        <v>0</v>
      </c>
      <c r="L49" s="74">
        <v>0</v>
      </c>
      <c r="M49" s="75">
        <v>0</v>
      </c>
      <c r="N49" s="76">
        <v>0</v>
      </c>
      <c r="Q49" s="116" t="s">
        <v>212</v>
      </c>
      <c r="R49" s="97">
        <f t="shared" ref="R49:R51" si="2">SUM(X49:AB49)</f>
        <v>0</v>
      </c>
      <c r="S49" s="97">
        <f>'r1'!AB51</f>
        <v>0</v>
      </c>
      <c r="T49" s="97">
        <f>'r1'!AC51</f>
        <v>0</v>
      </c>
      <c r="U49" s="97">
        <f>'r1'!AD51</f>
        <v>0</v>
      </c>
      <c r="V49" s="97"/>
      <c r="W49" s="129">
        <f t="shared" ref="W49:W51" si="3">SUM(S49:V49)/$N$1</f>
        <v>0</v>
      </c>
      <c r="X49" s="97">
        <f>'r1'!AA51</f>
        <v>0</v>
      </c>
      <c r="Y49" s="97"/>
      <c r="Z49" s="97"/>
      <c r="AA49" s="97"/>
      <c r="AB49" s="97"/>
    </row>
    <row r="50" spans="2:28" ht="18" customHeight="1">
      <c r="B50" s="71">
        <v>48</v>
      </c>
      <c r="C50" s="126" t="str">
        <v>KrzysztoWś</v>
      </c>
      <c r="D50" s="139">
        <v>0</v>
      </c>
      <c r="E50" s="137">
        <v>0</v>
      </c>
      <c r="F50" s="137">
        <v>0</v>
      </c>
      <c r="G50" s="137">
        <v>0</v>
      </c>
      <c r="H50" s="137">
        <v>0</v>
      </c>
      <c r="I50" s="138">
        <v>0</v>
      </c>
      <c r="J50" s="77">
        <v>0</v>
      </c>
      <c r="K50" s="77">
        <v>0</v>
      </c>
      <c r="L50" s="77">
        <v>0</v>
      </c>
      <c r="M50" s="140">
        <v>0</v>
      </c>
      <c r="N50" s="141">
        <v>0</v>
      </c>
      <c r="Q50" s="116" t="s">
        <v>213</v>
      </c>
      <c r="R50" s="97">
        <f t="shared" si="2"/>
        <v>0</v>
      </c>
      <c r="S50" s="97">
        <f>'r1'!AB52</f>
        <v>0</v>
      </c>
      <c r="T50" s="97">
        <f>'r1'!AC52</f>
        <v>0</v>
      </c>
      <c r="U50" s="97">
        <f>'r1'!AD52</f>
        <v>0</v>
      </c>
      <c r="V50" s="97"/>
      <c r="W50" s="129">
        <f t="shared" si="3"/>
        <v>0</v>
      </c>
      <c r="X50" s="97">
        <f>'r1'!AA52</f>
        <v>0</v>
      </c>
      <c r="Y50" s="97"/>
      <c r="Z50" s="97"/>
      <c r="AA50" s="97"/>
      <c r="AB50" s="97"/>
    </row>
    <row r="51" spans="2:28" ht="18" customHeight="1">
      <c r="B51" s="81">
        <v>49</v>
      </c>
      <c r="C51" s="125" t="str">
        <v>Ruslan</v>
      </c>
      <c r="D51" s="72">
        <v>0</v>
      </c>
      <c r="E51" s="73">
        <v>0</v>
      </c>
      <c r="F51" s="73">
        <v>0</v>
      </c>
      <c r="G51" s="73">
        <v>0</v>
      </c>
      <c r="H51" s="73">
        <v>0</v>
      </c>
      <c r="I51" s="80">
        <v>0</v>
      </c>
      <c r="J51" s="74">
        <v>0</v>
      </c>
      <c r="K51" s="74">
        <v>0</v>
      </c>
      <c r="L51" s="74">
        <v>0</v>
      </c>
      <c r="M51" s="75">
        <v>0</v>
      </c>
      <c r="N51" s="76">
        <v>0</v>
      </c>
      <c r="Q51" s="116" t="s">
        <v>214</v>
      </c>
      <c r="R51" s="97">
        <f t="shared" si="2"/>
        <v>0</v>
      </c>
      <c r="S51" s="97">
        <f>'r1'!AB53</f>
        <v>0</v>
      </c>
      <c r="T51" s="97">
        <f>'r1'!AC53</f>
        <v>0</v>
      </c>
      <c r="U51" s="97">
        <f>'r1'!AD53</f>
        <v>0</v>
      </c>
      <c r="V51" s="97"/>
      <c r="W51" s="129">
        <f t="shared" si="3"/>
        <v>0</v>
      </c>
      <c r="X51" s="97">
        <f>'r1'!AA53</f>
        <v>0</v>
      </c>
      <c r="Y51" s="97"/>
      <c r="Z51" s="97"/>
      <c r="AA51" s="97"/>
      <c r="AB51" s="97"/>
    </row>
    <row r="52" spans="2:28" ht="18" customHeight="1">
      <c r="B52" s="71">
        <v>50</v>
      </c>
      <c r="C52" s="126" t="str">
        <v>PiotreK</v>
      </c>
      <c r="D52" s="139">
        <v>0</v>
      </c>
      <c r="E52" s="137">
        <v>0</v>
      </c>
      <c r="F52" s="137">
        <v>0</v>
      </c>
      <c r="G52" s="137">
        <v>0</v>
      </c>
      <c r="H52" s="137">
        <v>0</v>
      </c>
      <c r="I52" s="138">
        <v>0</v>
      </c>
      <c r="J52" s="77">
        <v>0</v>
      </c>
      <c r="K52" s="77">
        <v>0</v>
      </c>
      <c r="L52" s="77">
        <v>0</v>
      </c>
      <c r="M52" s="140">
        <v>0</v>
      </c>
      <c r="N52" s="141">
        <v>0</v>
      </c>
      <c r="Q52" s="116" t="s">
        <v>215</v>
      </c>
      <c r="R52" s="97">
        <f t="shared" ref="R52:R58" si="4">SUM(X52:AB52)</f>
        <v>0</v>
      </c>
      <c r="S52" s="97">
        <f>'r1'!AB54</f>
        <v>0</v>
      </c>
      <c r="T52" s="97">
        <f>'r1'!AC54</f>
        <v>0</v>
      </c>
      <c r="U52" s="97">
        <f>'r1'!AD54</f>
        <v>0</v>
      </c>
      <c r="V52" s="97"/>
      <c r="W52" s="129">
        <f t="shared" ref="W52:W58" si="5">SUM(S52:V52)/$N$1</f>
        <v>0</v>
      </c>
      <c r="X52" s="97">
        <f>'r1'!AA54</f>
        <v>0</v>
      </c>
      <c r="Y52" s="97"/>
      <c r="Z52" s="97"/>
      <c r="AA52" s="97"/>
      <c r="AB52" s="97"/>
    </row>
    <row r="53" spans="2:28" ht="18" customHeight="1">
      <c r="B53" s="81">
        <v>51</v>
      </c>
      <c r="C53" s="125" t="str">
        <v>KaBed</v>
      </c>
      <c r="D53" s="72">
        <v>0</v>
      </c>
      <c r="E53" s="73">
        <v>0</v>
      </c>
      <c r="F53" s="73">
        <v>0</v>
      </c>
      <c r="G53" s="73">
        <v>0</v>
      </c>
      <c r="H53" s="73">
        <v>0</v>
      </c>
      <c r="I53" s="80">
        <v>0</v>
      </c>
      <c r="J53" s="74">
        <v>0</v>
      </c>
      <c r="K53" s="74">
        <v>0</v>
      </c>
      <c r="L53" s="74">
        <v>0</v>
      </c>
      <c r="M53" s="75">
        <v>0</v>
      </c>
      <c r="N53" s="76">
        <v>0</v>
      </c>
      <c r="Q53" s="116" t="s">
        <v>216</v>
      </c>
      <c r="R53" s="97">
        <f t="shared" si="4"/>
        <v>0</v>
      </c>
      <c r="S53" s="97">
        <f>'r1'!AB55</f>
        <v>0</v>
      </c>
      <c r="T53" s="97">
        <f>'r1'!AC55</f>
        <v>0</v>
      </c>
      <c r="U53" s="97">
        <f>'r1'!AD55</f>
        <v>0</v>
      </c>
      <c r="V53" s="97"/>
      <c r="W53" s="129">
        <f t="shared" si="5"/>
        <v>0</v>
      </c>
      <c r="X53" s="97">
        <f>'r1'!AA55</f>
        <v>0</v>
      </c>
      <c r="Y53" s="97"/>
      <c r="Z53" s="97"/>
      <c r="AA53" s="97"/>
      <c r="AB53" s="97"/>
    </row>
    <row r="54" spans="2:28" ht="18" customHeight="1">
      <c r="B54" s="71">
        <v>52</v>
      </c>
      <c r="C54" s="126" t="str">
        <v>Mirella</v>
      </c>
      <c r="D54" s="139">
        <v>0</v>
      </c>
      <c r="E54" s="137">
        <v>0</v>
      </c>
      <c r="F54" s="137">
        <v>0</v>
      </c>
      <c r="G54" s="137">
        <v>0</v>
      </c>
      <c r="H54" s="137">
        <v>0</v>
      </c>
      <c r="I54" s="138">
        <v>0</v>
      </c>
      <c r="J54" s="77">
        <v>0</v>
      </c>
      <c r="K54" s="77">
        <v>0</v>
      </c>
      <c r="L54" s="77">
        <v>0</v>
      </c>
      <c r="M54" s="140">
        <v>0</v>
      </c>
      <c r="N54" s="141">
        <v>0</v>
      </c>
      <c r="Q54" s="116" t="s">
        <v>217</v>
      </c>
      <c r="R54" s="97">
        <f t="shared" si="4"/>
        <v>0</v>
      </c>
      <c r="S54" s="97">
        <f>'r1'!AB56</f>
        <v>0</v>
      </c>
      <c r="T54" s="97">
        <f>'r1'!AC56</f>
        <v>0</v>
      </c>
      <c r="U54" s="97">
        <f>'r1'!AD56</f>
        <v>0</v>
      </c>
      <c r="V54" s="97"/>
      <c r="W54" s="129">
        <f t="shared" si="5"/>
        <v>0</v>
      </c>
      <c r="X54" s="97">
        <f>'r1'!AA56</f>
        <v>0</v>
      </c>
      <c r="Y54" s="97"/>
      <c r="Z54" s="97"/>
      <c r="AA54" s="97"/>
      <c r="AB54" s="97"/>
    </row>
    <row r="55" spans="2:28" ht="18" customHeight="1">
      <c r="B55" s="81">
        <v>53</v>
      </c>
      <c r="C55" s="125" t="str">
        <v>Maria</v>
      </c>
      <c r="D55" s="72">
        <v>0</v>
      </c>
      <c r="E55" s="73">
        <v>0</v>
      </c>
      <c r="F55" s="73">
        <v>0</v>
      </c>
      <c r="G55" s="73">
        <v>0</v>
      </c>
      <c r="H55" s="73">
        <v>0</v>
      </c>
      <c r="I55" s="80">
        <v>0</v>
      </c>
      <c r="J55" s="74">
        <v>0</v>
      </c>
      <c r="K55" s="74">
        <v>0</v>
      </c>
      <c r="L55" s="74">
        <v>0</v>
      </c>
      <c r="M55" s="75">
        <v>0</v>
      </c>
      <c r="N55" s="76">
        <v>0</v>
      </c>
      <c r="Q55" s="116" t="s">
        <v>218</v>
      </c>
      <c r="R55" s="97">
        <f t="shared" si="4"/>
        <v>0</v>
      </c>
      <c r="S55" s="97">
        <f>'r1'!AB57</f>
        <v>0</v>
      </c>
      <c r="T55" s="97">
        <f>'r1'!AC57</f>
        <v>0</v>
      </c>
      <c r="U55" s="97">
        <f>'r1'!AD57</f>
        <v>0</v>
      </c>
      <c r="V55" s="97"/>
      <c r="W55" s="129">
        <f t="shared" si="5"/>
        <v>0</v>
      </c>
      <c r="X55" s="97">
        <f>'r1'!AA57</f>
        <v>0</v>
      </c>
      <c r="Y55" s="97"/>
      <c r="Z55" s="97"/>
      <c r="AA55" s="97"/>
      <c r="AB55" s="97"/>
    </row>
    <row r="56" spans="2:28" ht="18" customHeight="1">
      <c r="B56" s="71">
        <v>54</v>
      </c>
      <c r="C56" s="126" t="str">
        <v>Sławek</v>
      </c>
      <c r="D56" s="139">
        <v>0</v>
      </c>
      <c r="E56" s="137">
        <v>0</v>
      </c>
      <c r="F56" s="137">
        <v>0</v>
      </c>
      <c r="G56" s="137">
        <v>0</v>
      </c>
      <c r="H56" s="137">
        <v>0</v>
      </c>
      <c r="I56" s="138">
        <v>0</v>
      </c>
      <c r="J56" s="77">
        <v>0</v>
      </c>
      <c r="K56" s="77">
        <v>0</v>
      </c>
      <c r="L56" s="77">
        <v>0</v>
      </c>
      <c r="M56" s="140">
        <v>0</v>
      </c>
      <c r="N56" s="141">
        <v>0</v>
      </c>
      <c r="Q56" s="116" t="s">
        <v>219</v>
      </c>
      <c r="R56" s="97">
        <f t="shared" si="4"/>
        <v>0</v>
      </c>
      <c r="S56" s="97">
        <f>'r1'!AB58</f>
        <v>0</v>
      </c>
      <c r="T56" s="97">
        <f>'r1'!AC58</f>
        <v>0</v>
      </c>
      <c r="U56" s="97">
        <f>'r1'!AD58</f>
        <v>0</v>
      </c>
      <c r="V56" s="97"/>
      <c r="W56" s="129">
        <f t="shared" si="5"/>
        <v>0</v>
      </c>
      <c r="X56" s="97">
        <f>'r1'!AA58</f>
        <v>0</v>
      </c>
      <c r="Y56" s="97"/>
      <c r="Z56" s="97"/>
      <c r="AA56" s="97"/>
      <c r="AB56" s="97"/>
    </row>
    <row r="57" spans="2:28" ht="18" customHeight="1">
      <c r="B57" s="81">
        <v>55</v>
      </c>
      <c r="C57" s="125" t="str">
        <v>PawełSt</v>
      </c>
      <c r="D57" s="72">
        <v>0</v>
      </c>
      <c r="E57" s="73">
        <v>0</v>
      </c>
      <c r="F57" s="73">
        <v>0</v>
      </c>
      <c r="G57" s="73">
        <v>0</v>
      </c>
      <c r="H57" s="73">
        <v>0</v>
      </c>
      <c r="I57" s="80">
        <v>0</v>
      </c>
      <c r="J57" s="74">
        <v>0</v>
      </c>
      <c r="K57" s="74">
        <v>0</v>
      </c>
      <c r="L57" s="74">
        <v>0</v>
      </c>
      <c r="M57" s="75">
        <v>0</v>
      </c>
      <c r="N57" s="76">
        <v>0</v>
      </c>
      <c r="Q57" s="116" t="s">
        <v>220</v>
      </c>
      <c r="R57" s="97">
        <f t="shared" si="4"/>
        <v>0</v>
      </c>
      <c r="S57" s="97">
        <f>'r1'!AB59</f>
        <v>0</v>
      </c>
      <c r="T57" s="97">
        <f>'r1'!AC59</f>
        <v>0</v>
      </c>
      <c r="U57" s="97">
        <f>'r1'!AD59</f>
        <v>0</v>
      </c>
      <c r="V57" s="97"/>
      <c r="W57" s="129">
        <f t="shared" si="5"/>
        <v>0</v>
      </c>
      <c r="X57" s="97">
        <f>'r1'!AA59</f>
        <v>0</v>
      </c>
      <c r="Y57" s="97"/>
      <c r="Z57" s="97"/>
      <c r="AA57" s="97"/>
      <c r="AB57" s="97"/>
    </row>
    <row r="58" spans="2:28" ht="18" customHeight="1">
      <c r="B58" s="71">
        <v>56</v>
      </c>
      <c r="C58" s="126" t="str">
        <v>KrzysztofeR</v>
      </c>
      <c r="D58" s="139">
        <v>0</v>
      </c>
      <c r="E58" s="137">
        <v>0</v>
      </c>
      <c r="F58" s="137">
        <v>0</v>
      </c>
      <c r="G58" s="137">
        <v>0</v>
      </c>
      <c r="H58" s="137">
        <v>0</v>
      </c>
      <c r="I58" s="138">
        <v>0</v>
      </c>
      <c r="J58" s="77">
        <v>0</v>
      </c>
      <c r="K58" s="77">
        <v>0</v>
      </c>
      <c r="L58" s="77">
        <v>0</v>
      </c>
      <c r="M58" s="140">
        <v>0</v>
      </c>
      <c r="N58" s="141">
        <v>0</v>
      </c>
      <c r="Q58" s="116" t="s">
        <v>221</v>
      </c>
      <c r="R58" s="97">
        <f t="shared" si="4"/>
        <v>0</v>
      </c>
      <c r="S58" s="97">
        <f>'r1'!AB60</f>
        <v>0</v>
      </c>
      <c r="T58" s="97">
        <f>'r1'!AC60</f>
        <v>0</v>
      </c>
      <c r="U58" s="97">
        <f>'r1'!AD60</f>
        <v>0</v>
      </c>
      <c r="V58" s="97"/>
      <c r="W58" s="129">
        <f t="shared" si="5"/>
        <v>0</v>
      </c>
      <c r="X58" s="97">
        <f>'r1'!AA60</f>
        <v>0</v>
      </c>
      <c r="Y58" s="97"/>
      <c r="Z58" s="97"/>
      <c r="AA58" s="97"/>
      <c r="AB58" s="97"/>
    </row>
    <row r="61" spans="2:28" ht="18" customHeight="1">
      <c r="J61" s="21">
        <f>MAX(J3:J58)</f>
        <v>0</v>
      </c>
      <c r="K61" s="21" t="s">
        <v>169</v>
      </c>
      <c r="L61" s="21" t="s">
        <v>169</v>
      </c>
      <c r="M61" s="21"/>
      <c r="N61" s="21" t="s">
        <v>169</v>
      </c>
    </row>
  </sheetData>
  <mergeCells count="1">
    <mergeCell ref="B1:M1"/>
  </mergeCells>
  <conditionalFormatting sqref="J3:J58">
    <cfRule type="cellIs" dxfId="4" priority="23" operator="equal">
      <formula>$J$61</formula>
    </cfRule>
  </conditionalFormatting>
  <conditionalFormatting sqref="K3:K58">
    <cfRule type="cellIs" dxfId="3" priority="24" operator="equal">
      <formula>$K$61</formula>
    </cfRule>
  </conditionalFormatting>
  <conditionalFormatting sqref="L3:L58">
    <cfRule type="cellIs" dxfId="2" priority="25" operator="equal">
      <formula>$L$61</formula>
    </cfRule>
  </conditionalFormatting>
  <conditionalFormatting sqref="N3:N58">
    <cfRule type="cellIs" dxfId="1" priority="26" operator="equal">
      <formula>$N$61</formula>
    </cfRule>
  </conditionalFormatting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10ED-CEE9-4B4C-9665-02DA61CB4D57}">
  <dimension ref="B1:AE61"/>
  <sheetViews>
    <sheetView showGridLines="0" zoomScale="80" zoomScaleNormal="80" zoomScaleSheetLayoutView="80" workbookViewId="0">
      <selection activeCell="D5" sqref="D5"/>
    </sheetView>
  </sheetViews>
  <sheetFormatPr defaultColWidth="9.140625" defaultRowHeight="15"/>
  <cols>
    <col min="1" max="1" width="1.42578125" style="42" customWidth="1"/>
    <col min="2" max="2" width="14.7109375" style="112" bestFit="1" customWidth="1"/>
    <col min="3" max="7" width="9.7109375" style="44" customWidth="1"/>
    <col min="8" max="8" width="10.42578125" style="44" customWidth="1"/>
    <col min="9" max="10" width="9.7109375" style="44" customWidth="1"/>
    <col min="11" max="11" width="10.5703125" style="44" customWidth="1"/>
    <col min="12" max="12" width="9.7109375" style="44" customWidth="1"/>
    <col min="13" max="13" width="11.140625" style="44" customWidth="1"/>
    <col min="14" max="17" width="9.7109375" style="44" customWidth="1"/>
    <col min="18" max="20" width="9.7109375" style="42" customWidth="1"/>
    <col min="21" max="21" width="10.5703125" style="42" customWidth="1"/>
    <col min="22" max="22" width="9.7109375" style="42" customWidth="1"/>
    <col min="23" max="23" width="10.7109375" style="42" customWidth="1"/>
    <col min="24" max="24" width="10.5703125" style="42" customWidth="1"/>
    <col min="25" max="26" width="9.7109375" style="42" customWidth="1"/>
    <col min="27" max="16384" width="9.140625" style="42"/>
  </cols>
  <sheetData>
    <row r="1" spans="2:31" ht="6.75" customHeight="1">
      <c r="B1" s="102"/>
    </row>
    <row r="2" spans="2:31" ht="18" customHeight="1">
      <c r="B2" s="147" t="s">
        <v>57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49"/>
      <c r="AB2" s="49"/>
      <c r="AC2" s="49"/>
      <c r="AD2" s="49"/>
      <c r="AE2" s="34">
        <v>1</v>
      </c>
    </row>
    <row r="3" spans="2:31" ht="18" customHeight="1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49"/>
      <c r="AB3" s="49"/>
      <c r="AC3" s="49"/>
      <c r="AD3" s="49"/>
    </row>
    <row r="4" spans="2:31" ht="18" customHeight="1">
      <c r="B4" s="103"/>
      <c r="C4" s="50" t="s">
        <v>114</v>
      </c>
      <c r="D4" s="50" t="s">
        <v>92</v>
      </c>
      <c r="E4" s="50" t="s">
        <v>115</v>
      </c>
      <c r="F4" s="50" t="s">
        <v>93</v>
      </c>
      <c r="G4" s="50" t="s">
        <v>94</v>
      </c>
      <c r="H4" s="50" t="s">
        <v>95</v>
      </c>
      <c r="I4" s="50" t="s">
        <v>96</v>
      </c>
      <c r="J4" s="50" t="s">
        <v>97</v>
      </c>
      <c r="K4" s="50" t="s">
        <v>98</v>
      </c>
      <c r="L4" s="50" t="s">
        <v>99</v>
      </c>
      <c r="M4" s="50" t="s">
        <v>100</v>
      </c>
      <c r="N4" s="50" t="s">
        <v>101</v>
      </c>
      <c r="O4" s="50" t="s">
        <v>102</v>
      </c>
      <c r="P4" s="50" t="s">
        <v>103</v>
      </c>
      <c r="Q4" s="50" t="s">
        <v>104</v>
      </c>
      <c r="R4" s="50" t="s">
        <v>105</v>
      </c>
      <c r="S4" s="50" t="s">
        <v>106</v>
      </c>
      <c r="T4" s="50" t="s">
        <v>107</v>
      </c>
      <c r="U4" s="50" t="s">
        <v>108</v>
      </c>
      <c r="V4" s="50" t="s">
        <v>109</v>
      </c>
      <c r="W4" s="50" t="s">
        <v>110</v>
      </c>
      <c r="X4" s="50" t="s">
        <v>111</v>
      </c>
      <c r="Y4" s="50" t="s">
        <v>112</v>
      </c>
      <c r="Z4" s="50" t="s">
        <v>113</v>
      </c>
      <c r="AA4" s="123" t="s">
        <v>0</v>
      </c>
      <c r="AB4" s="78" t="s">
        <v>155</v>
      </c>
      <c r="AC4" s="78" t="s">
        <v>156</v>
      </c>
      <c r="AD4" s="78" t="s">
        <v>157</v>
      </c>
      <c r="AE4" s="124" t="s">
        <v>154</v>
      </c>
    </row>
    <row r="5" spans="2:31">
      <c r="B5" s="104" t="s">
        <v>32</v>
      </c>
      <c r="C5" s="46" t="str">
        <f>'grup-1'!H6</f>
        <v/>
      </c>
      <c r="D5" s="46" t="str">
        <f>'grup-1'!H37</f>
        <v/>
      </c>
      <c r="E5" s="46" t="str">
        <f>'grup-1'!H68</f>
        <v/>
      </c>
      <c r="F5" s="46" t="str">
        <f>'grup-1'!H99</f>
        <v/>
      </c>
      <c r="G5" s="46" t="str">
        <f>'grup-1'!H130</f>
        <v/>
      </c>
      <c r="H5" s="46" t="str">
        <f>'grup-1'!H161</f>
        <v/>
      </c>
      <c r="I5" s="46" t="str">
        <f>'grup-1'!H192</f>
        <v/>
      </c>
      <c r="J5" s="46" t="str">
        <f>'grup-1'!H223</f>
        <v/>
      </c>
      <c r="K5" s="46" t="str">
        <f>'grup-1'!H254</f>
        <v/>
      </c>
      <c r="L5" s="46" t="str">
        <f>'grup-1'!H285</f>
        <v/>
      </c>
      <c r="M5" s="46" t="str">
        <f>'grup-1'!H316</f>
        <v/>
      </c>
      <c r="N5" s="46" t="str">
        <f>'grup-1'!H347</f>
        <v/>
      </c>
      <c r="O5" s="46" t="str">
        <f>'grup-1'!H379</f>
        <v/>
      </c>
      <c r="P5" s="46" t="str">
        <f>'grup-1'!H410</f>
        <v/>
      </c>
      <c r="Q5" s="46" t="str">
        <f>'grup-1'!H441</f>
        <v/>
      </c>
      <c r="R5" s="46" t="str">
        <f>'grup-1'!H472</f>
        <v/>
      </c>
      <c r="S5" s="46" t="str">
        <f>'grup-1'!H503</f>
        <v/>
      </c>
      <c r="T5" s="46" t="str">
        <f>'grup-1'!H534</f>
        <v/>
      </c>
      <c r="U5" s="46" t="str">
        <f>'grup-1'!H565</f>
        <v/>
      </c>
      <c r="V5" s="46" t="str">
        <f>'grup-1'!H596</f>
        <v/>
      </c>
      <c r="W5" s="46" t="str">
        <f>'grup-1'!H627</f>
        <v/>
      </c>
      <c r="X5" s="46" t="str">
        <f>'grup-1'!H658</f>
        <v/>
      </c>
      <c r="Y5" s="46" t="str">
        <f>'grup-1'!H689</f>
        <v/>
      </c>
      <c r="Z5" s="46" t="str">
        <f>'grup-1'!H720</f>
        <v/>
      </c>
      <c r="AA5" s="45">
        <f>AB5*3+AC5*4+AD5*5</f>
        <v>0</v>
      </c>
      <c r="AB5" s="47">
        <f t="shared" ref="AB5" si="0">COUNTIF(C5:Z5,3)</f>
        <v>0</v>
      </c>
      <c r="AC5" s="47">
        <f t="shared" ref="AC5" si="1">COUNTIF(C5:Z5,4)</f>
        <v>0</v>
      </c>
      <c r="AD5" s="47">
        <f t="shared" ref="AD5" si="2">COUNTIF(C5:Z5,5)</f>
        <v>0</v>
      </c>
      <c r="AE5" s="122" t="e" cm="1">
        <f t="array" ref="AE5">_xlfn.LET(_xlpm.z,C5:Z5,_xlpm.o,MATCH(2,1/(_xlpm.z&lt;&gt;"")),_xlpm.p,MAX(1,_xlpm.o-4),SUM(INDEX(_xlpm.z,_xlpm.p):INDEX(_xlpm.z,_xlpm.o)))</f>
        <v>#N/A</v>
      </c>
    </row>
    <row r="6" spans="2:31">
      <c r="B6" s="104" t="s">
        <v>170</v>
      </c>
      <c r="C6" s="48" t="str">
        <f>'grup-1'!H7</f>
        <v/>
      </c>
      <c r="D6" s="48" t="str">
        <f>'grup-1'!H38</f>
        <v/>
      </c>
      <c r="E6" s="48" t="str">
        <f>'grup-1'!H69</f>
        <v/>
      </c>
      <c r="F6" s="48" t="str">
        <f>'grup-1'!H100</f>
        <v/>
      </c>
      <c r="G6" s="48" t="str">
        <f>'grup-1'!H131</f>
        <v/>
      </c>
      <c r="H6" s="48" t="str">
        <f>'grup-1'!H162</f>
        <v/>
      </c>
      <c r="I6" s="48" t="str">
        <f>'grup-1'!H193</f>
        <v/>
      </c>
      <c r="J6" s="48" t="str">
        <f>'grup-1'!H224</f>
        <v/>
      </c>
      <c r="K6" s="48" t="str">
        <f>'grup-1'!H255</f>
        <v/>
      </c>
      <c r="L6" s="48" t="str">
        <f>'grup-1'!H286</f>
        <v/>
      </c>
      <c r="M6" s="48" t="str">
        <f>'grup-1'!H317</f>
        <v/>
      </c>
      <c r="N6" s="48" t="str">
        <f>'grup-1'!H348</f>
        <v/>
      </c>
      <c r="O6" s="48" t="str">
        <f>'grup-1'!H380</f>
        <v/>
      </c>
      <c r="P6" s="48" t="str">
        <f>'grup-1'!H411</f>
        <v/>
      </c>
      <c r="Q6" s="48" t="str">
        <f>'grup-1'!H442</f>
        <v/>
      </c>
      <c r="R6" s="48" t="str">
        <f>'grup-1'!H473</f>
        <v/>
      </c>
      <c r="S6" s="48" t="str">
        <f>'grup-1'!H504</f>
        <v/>
      </c>
      <c r="T6" s="48" t="str">
        <f>'grup-1'!H535</f>
        <v/>
      </c>
      <c r="U6" s="48" t="str">
        <f>'grup-1'!H566</f>
        <v/>
      </c>
      <c r="V6" s="48" t="str">
        <f>'grup-1'!H597</f>
        <v/>
      </c>
      <c r="W6" s="48" t="str">
        <f>'grup-1'!H628</f>
        <v/>
      </c>
      <c r="X6" s="48" t="str">
        <f>'grup-1'!H659</f>
        <v/>
      </c>
      <c r="Y6" s="48" t="str">
        <f>'grup-1'!H690</f>
        <v/>
      </c>
      <c r="Z6" s="48" t="str">
        <f>'grup-1'!H721</f>
        <v/>
      </c>
      <c r="AA6" s="45">
        <f t="shared" ref="AA6:AA10" si="3">AB6*3+AC6*4+AD6*5</f>
        <v>0</v>
      </c>
      <c r="AB6" s="47">
        <f t="shared" ref="AB6:AB10" si="4">COUNTIF(C6:Z6,3)</f>
        <v>0</v>
      </c>
      <c r="AC6" s="47">
        <f t="shared" ref="AC6:AC10" si="5">COUNTIF(C6:Z6,4)</f>
        <v>0</v>
      </c>
      <c r="AD6" s="47">
        <f t="shared" ref="AD6:AD10" si="6">COUNTIF(C6:Z6,5)</f>
        <v>0</v>
      </c>
      <c r="AE6" s="122" t="e" cm="1">
        <f t="array" ref="AE6">_xlfn.LET(_xlpm.z,C6:Z6,_xlpm.o,MATCH(2,1/(_xlpm.z&lt;&gt;"")),_xlpm.p,MAX(1,_xlpm.o-4),SUM(INDEX(_xlpm.z,_xlpm.p):INDEX(_xlpm.z,_xlpm.o)))</f>
        <v>#N/A</v>
      </c>
    </row>
    <row r="7" spans="2:31">
      <c r="B7" s="104" t="s">
        <v>171</v>
      </c>
      <c r="C7" s="46" t="str">
        <f>'grup-1'!H8</f>
        <v/>
      </c>
      <c r="D7" s="46" t="str">
        <f>'grup-1'!H39</f>
        <v/>
      </c>
      <c r="E7" s="46" t="str">
        <f>'grup-1'!H70</f>
        <v/>
      </c>
      <c r="F7" s="46" t="str">
        <f>'grup-1'!H101</f>
        <v/>
      </c>
      <c r="G7" s="46" t="str">
        <f>'grup-1'!H132</f>
        <v/>
      </c>
      <c r="H7" s="46" t="str">
        <f>'grup-1'!H163</f>
        <v/>
      </c>
      <c r="I7" s="46" t="str">
        <f>'grup-1'!H194</f>
        <v/>
      </c>
      <c r="J7" s="46" t="str">
        <f>'grup-1'!H225</f>
        <v/>
      </c>
      <c r="K7" s="46" t="str">
        <f>'grup-1'!H256</f>
        <v/>
      </c>
      <c r="L7" s="46" t="str">
        <f>'grup-1'!H287</f>
        <v/>
      </c>
      <c r="M7" s="46" t="str">
        <f>'grup-1'!H318</f>
        <v/>
      </c>
      <c r="N7" s="46" t="str">
        <f>'grup-1'!H349</f>
        <v/>
      </c>
      <c r="O7" s="46" t="str">
        <f>'grup-1'!H381</f>
        <v/>
      </c>
      <c r="P7" s="46" t="str">
        <f>'grup-1'!H412</f>
        <v/>
      </c>
      <c r="Q7" s="46" t="str">
        <f>'grup-1'!H443</f>
        <v/>
      </c>
      <c r="R7" s="46" t="str">
        <f>'grup-1'!H474</f>
        <v/>
      </c>
      <c r="S7" s="46" t="str">
        <f>'grup-1'!H505</f>
        <v/>
      </c>
      <c r="T7" s="46" t="str">
        <f>'grup-1'!H536</f>
        <v/>
      </c>
      <c r="U7" s="46" t="str">
        <f>'grup-1'!H567</f>
        <v/>
      </c>
      <c r="V7" s="46" t="str">
        <f>'grup-1'!H598</f>
        <v/>
      </c>
      <c r="W7" s="46" t="str">
        <f>'grup-1'!H629</f>
        <v/>
      </c>
      <c r="X7" s="46" t="str">
        <f>'grup-1'!H660</f>
        <v/>
      </c>
      <c r="Y7" s="46" t="str">
        <f>'grup-1'!H691</f>
        <v/>
      </c>
      <c r="Z7" s="46" t="str">
        <f>'grup-1'!H722</f>
        <v/>
      </c>
      <c r="AA7" s="45">
        <f t="shared" si="3"/>
        <v>0</v>
      </c>
      <c r="AB7" s="47">
        <f t="shared" si="4"/>
        <v>0</v>
      </c>
      <c r="AC7" s="47">
        <f t="shared" si="5"/>
        <v>0</v>
      </c>
      <c r="AD7" s="47">
        <f t="shared" si="6"/>
        <v>0</v>
      </c>
      <c r="AE7" s="122" t="e" cm="1">
        <f t="array" ref="AE7">_xlfn.LET(_xlpm.z,C7:Z7,_xlpm.o,MATCH(2,1/(_xlpm.z&lt;&gt;"")),_xlpm.p,MAX(1,_xlpm.o-4),SUM(INDEX(_xlpm.z,_xlpm.p):INDEX(_xlpm.z,_xlpm.o)))</f>
        <v>#N/A</v>
      </c>
    </row>
    <row r="8" spans="2:31">
      <c r="B8" s="104" t="s">
        <v>172</v>
      </c>
      <c r="C8" s="48" t="str">
        <f>'grup-1'!H9</f>
        <v/>
      </c>
      <c r="D8" s="48" t="str">
        <f>'grup-1'!H40</f>
        <v/>
      </c>
      <c r="E8" s="48" t="str">
        <f>'grup-1'!H71</f>
        <v/>
      </c>
      <c r="F8" s="48" t="str">
        <f>'grup-1'!H102</f>
        <v/>
      </c>
      <c r="G8" s="48" t="str">
        <f>'grup-1'!H133</f>
        <v/>
      </c>
      <c r="H8" s="48" t="str">
        <f>'grup-1'!H164</f>
        <v/>
      </c>
      <c r="I8" s="48" t="str">
        <f>'grup-1'!H195</f>
        <v/>
      </c>
      <c r="J8" s="48" t="str">
        <f>'grup-1'!H226</f>
        <v/>
      </c>
      <c r="K8" s="48" t="str">
        <f>'grup-1'!H257</f>
        <v/>
      </c>
      <c r="L8" s="48" t="str">
        <f>'grup-1'!H288</f>
        <v/>
      </c>
      <c r="M8" s="48" t="str">
        <f>'grup-1'!H319</f>
        <v/>
      </c>
      <c r="N8" s="48" t="str">
        <f>'grup-1'!H350</f>
        <v/>
      </c>
      <c r="O8" s="48" t="str">
        <f>'grup-1'!H382</f>
        <v/>
      </c>
      <c r="P8" s="48" t="str">
        <f>'grup-1'!H413</f>
        <v/>
      </c>
      <c r="Q8" s="48" t="str">
        <f>'grup-1'!H444</f>
        <v/>
      </c>
      <c r="R8" s="48" t="str">
        <f>'grup-1'!H475</f>
        <v/>
      </c>
      <c r="S8" s="48" t="str">
        <f>'grup-1'!H506</f>
        <v/>
      </c>
      <c r="T8" s="48" t="str">
        <f>'grup-1'!H537</f>
        <v/>
      </c>
      <c r="U8" s="48" t="str">
        <f>'grup-1'!H568</f>
        <v/>
      </c>
      <c r="V8" s="48" t="str">
        <f>'grup-1'!H599</f>
        <v/>
      </c>
      <c r="W8" s="48" t="str">
        <f>'grup-1'!H630</f>
        <v/>
      </c>
      <c r="X8" s="48" t="str">
        <f>'grup-1'!H661</f>
        <v/>
      </c>
      <c r="Y8" s="48" t="str">
        <f>'grup-1'!H692</f>
        <v/>
      </c>
      <c r="Z8" s="48" t="str">
        <f>'grup-1'!H723</f>
        <v/>
      </c>
      <c r="AA8" s="45">
        <f t="shared" si="3"/>
        <v>0</v>
      </c>
      <c r="AB8" s="47">
        <f t="shared" si="4"/>
        <v>0</v>
      </c>
      <c r="AC8" s="47">
        <f t="shared" si="5"/>
        <v>0</v>
      </c>
      <c r="AD8" s="47">
        <f t="shared" si="6"/>
        <v>0</v>
      </c>
      <c r="AE8" s="122" t="e" cm="1">
        <f t="array" ref="AE8">_xlfn.LET(_xlpm.z,C8:Z8,_xlpm.o,MATCH(2,1/(_xlpm.z&lt;&gt;"")),_xlpm.p,MAX(1,_xlpm.o-4),SUM(INDEX(_xlpm.z,_xlpm.p):INDEX(_xlpm.z,_xlpm.o)))</f>
        <v>#N/A</v>
      </c>
    </row>
    <row r="9" spans="2:31">
      <c r="B9" s="104" t="s">
        <v>173</v>
      </c>
      <c r="C9" s="46" t="str">
        <f>'grup-1'!H10</f>
        <v/>
      </c>
      <c r="D9" s="46" t="str">
        <f>'grup-1'!H41</f>
        <v/>
      </c>
      <c r="E9" s="46" t="str">
        <f>'grup-1'!H72</f>
        <v/>
      </c>
      <c r="F9" s="46" t="str">
        <f>'grup-1'!H103</f>
        <v/>
      </c>
      <c r="G9" s="46" t="str">
        <f>'grup-1'!H134</f>
        <v/>
      </c>
      <c r="H9" s="46" t="str">
        <f>'grup-1'!H165</f>
        <v/>
      </c>
      <c r="I9" s="46" t="str">
        <f>'grup-1'!H196</f>
        <v/>
      </c>
      <c r="J9" s="46" t="str">
        <f>'grup-1'!H227</f>
        <v/>
      </c>
      <c r="K9" s="46" t="str">
        <f>'grup-1'!H258</f>
        <v/>
      </c>
      <c r="L9" s="46" t="str">
        <f>'grup-1'!H289</f>
        <v/>
      </c>
      <c r="M9" s="46" t="str">
        <f>'grup-1'!H320</f>
        <v/>
      </c>
      <c r="N9" s="46" t="str">
        <f>'grup-1'!H351</f>
        <v/>
      </c>
      <c r="O9" s="46" t="str">
        <f>'grup-1'!H383</f>
        <v/>
      </c>
      <c r="P9" s="46" t="str">
        <f>'grup-1'!H414</f>
        <v/>
      </c>
      <c r="Q9" s="46" t="str">
        <f>'grup-1'!H445</f>
        <v/>
      </c>
      <c r="R9" s="46" t="str">
        <f>'grup-1'!H476</f>
        <v/>
      </c>
      <c r="S9" s="46" t="str">
        <f>'grup-1'!H507</f>
        <v/>
      </c>
      <c r="T9" s="46" t="str">
        <f>'grup-1'!H538</f>
        <v/>
      </c>
      <c r="U9" s="46" t="str">
        <f>'grup-1'!H569</f>
        <v/>
      </c>
      <c r="V9" s="46" t="str">
        <f>'grup-1'!H600</f>
        <v/>
      </c>
      <c r="W9" s="46" t="str">
        <f>'grup-1'!H631</f>
        <v/>
      </c>
      <c r="X9" s="46" t="str">
        <f>'grup-1'!H662</f>
        <v/>
      </c>
      <c r="Y9" s="46" t="str">
        <f>'grup-1'!H693</f>
        <v/>
      </c>
      <c r="Z9" s="46" t="str">
        <f>'grup-1'!H724</f>
        <v/>
      </c>
      <c r="AA9" s="45">
        <f t="shared" si="3"/>
        <v>0</v>
      </c>
      <c r="AB9" s="47">
        <f t="shared" si="4"/>
        <v>0</v>
      </c>
      <c r="AC9" s="47">
        <f t="shared" si="5"/>
        <v>0</v>
      </c>
      <c r="AD9" s="47">
        <f t="shared" si="6"/>
        <v>0</v>
      </c>
      <c r="AE9" s="122" t="e" cm="1">
        <f t="array" ref="AE9">_xlfn.LET(_xlpm.z,C9:Z9,_xlpm.o,MATCH(2,1/(_xlpm.z&lt;&gt;"")),_xlpm.p,MAX(1,_xlpm.o-4),SUM(INDEX(_xlpm.z,_xlpm.p):INDEX(_xlpm.z,_xlpm.o)))</f>
        <v>#N/A</v>
      </c>
    </row>
    <row r="10" spans="2:31">
      <c r="B10" s="104" t="s">
        <v>174</v>
      </c>
      <c r="C10" s="48" t="str">
        <f>'grup-1'!H11</f>
        <v/>
      </c>
      <c r="D10" s="48" t="str">
        <f>'grup-1'!H42</f>
        <v/>
      </c>
      <c r="E10" s="48" t="str">
        <f>'grup-1'!H73</f>
        <v/>
      </c>
      <c r="F10" s="48" t="str">
        <f>'grup-1'!H104</f>
        <v/>
      </c>
      <c r="G10" s="48" t="str">
        <f>'grup-1'!H135</f>
        <v/>
      </c>
      <c r="H10" s="48" t="str">
        <f>'grup-1'!H166</f>
        <v/>
      </c>
      <c r="I10" s="48" t="str">
        <f>'grup-1'!H197</f>
        <v/>
      </c>
      <c r="J10" s="48" t="str">
        <f>'grup-1'!H228</f>
        <v/>
      </c>
      <c r="K10" s="48" t="str">
        <f>'grup-1'!H259</f>
        <v/>
      </c>
      <c r="L10" s="48" t="str">
        <f>'grup-1'!H290</f>
        <v/>
      </c>
      <c r="M10" s="48" t="str">
        <f>'grup-1'!H321</f>
        <v/>
      </c>
      <c r="N10" s="48" t="str">
        <f>'grup-1'!H352</f>
        <v/>
      </c>
      <c r="O10" s="48" t="str">
        <f>'grup-1'!H384</f>
        <v/>
      </c>
      <c r="P10" s="48" t="str">
        <f>'grup-1'!H415</f>
        <v/>
      </c>
      <c r="Q10" s="48" t="str">
        <f>'grup-1'!H446</f>
        <v/>
      </c>
      <c r="R10" s="48" t="str">
        <f>'grup-1'!H477</f>
        <v/>
      </c>
      <c r="S10" s="48" t="str">
        <f>'grup-1'!H508</f>
        <v/>
      </c>
      <c r="T10" s="48" t="str">
        <f>'grup-1'!H539</f>
        <v/>
      </c>
      <c r="U10" s="48" t="str">
        <f>'grup-1'!H570</f>
        <v/>
      </c>
      <c r="V10" s="48" t="str">
        <f>'grup-1'!H601</f>
        <v/>
      </c>
      <c r="W10" s="48" t="str">
        <f>'grup-1'!H632</f>
        <v/>
      </c>
      <c r="X10" s="48" t="str">
        <f>'grup-1'!H663</f>
        <v/>
      </c>
      <c r="Y10" s="48" t="str">
        <f>'grup-1'!H694</f>
        <v/>
      </c>
      <c r="Z10" s="48" t="str">
        <f>'grup-1'!H725</f>
        <v/>
      </c>
      <c r="AA10" s="45">
        <f t="shared" si="3"/>
        <v>0</v>
      </c>
      <c r="AB10" s="47">
        <f t="shared" si="4"/>
        <v>0</v>
      </c>
      <c r="AC10" s="47">
        <f t="shared" si="5"/>
        <v>0</v>
      </c>
      <c r="AD10" s="47">
        <f t="shared" si="6"/>
        <v>0</v>
      </c>
      <c r="AE10" s="122" t="e" cm="1">
        <f t="array" ref="AE10">_xlfn.LET(_xlpm.z,C10:Z10,_xlpm.o,MATCH(2,1/(_xlpm.z&lt;&gt;"")),_xlpm.p,MAX(1,_xlpm.o-4),SUM(INDEX(_xlpm.z,_xlpm.p):INDEX(_xlpm.z,_xlpm.o)))</f>
        <v>#N/A</v>
      </c>
    </row>
    <row r="11" spans="2:31">
      <c r="B11" s="104" t="s">
        <v>175</v>
      </c>
      <c r="C11" s="46" t="str">
        <f>'grup-1'!H12</f>
        <v/>
      </c>
      <c r="D11" s="46" t="str">
        <f>'grup-1'!H43</f>
        <v/>
      </c>
      <c r="E11" s="46" t="str">
        <f>'grup-1'!H74</f>
        <v/>
      </c>
      <c r="F11" s="46" t="str">
        <f>'grup-1'!H105</f>
        <v/>
      </c>
      <c r="G11" s="46" t="str">
        <f>'grup-1'!H136</f>
        <v/>
      </c>
      <c r="H11" s="46" t="str">
        <f>'grup-1'!H167</f>
        <v/>
      </c>
      <c r="I11" s="46" t="str">
        <f>'grup-1'!H198</f>
        <v/>
      </c>
      <c r="J11" s="46" t="str">
        <f>'grup-1'!H229</f>
        <v/>
      </c>
      <c r="K11" s="46" t="str">
        <f>'grup-1'!H260</f>
        <v/>
      </c>
      <c r="L11" s="46" t="str">
        <f>'grup-1'!H291</f>
        <v/>
      </c>
      <c r="M11" s="46" t="str">
        <f>'grup-1'!H322</f>
        <v/>
      </c>
      <c r="N11" s="46" t="str">
        <f>'grup-1'!H353</f>
        <v/>
      </c>
      <c r="O11" s="46" t="str">
        <f>'grup-1'!H385</f>
        <v/>
      </c>
      <c r="P11" s="46" t="str">
        <f>'grup-1'!H416</f>
        <v/>
      </c>
      <c r="Q11" s="46" t="str">
        <f>'grup-1'!H447</f>
        <v/>
      </c>
      <c r="R11" s="46" t="str">
        <f>'grup-1'!H478</f>
        <v/>
      </c>
      <c r="S11" s="46" t="str">
        <f>'grup-1'!H509</f>
        <v/>
      </c>
      <c r="T11" s="46" t="str">
        <f>'grup-1'!H540</f>
        <v/>
      </c>
      <c r="U11" s="46" t="str">
        <f>'grup-1'!H571</f>
        <v/>
      </c>
      <c r="V11" s="46" t="str">
        <f>'grup-1'!H602</f>
        <v/>
      </c>
      <c r="W11" s="46" t="str">
        <f>'grup-1'!H633</f>
        <v/>
      </c>
      <c r="X11" s="46" t="str">
        <f>'grup-1'!H664</f>
        <v/>
      </c>
      <c r="Y11" s="46" t="str">
        <f>'grup-1'!H695</f>
        <v/>
      </c>
      <c r="Z11" s="46" t="str">
        <f>'grup-1'!H726</f>
        <v/>
      </c>
      <c r="AA11" s="45">
        <f t="shared" ref="AA11:AA60" si="7">AB11*3+AC11*4+AD11*5</f>
        <v>0</v>
      </c>
      <c r="AB11" s="47">
        <f t="shared" ref="AB11:AB60" si="8">COUNTIF(C11:Z11,3)</f>
        <v>0</v>
      </c>
      <c r="AC11" s="47">
        <f t="shared" ref="AC11:AC60" si="9">COUNTIF(C11:Z11,4)</f>
        <v>0</v>
      </c>
      <c r="AD11" s="47">
        <f t="shared" ref="AD11:AD60" si="10">COUNTIF(C11:Z11,5)</f>
        <v>0</v>
      </c>
      <c r="AE11" s="122" t="e" cm="1">
        <f t="array" ref="AE11">_xlfn.LET(_xlpm.z,C11:Z11,_xlpm.o,MATCH(2,1/(_xlpm.z&lt;&gt;"")),_xlpm.p,MAX(1,_xlpm.o-4),SUM(INDEX(_xlpm.z,_xlpm.p):INDEX(_xlpm.z,_xlpm.o)))</f>
        <v>#N/A</v>
      </c>
    </row>
    <row r="12" spans="2:31">
      <c r="B12" s="105" t="s">
        <v>33</v>
      </c>
      <c r="C12" s="48" t="str">
        <f>'grup-1'!H13</f>
        <v/>
      </c>
      <c r="D12" s="48" t="str">
        <f>'grup-1'!H44</f>
        <v/>
      </c>
      <c r="E12" s="48" t="str">
        <f>'grup-1'!H75</f>
        <v/>
      </c>
      <c r="F12" s="48" t="str">
        <f>'grup-1'!H106</f>
        <v/>
      </c>
      <c r="G12" s="48" t="str">
        <f>'grup-1'!H137</f>
        <v/>
      </c>
      <c r="H12" s="48" t="str">
        <f>'grup-1'!H168</f>
        <v/>
      </c>
      <c r="I12" s="48" t="str">
        <f>'grup-1'!H199</f>
        <v/>
      </c>
      <c r="J12" s="48" t="str">
        <f>'grup-1'!H230</f>
        <v/>
      </c>
      <c r="K12" s="48" t="str">
        <f>'grup-1'!H261</f>
        <v/>
      </c>
      <c r="L12" s="48" t="str">
        <f>'grup-1'!H292</f>
        <v/>
      </c>
      <c r="M12" s="48" t="str">
        <f>'grup-1'!H323</f>
        <v/>
      </c>
      <c r="N12" s="48" t="str">
        <f>'grup-1'!H354</f>
        <v/>
      </c>
      <c r="O12" s="48" t="str">
        <f>'grup-1'!H386</f>
        <v/>
      </c>
      <c r="P12" s="48" t="str">
        <f>'grup-1'!H417</f>
        <v/>
      </c>
      <c r="Q12" s="48" t="str">
        <f>'grup-1'!H448</f>
        <v/>
      </c>
      <c r="R12" s="48" t="str">
        <f>'grup-1'!H479</f>
        <v/>
      </c>
      <c r="S12" s="48" t="str">
        <f>'grup-1'!H510</f>
        <v/>
      </c>
      <c r="T12" s="48" t="str">
        <f>'grup-1'!H541</f>
        <v/>
      </c>
      <c r="U12" s="48" t="str">
        <f>'grup-1'!H572</f>
        <v/>
      </c>
      <c r="V12" s="48" t="str">
        <f>'grup-1'!H603</f>
        <v/>
      </c>
      <c r="W12" s="48" t="str">
        <f>'grup-1'!H634</f>
        <v/>
      </c>
      <c r="X12" s="48" t="str">
        <f>'grup-1'!H665</f>
        <v/>
      </c>
      <c r="Y12" s="48" t="str">
        <f>'grup-1'!H696</f>
        <v/>
      </c>
      <c r="Z12" s="48" t="str">
        <f>'grup-1'!H727</f>
        <v/>
      </c>
      <c r="AA12" s="45">
        <f t="shared" si="7"/>
        <v>0</v>
      </c>
      <c r="AB12" s="47">
        <f t="shared" si="8"/>
        <v>0</v>
      </c>
      <c r="AC12" s="47">
        <f t="shared" si="9"/>
        <v>0</v>
      </c>
      <c r="AD12" s="47">
        <f t="shared" si="10"/>
        <v>0</v>
      </c>
      <c r="AE12" s="122" t="e" cm="1">
        <f t="array" ref="AE12">_xlfn.LET(_xlpm.z,C12:Z12,_xlpm.o,MATCH(2,1/(_xlpm.z&lt;&gt;"")),_xlpm.p,MAX(1,_xlpm.o-4),SUM(INDEX(_xlpm.z,_xlpm.p):INDEX(_xlpm.z,_xlpm.o)))</f>
        <v>#N/A</v>
      </c>
    </row>
    <row r="13" spans="2:31">
      <c r="B13" s="105" t="s">
        <v>176</v>
      </c>
      <c r="C13" s="46" t="str">
        <f>'grup-1'!H14</f>
        <v/>
      </c>
      <c r="D13" s="46" t="str">
        <f>'grup-1'!H45</f>
        <v/>
      </c>
      <c r="E13" s="46" t="str">
        <f>'grup-1'!H76</f>
        <v/>
      </c>
      <c r="F13" s="46" t="str">
        <f>'grup-1'!H107</f>
        <v/>
      </c>
      <c r="G13" s="46" t="str">
        <f>'grup-1'!H138</f>
        <v/>
      </c>
      <c r="H13" s="46" t="str">
        <f>'grup-1'!H169</f>
        <v/>
      </c>
      <c r="I13" s="46" t="str">
        <f>'grup-1'!H200</f>
        <v/>
      </c>
      <c r="J13" s="46" t="str">
        <f>'grup-1'!H231</f>
        <v/>
      </c>
      <c r="K13" s="46" t="str">
        <f>'grup-1'!H262</f>
        <v/>
      </c>
      <c r="L13" s="46" t="str">
        <f>'grup-1'!H293</f>
        <v/>
      </c>
      <c r="M13" s="46" t="str">
        <f>'grup-1'!H324</f>
        <v/>
      </c>
      <c r="N13" s="46" t="str">
        <f>'grup-1'!H355</f>
        <v/>
      </c>
      <c r="O13" s="46" t="str">
        <f>'grup-1'!H387</f>
        <v/>
      </c>
      <c r="P13" s="46" t="str">
        <f>'grup-1'!H418</f>
        <v/>
      </c>
      <c r="Q13" s="46" t="str">
        <f>'grup-1'!H449</f>
        <v/>
      </c>
      <c r="R13" s="46" t="str">
        <f>'grup-1'!H480</f>
        <v/>
      </c>
      <c r="S13" s="46" t="str">
        <f>'grup-1'!H511</f>
        <v/>
      </c>
      <c r="T13" s="46" t="str">
        <f>'grup-1'!H542</f>
        <v/>
      </c>
      <c r="U13" s="46" t="str">
        <f>'grup-1'!H573</f>
        <v/>
      </c>
      <c r="V13" s="46" t="str">
        <f>'grup-1'!H604</f>
        <v/>
      </c>
      <c r="W13" s="46" t="str">
        <f>'grup-1'!H635</f>
        <v/>
      </c>
      <c r="X13" s="46" t="str">
        <f>'grup-1'!H666</f>
        <v/>
      </c>
      <c r="Y13" s="46" t="str">
        <f>'grup-1'!H697</f>
        <v/>
      </c>
      <c r="Z13" s="46" t="str">
        <f>'grup-1'!H728</f>
        <v/>
      </c>
      <c r="AA13" s="45">
        <f t="shared" si="7"/>
        <v>0</v>
      </c>
      <c r="AB13" s="47">
        <f t="shared" si="8"/>
        <v>0</v>
      </c>
      <c r="AC13" s="47">
        <f t="shared" si="9"/>
        <v>0</v>
      </c>
      <c r="AD13" s="47">
        <f t="shared" si="10"/>
        <v>0</v>
      </c>
      <c r="AE13" s="122" t="e" cm="1">
        <f t="array" ref="AE13">_xlfn.LET(_xlpm.z,C13:Z13,_xlpm.o,MATCH(2,1/(_xlpm.z&lt;&gt;"")),_xlpm.p,MAX(1,_xlpm.o-4),SUM(INDEX(_xlpm.z,_xlpm.p):INDEX(_xlpm.z,_xlpm.o)))</f>
        <v>#N/A</v>
      </c>
    </row>
    <row r="14" spans="2:31">
      <c r="B14" s="105" t="s">
        <v>177</v>
      </c>
      <c r="C14" s="48" t="str">
        <f>'grup-1'!H15</f>
        <v/>
      </c>
      <c r="D14" s="48" t="str">
        <f>'grup-1'!H46</f>
        <v/>
      </c>
      <c r="E14" s="48" t="str">
        <f>'grup-1'!H77</f>
        <v/>
      </c>
      <c r="F14" s="48" t="str">
        <f>'grup-1'!H108</f>
        <v/>
      </c>
      <c r="G14" s="48" t="str">
        <f>'grup-1'!H139</f>
        <v/>
      </c>
      <c r="H14" s="48" t="str">
        <f>'grup-1'!H170</f>
        <v/>
      </c>
      <c r="I14" s="48" t="str">
        <f>'grup-1'!H201</f>
        <v/>
      </c>
      <c r="J14" s="48" t="str">
        <f>'grup-1'!H232</f>
        <v/>
      </c>
      <c r="K14" s="48" t="str">
        <f>'grup-1'!H263</f>
        <v/>
      </c>
      <c r="L14" s="48" t="str">
        <f>'grup-1'!H294</f>
        <v/>
      </c>
      <c r="M14" s="48" t="str">
        <f>'grup-1'!H325</f>
        <v/>
      </c>
      <c r="N14" s="48" t="str">
        <f>'grup-1'!H356</f>
        <v/>
      </c>
      <c r="O14" s="48" t="str">
        <f>'grup-1'!H388</f>
        <v/>
      </c>
      <c r="P14" s="48" t="str">
        <f>'grup-1'!H419</f>
        <v/>
      </c>
      <c r="Q14" s="48" t="str">
        <f>'grup-1'!H450</f>
        <v/>
      </c>
      <c r="R14" s="48" t="str">
        <f>'grup-1'!H481</f>
        <v/>
      </c>
      <c r="S14" s="48" t="str">
        <f>'grup-1'!H512</f>
        <v/>
      </c>
      <c r="T14" s="48" t="str">
        <f>'grup-1'!H543</f>
        <v/>
      </c>
      <c r="U14" s="48" t="str">
        <f>'grup-1'!H574</f>
        <v/>
      </c>
      <c r="V14" s="48" t="str">
        <f>'grup-1'!H605</f>
        <v/>
      </c>
      <c r="W14" s="48" t="str">
        <f>'grup-1'!H636</f>
        <v/>
      </c>
      <c r="X14" s="48" t="str">
        <f>'grup-1'!H667</f>
        <v/>
      </c>
      <c r="Y14" s="48" t="str">
        <f>'grup-1'!H698</f>
        <v/>
      </c>
      <c r="Z14" s="48" t="str">
        <f>'grup-1'!H729</f>
        <v/>
      </c>
      <c r="AA14" s="45">
        <f t="shared" si="7"/>
        <v>0</v>
      </c>
      <c r="AB14" s="47">
        <f t="shared" si="8"/>
        <v>0</v>
      </c>
      <c r="AC14" s="47">
        <f t="shared" si="9"/>
        <v>0</v>
      </c>
      <c r="AD14" s="47">
        <f t="shared" si="10"/>
        <v>0</v>
      </c>
      <c r="AE14" s="122" t="e" cm="1">
        <f t="array" ref="AE14">_xlfn.LET(_xlpm.z,C14:Z14,_xlpm.o,MATCH(2,1/(_xlpm.z&lt;&gt;"")),_xlpm.p,MAX(1,_xlpm.o-4),SUM(INDEX(_xlpm.z,_xlpm.p):INDEX(_xlpm.z,_xlpm.o)))</f>
        <v>#N/A</v>
      </c>
    </row>
    <row r="15" spans="2:31">
      <c r="B15" s="105" t="s">
        <v>178</v>
      </c>
      <c r="C15" s="46" t="str">
        <f>'grup-1'!H16</f>
        <v/>
      </c>
      <c r="D15" s="46" t="str">
        <f>'grup-1'!H47</f>
        <v/>
      </c>
      <c r="E15" s="46" t="str">
        <f>'grup-1'!H78</f>
        <v/>
      </c>
      <c r="F15" s="46" t="str">
        <f>'grup-1'!H109</f>
        <v/>
      </c>
      <c r="G15" s="46" t="str">
        <f>'grup-1'!H140</f>
        <v/>
      </c>
      <c r="H15" s="46" t="str">
        <f>'grup-1'!H171</f>
        <v/>
      </c>
      <c r="I15" s="46" t="str">
        <f>'grup-1'!H202</f>
        <v/>
      </c>
      <c r="J15" s="46" t="str">
        <f>'grup-1'!H233</f>
        <v/>
      </c>
      <c r="K15" s="46" t="str">
        <f>'grup-1'!H264</f>
        <v/>
      </c>
      <c r="L15" s="46" t="str">
        <f>'grup-1'!H295</f>
        <v/>
      </c>
      <c r="M15" s="46" t="str">
        <f>'grup-1'!H326</f>
        <v/>
      </c>
      <c r="N15" s="46" t="str">
        <f>'grup-1'!H357</f>
        <v/>
      </c>
      <c r="O15" s="46" t="str">
        <f>'grup-1'!H389</f>
        <v/>
      </c>
      <c r="P15" s="46" t="str">
        <f>'grup-1'!H420</f>
        <v/>
      </c>
      <c r="Q15" s="46" t="str">
        <f>'grup-1'!H451</f>
        <v/>
      </c>
      <c r="R15" s="46" t="str">
        <f>'grup-1'!H482</f>
        <v/>
      </c>
      <c r="S15" s="46" t="str">
        <f>'grup-1'!H513</f>
        <v/>
      </c>
      <c r="T15" s="46" t="str">
        <f>'grup-1'!H544</f>
        <v/>
      </c>
      <c r="U15" s="46" t="str">
        <f>'grup-1'!H575</f>
        <v/>
      </c>
      <c r="V15" s="46" t="str">
        <f>'grup-1'!H606</f>
        <v/>
      </c>
      <c r="W15" s="46" t="str">
        <f>'grup-1'!H637</f>
        <v/>
      </c>
      <c r="X15" s="46" t="str">
        <f>'grup-1'!H668</f>
        <v/>
      </c>
      <c r="Y15" s="46" t="str">
        <f>'grup-1'!H699</f>
        <v/>
      </c>
      <c r="Z15" s="46" t="str">
        <f>'grup-1'!H730</f>
        <v/>
      </c>
      <c r="AA15" s="45">
        <f t="shared" si="7"/>
        <v>0</v>
      </c>
      <c r="AB15" s="47">
        <f t="shared" si="8"/>
        <v>0</v>
      </c>
      <c r="AC15" s="47">
        <f t="shared" si="9"/>
        <v>0</v>
      </c>
      <c r="AD15" s="47">
        <f t="shared" si="10"/>
        <v>0</v>
      </c>
      <c r="AE15" s="122" t="e" cm="1">
        <f t="array" ref="AE15">_xlfn.LET(_xlpm.z,C15:Z15,_xlpm.o,MATCH(2,1/(_xlpm.z&lt;&gt;"")),_xlpm.p,MAX(1,_xlpm.o-4),SUM(INDEX(_xlpm.z,_xlpm.p):INDEX(_xlpm.z,_xlpm.o)))</f>
        <v>#N/A</v>
      </c>
    </row>
    <row r="16" spans="2:31">
      <c r="B16" s="105" t="s">
        <v>179</v>
      </c>
      <c r="C16" s="48" t="str">
        <f>'grup-1'!H17</f>
        <v/>
      </c>
      <c r="D16" s="48" t="str">
        <f>'grup-1'!H48</f>
        <v/>
      </c>
      <c r="E16" s="48" t="str">
        <f>'grup-1'!H79</f>
        <v/>
      </c>
      <c r="F16" s="48" t="str">
        <f>'grup-1'!H110</f>
        <v/>
      </c>
      <c r="G16" s="48" t="str">
        <f>'grup-1'!H141</f>
        <v/>
      </c>
      <c r="H16" s="48" t="str">
        <f>'grup-1'!H172</f>
        <v/>
      </c>
      <c r="I16" s="48" t="str">
        <f>'grup-1'!H203</f>
        <v/>
      </c>
      <c r="J16" s="48" t="str">
        <f>'grup-1'!H234</f>
        <v/>
      </c>
      <c r="K16" s="48" t="str">
        <f>'grup-1'!H265</f>
        <v/>
      </c>
      <c r="L16" s="48" t="str">
        <f>'grup-1'!H296</f>
        <v/>
      </c>
      <c r="M16" s="48" t="str">
        <f>'grup-1'!H327</f>
        <v/>
      </c>
      <c r="N16" s="48" t="str">
        <f>'grup-1'!H358</f>
        <v/>
      </c>
      <c r="O16" s="48" t="str">
        <f>'grup-1'!H390</f>
        <v/>
      </c>
      <c r="P16" s="48" t="str">
        <f>'grup-1'!H421</f>
        <v/>
      </c>
      <c r="Q16" s="48" t="str">
        <f>'grup-1'!H452</f>
        <v/>
      </c>
      <c r="R16" s="48" t="str">
        <f>'grup-1'!H483</f>
        <v/>
      </c>
      <c r="S16" s="48" t="str">
        <f>'grup-1'!H514</f>
        <v/>
      </c>
      <c r="T16" s="48" t="str">
        <f>'grup-1'!H545</f>
        <v/>
      </c>
      <c r="U16" s="48" t="str">
        <f>'grup-1'!H576</f>
        <v/>
      </c>
      <c r="V16" s="48" t="str">
        <f>'grup-1'!H607</f>
        <v/>
      </c>
      <c r="W16" s="48" t="str">
        <f>'grup-1'!H638</f>
        <v/>
      </c>
      <c r="X16" s="48" t="str">
        <f>'grup-1'!H669</f>
        <v/>
      </c>
      <c r="Y16" s="48" t="str">
        <f>'grup-1'!H700</f>
        <v/>
      </c>
      <c r="Z16" s="48" t="str">
        <f>'grup-1'!H731</f>
        <v/>
      </c>
      <c r="AA16" s="45">
        <f t="shared" si="7"/>
        <v>0</v>
      </c>
      <c r="AB16" s="47">
        <f t="shared" si="8"/>
        <v>0</v>
      </c>
      <c r="AC16" s="47">
        <f t="shared" si="9"/>
        <v>0</v>
      </c>
      <c r="AD16" s="47">
        <f t="shared" si="10"/>
        <v>0</v>
      </c>
      <c r="AE16" s="122" t="e" cm="1">
        <f t="array" ref="AE16">_xlfn.LET(_xlpm.z,C16:Z16,_xlpm.o,MATCH(2,1/(_xlpm.z&lt;&gt;"")),_xlpm.p,MAX(1,_xlpm.o-4),SUM(INDEX(_xlpm.z,_xlpm.p):INDEX(_xlpm.z,_xlpm.o)))</f>
        <v>#N/A</v>
      </c>
    </row>
    <row r="17" spans="2:31">
      <c r="B17" s="105" t="s">
        <v>180</v>
      </c>
      <c r="C17" s="46" t="str">
        <f>'grup-1'!H18</f>
        <v/>
      </c>
      <c r="D17" s="46" t="str">
        <f>'grup-1'!H49</f>
        <v/>
      </c>
      <c r="E17" s="46" t="str">
        <f>'grup-1'!H80</f>
        <v/>
      </c>
      <c r="F17" s="46" t="str">
        <f>'grup-1'!H111</f>
        <v/>
      </c>
      <c r="G17" s="46" t="str">
        <f>'grup-1'!H142</f>
        <v/>
      </c>
      <c r="H17" s="46" t="str">
        <f>'grup-1'!H173</f>
        <v/>
      </c>
      <c r="I17" s="46" t="str">
        <f>'grup-1'!H204</f>
        <v/>
      </c>
      <c r="J17" s="46" t="str">
        <f>'grup-1'!H235</f>
        <v/>
      </c>
      <c r="K17" s="46" t="str">
        <f>'grup-1'!H266</f>
        <v/>
      </c>
      <c r="L17" s="46" t="str">
        <f>'grup-1'!H297</f>
        <v/>
      </c>
      <c r="M17" s="46" t="str">
        <f>'grup-1'!H328</f>
        <v/>
      </c>
      <c r="N17" s="46" t="str">
        <f>'grup-1'!H359</f>
        <v/>
      </c>
      <c r="O17" s="46" t="str">
        <f>'grup-1'!H391</f>
        <v/>
      </c>
      <c r="P17" s="46" t="str">
        <f>'grup-1'!H422</f>
        <v/>
      </c>
      <c r="Q17" s="46" t="str">
        <f>'grup-1'!H453</f>
        <v/>
      </c>
      <c r="R17" s="46" t="str">
        <f>'grup-1'!H484</f>
        <v/>
      </c>
      <c r="S17" s="46" t="str">
        <f>'grup-1'!H515</f>
        <v/>
      </c>
      <c r="T17" s="46" t="str">
        <f>'grup-1'!H546</f>
        <v/>
      </c>
      <c r="U17" s="46" t="str">
        <f>'grup-1'!H577</f>
        <v/>
      </c>
      <c r="V17" s="46" t="str">
        <f>'grup-1'!H608</f>
        <v/>
      </c>
      <c r="W17" s="46" t="str">
        <f>'grup-1'!H639</f>
        <v/>
      </c>
      <c r="X17" s="46" t="str">
        <f>'grup-1'!H670</f>
        <v/>
      </c>
      <c r="Y17" s="46" t="str">
        <f>'grup-1'!H701</f>
        <v/>
      </c>
      <c r="Z17" s="46" t="str">
        <f>'grup-1'!H732</f>
        <v/>
      </c>
      <c r="AA17" s="45">
        <f t="shared" si="7"/>
        <v>0</v>
      </c>
      <c r="AB17" s="47">
        <f t="shared" si="8"/>
        <v>0</v>
      </c>
      <c r="AC17" s="47">
        <f t="shared" si="9"/>
        <v>0</v>
      </c>
      <c r="AD17" s="47">
        <f t="shared" si="10"/>
        <v>0</v>
      </c>
      <c r="AE17" s="122" t="e" cm="1">
        <f t="array" ref="AE17">_xlfn.LET(_xlpm.z,C17:Z17,_xlpm.o,MATCH(2,1/(_xlpm.z&lt;&gt;"")),_xlpm.p,MAX(1,_xlpm.o-4),SUM(INDEX(_xlpm.z,_xlpm.p):INDEX(_xlpm.z,_xlpm.o)))</f>
        <v>#N/A</v>
      </c>
    </row>
    <row r="18" spans="2:31">
      <c r="B18" s="105" t="s">
        <v>181</v>
      </c>
      <c r="C18" s="48" t="str">
        <f>'grup-1'!H19</f>
        <v/>
      </c>
      <c r="D18" s="48" t="str">
        <f>'grup-1'!H50</f>
        <v/>
      </c>
      <c r="E18" s="48" t="str">
        <f>'grup-1'!H81</f>
        <v/>
      </c>
      <c r="F18" s="48" t="str">
        <f>'grup-1'!H112</f>
        <v/>
      </c>
      <c r="G18" s="48" t="str">
        <f>'grup-1'!H143</f>
        <v/>
      </c>
      <c r="H18" s="48" t="str">
        <f>'grup-1'!H174</f>
        <v/>
      </c>
      <c r="I18" s="48" t="str">
        <f>'grup-1'!H205</f>
        <v/>
      </c>
      <c r="J18" s="48" t="str">
        <f>'grup-1'!H236</f>
        <v/>
      </c>
      <c r="K18" s="48" t="str">
        <f>'grup-1'!H267</f>
        <v/>
      </c>
      <c r="L18" s="48" t="str">
        <f>'grup-1'!H298</f>
        <v/>
      </c>
      <c r="M18" s="48" t="str">
        <f>'grup-1'!H329</f>
        <v/>
      </c>
      <c r="N18" s="48" t="str">
        <f>'grup-1'!H360</f>
        <v/>
      </c>
      <c r="O18" s="48" t="str">
        <f>'grup-1'!H392</f>
        <v/>
      </c>
      <c r="P18" s="48" t="str">
        <f>'grup-1'!H423</f>
        <v/>
      </c>
      <c r="Q18" s="48" t="str">
        <f>'grup-1'!H454</f>
        <v/>
      </c>
      <c r="R18" s="48" t="str">
        <f>'grup-1'!H485</f>
        <v/>
      </c>
      <c r="S18" s="48" t="str">
        <f>'grup-1'!H516</f>
        <v/>
      </c>
      <c r="T18" s="48" t="str">
        <f>'grup-1'!H547</f>
        <v/>
      </c>
      <c r="U18" s="48" t="str">
        <f>'grup-1'!H578</f>
        <v/>
      </c>
      <c r="V18" s="48" t="str">
        <f>'grup-1'!H609</f>
        <v/>
      </c>
      <c r="W18" s="48" t="str">
        <f>'grup-1'!H640</f>
        <v/>
      </c>
      <c r="X18" s="48" t="str">
        <f>'grup-1'!H671</f>
        <v/>
      </c>
      <c r="Y18" s="48" t="str">
        <f>'grup-1'!H702</f>
        <v/>
      </c>
      <c r="Z18" s="48" t="str">
        <f>'grup-1'!H733</f>
        <v/>
      </c>
      <c r="AA18" s="45">
        <f t="shared" si="7"/>
        <v>0</v>
      </c>
      <c r="AB18" s="47">
        <f t="shared" si="8"/>
        <v>0</v>
      </c>
      <c r="AC18" s="47">
        <f t="shared" si="9"/>
        <v>0</v>
      </c>
      <c r="AD18" s="47">
        <f t="shared" si="10"/>
        <v>0</v>
      </c>
      <c r="AE18" s="122" t="e" cm="1">
        <f t="array" ref="AE18">_xlfn.LET(_xlpm.z,C18:Z18,_xlpm.o,MATCH(2,1/(_xlpm.z&lt;&gt;"")),_xlpm.p,MAX(1,_xlpm.o-4),SUM(INDEX(_xlpm.z,_xlpm.p):INDEX(_xlpm.z,_xlpm.o)))</f>
        <v>#N/A</v>
      </c>
    </row>
    <row r="19" spans="2:31" ht="15.75">
      <c r="B19" s="106" t="s">
        <v>182</v>
      </c>
      <c r="C19" s="46" t="str">
        <f>'grup-1'!H20</f>
        <v/>
      </c>
      <c r="D19" s="46" t="str">
        <f>'grup-1'!H51</f>
        <v/>
      </c>
      <c r="E19" s="46" t="str">
        <f>'grup-1'!H82</f>
        <v/>
      </c>
      <c r="F19" s="46" t="str">
        <f>'grup-1'!H113</f>
        <v/>
      </c>
      <c r="G19" s="46" t="str">
        <f>'grup-1'!H144</f>
        <v/>
      </c>
      <c r="H19" s="46" t="str">
        <f>'grup-1'!H175</f>
        <v/>
      </c>
      <c r="I19" s="46" t="str">
        <f>'grup-1'!H206</f>
        <v/>
      </c>
      <c r="J19" s="46" t="str">
        <f>'grup-1'!H237</f>
        <v/>
      </c>
      <c r="K19" s="46" t="str">
        <f>'grup-1'!H268</f>
        <v/>
      </c>
      <c r="L19" s="46" t="str">
        <f>'grup-1'!H299</f>
        <v/>
      </c>
      <c r="M19" s="46" t="str">
        <f>'grup-1'!H330</f>
        <v/>
      </c>
      <c r="N19" s="46" t="str">
        <f>'grup-1'!H361</f>
        <v/>
      </c>
      <c r="O19" s="46" t="str">
        <f>'grup-1'!H393</f>
        <v/>
      </c>
      <c r="P19" s="46" t="str">
        <f>'grup-1'!H424</f>
        <v/>
      </c>
      <c r="Q19" s="46" t="str">
        <f>'grup-1'!H455</f>
        <v/>
      </c>
      <c r="R19" s="46" t="str">
        <f>'grup-1'!H486</f>
        <v/>
      </c>
      <c r="S19" s="46" t="str">
        <f>'grup-1'!H517</f>
        <v/>
      </c>
      <c r="T19" s="46" t="str">
        <f>'grup-1'!H548</f>
        <v/>
      </c>
      <c r="U19" s="46" t="str">
        <f>'grup-1'!H579</f>
        <v/>
      </c>
      <c r="V19" s="46" t="str">
        <f>'grup-1'!H610</f>
        <v/>
      </c>
      <c r="W19" s="46" t="str">
        <f>'grup-1'!H641</f>
        <v/>
      </c>
      <c r="X19" s="46" t="str">
        <f>'grup-1'!H672</f>
        <v/>
      </c>
      <c r="Y19" s="46" t="str">
        <f>'grup-1'!H703</f>
        <v/>
      </c>
      <c r="Z19" s="46" t="str">
        <f>'grup-1'!H734</f>
        <v/>
      </c>
      <c r="AA19" s="45">
        <f t="shared" si="7"/>
        <v>0</v>
      </c>
      <c r="AB19" s="47">
        <f t="shared" si="8"/>
        <v>0</v>
      </c>
      <c r="AC19" s="47">
        <f t="shared" si="9"/>
        <v>0</v>
      </c>
      <c r="AD19" s="47">
        <f t="shared" si="10"/>
        <v>0</v>
      </c>
      <c r="AE19" s="122" t="e" cm="1">
        <f t="array" ref="AE19">_xlfn.LET(_xlpm.z,C19:Z19,_xlpm.o,MATCH(2,1/(_xlpm.z&lt;&gt;"")),_xlpm.p,MAX(1,_xlpm.o-4),SUM(INDEX(_xlpm.z,_xlpm.p):INDEX(_xlpm.z,_xlpm.o)))</f>
        <v>#N/A</v>
      </c>
    </row>
    <row r="20" spans="2:31" ht="15.75">
      <c r="B20" s="106" t="s">
        <v>183</v>
      </c>
      <c r="C20" s="48" t="str">
        <f>'grup-1'!H21</f>
        <v/>
      </c>
      <c r="D20" s="48" t="str">
        <f>'grup-1'!H52</f>
        <v/>
      </c>
      <c r="E20" s="48" t="str">
        <f>'grup-1'!H83</f>
        <v/>
      </c>
      <c r="F20" s="48" t="str">
        <f>'grup-1'!H114</f>
        <v/>
      </c>
      <c r="G20" s="48" t="str">
        <f>'grup-1'!H145</f>
        <v/>
      </c>
      <c r="H20" s="48" t="str">
        <f>'grup-1'!H176</f>
        <v/>
      </c>
      <c r="I20" s="48" t="str">
        <f>'grup-1'!H207</f>
        <v/>
      </c>
      <c r="J20" s="48" t="str">
        <f>'grup-1'!H238</f>
        <v/>
      </c>
      <c r="K20" s="48" t="str">
        <f>'grup-1'!H269</f>
        <v/>
      </c>
      <c r="L20" s="48" t="str">
        <f>'grup-1'!H300</f>
        <v/>
      </c>
      <c r="M20" s="48" t="str">
        <f>'grup-1'!H331</f>
        <v/>
      </c>
      <c r="N20" s="48" t="str">
        <f>'grup-1'!H362</f>
        <v/>
      </c>
      <c r="O20" s="48" t="str">
        <f>'grup-1'!H394</f>
        <v/>
      </c>
      <c r="P20" s="48" t="str">
        <f>'grup-1'!H425</f>
        <v/>
      </c>
      <c r="Q20" s="48" t="str">
        <f>'grup-1'!H456</f>
        <v/>
      </c>
      <c r="R20" s="48" t="str">
        <f>'grup-1'!H487</f>
        <v/>
      </c>
      <c r="S20" s="48" t="str">
        <f>'grup-1'!H518</f>
        <v/>
      </c>
      <c r="T20" s="48" t="str">
        <f>'grup-1'!H549</f>
        <v/>
      </c>
      <c r="U20" s="48" t="str">
        <f>'grup-1'!H580</f>
        <v/>
      </c>
      <c r="V20" s="48" t="str">
        <f>'grup-1'!H611</f>
        <v/>
      </c>
      <c r="W20" s="48" t="str">
        <f>'grup-1'!H642</f>
        <v/>
      </c>
      <c r="X20" s="48" t="str">
        <f>'grup-1'!H673</f>
        <v/>
      </c>
      <c r="Y20" s="48" t="str">
        <f>'grup-1'!H704</f>
        <v/>
      </c>
      <c r="Z20" s="48" t="str">
        <f>'grup-1'!H735</f>
        <v/>
      </c>
      <c r="AA20" s="45">
        <f t="shared" si="7"/>
        <v>0</v>
      </c>
      <c r="AB20" s="47">
        <f t="shared" si="8"/>
        <v>0</v>
      </c>
      <c r="AC20" s="47">
        <f t="shared" si="9"/>
        <v>0</v>
      </c>
      <c r="AD20" s="47">
        <f t="shared" si="10"/>
        <v>0</v>
      </c>
      <c r="AE20" s="122" t="e" cm="1">
        <f t="array" ref="AE20">_xlfn.LET(_xlpm.z,C20:Z20,_xlpm.o,MATCH(2,1/(_xlpm.z&lt;&gt;"")),_xlpm.p,MAX(1,_xlpm.o-4),SUM(INDEX(_xlpm.z,_xlpm.p):INDEX(_xlpm.z,_xlpm.o)))</f>
        <v>#N/A</v>
      </c>
    </row>
    <row r="21" spans="2:31" ht="15.75">
      <c r="B21" s="106" t="s">
        <v>184</v>
      </c>
      <c r="C21" s="46" t="str">
        <f>'grup-1'!H22</f>
        <v/>
      </c>
      <c r="D21" s="46" t="str">
        <f>'grup-1'!H53</f>
        <v/>
      </c>
      <c r="E21" s="46" t="str">
        <f>'grup-1'!H84</f>
        <v/>
      </c>
      <c r="F21" s="46" t="str">
        <f>'grup-1'!H115</f>
        <v/>
      </c>
      <c r="G21" s="46" t="str">
        <f>'grup-1'!H146</f>
        <v/>
      </c>
      <c r="H21" s="46" t="str">
        <f>'grup-1'!H177</f>
        <v/>
      </c>
      <c r="I21" s="46" t="str">
        <f>'grup-1'!H208</f>
        <v/>
      </c>
      <c r="J21" s="46" t="str">
        <f>'grup-1'!H239</f>
        <v/>
      </c>
      <c r="K21" s="46" t="str">
        <f>'grup-1'!H270</f>
        <v/>
      </c>
      <c r="L21" s="46" t="str">
        <f>'grup-1'!H301</f>
        <v/>
      </c>
      <c r="M21" s="46" t="str">
        <f>'grup-1'!H332</f>
        <v/>
      </c>
      <c r="N21" s="46" t="str">
        <f>'grup-1'!H363</f>
        <v/>
      </c>
      <c r="O21" s="46" t="str">
        <f>'grup-1'!H395</f>
        <v/>
      </c>
      <c r="P21" s="46" t="str">
        <f>'grup-1'!H426</f>
        <v/>
      </c>
      <c r="Q21" s="46" t="str">
        <f>'grup-1'!H457</f>
        <v/>
      </c>
      <c r="R21" s="46" t="str">
        <f>'grup-1'!H488</f>
        <v/>
      </c>
      <c r="S21" s="46" t="str">
        <f>'grup-1'!H519</f>
        <v/>
      </c>
      <c r="T21" s="46" t="str">
        <f>'grup-1'!H550</f>
        <v/>
      </c>
      <c r="U21" s="46" t="str">
        <f>'grup-1'!H581</f>
        <v/>
      </c>
      <c r="V21" s="46" t="str">
        <f>'grup-1'!H612</f>
        <v/>
      </c>
      <c r="W21" s="46" t="str">
        <f>'grup-1'!H643</f>
        <v/>
      </c>
      <c r="X21" s="46" t="str">
        <f>'grup-1'!H674</f>
        <v/>
      </c>
      <c r="Y21" s="46" t="str">
        <f>'grup-1'!H705</f>
        <v/>
      </c>
      <c r="Z21" s="46" t="str">
        <f>'grup-1'!H736</f>
        <v/>
      </c>
      <c r="AA21" s="45">
        <f t="shared" si="7"/>
        <v>0</v>
      </c>
      <c r="AB21" s="47">
        <f t="shared" si="8"/>
        <v>0</v>
      </c>
      <c r="AC21" s="47">
        <f t="shared" si="9"/>
        <v>0</v>
      </c>
      <c r="AD21" s="47">
        <f t="shared" si="10"/>
        <v>0</v>
      </c>
      <c r="AE21" s="122" t="e" cm="1">
        <f t="array" ref="AE21">_xlfn.LET(_xlpm.z,C21:Z21,_xlpm.o,MATCH(2,1/(_xlpm.z&lt;&gt;"")),_xlpm.p,MAX(1,_xlpm.o-4),SUM(INDEX(_xlpm.z,_xlpm.p):INDEX(_xlpm.z,_xlpm.o)))</f>
        <v>#N/A</v>
      </c>
    </row>
    <row r="22" spans="2:31" ht="15.75">
      <c r="B22" s="106" t="s">
        <v>222</v>
      </c>
      <c r="C22" s="48" t="str">
        <f>'grup-1'!H23</f>
        <v/>
      </c>
      <c r="D22" s="48" t="str">
        <f>'grup-1'!H54</f>
        <v/>
      </c>
      <c r="E22" s="48" t="str">
        <f>'grup-1'!H85</f>
        <v/>
      </c>
      <c r="F22" s="48" t="str">
        <f>'grup-1'!H116</f>
        <v/>
      </c>
      <c r="G22" s="48" t="str">
        <f>'grup-1'!H147</f>
        <v/>
      </c>
      <c r="H22" s="48" t="str">
        <f>'grup-1'!H178</f>
        <v/>
      </c>
      <c r="I22" s="48" t="str">
        <f>'grup-1'!H209</f>
        <v/>
      </c>
      <c r="J22" s="48" t="str">
        <f>'grup-1'!H240</f>
        <v/>
      </c>
      <c r="K22" s="48" t="str">
        <f>'grup-1'!H271</f>
        <v/>
      </c>
      <c r="L22" s="48" t="str">
        <f>'grup-1'!H302</f>
        <v/>
      </c>
      <c r="M22" s="48" t="str">
        <f>'grup-1'!H333</f>
        <v/>
      </c>
      <c r="N22" s="48" t="str">
        <f>'grup-1'!H364</f>
        <v/>
      </c>
      <c r="O22" s="48" t="str">
        <f>'grup-1'!H396</f>
        <v/>
      </c>
      <c r="P22" s="48" t="str">
        <f>'grup-1'!H427</f>
        <v/>
      </c>
      <c r="Q22" s="48" t="str">
        <f>'grup-1'!H458</f>
        <v/>
      </c>
      <c r="R22" s="48" t="str">
        <f>'grup-1'!H489</f>
        <v/>
      </c>
      <c r="S22" s="48" t="str">
        <f>'grup-1'!H520</f>
        <v/>
      </c>
      <c r="T22" s="48" t="str">
        <f>'grup-1'!H551</f>
        <v/>
      </c>
      <c r="U22" s="48" t="str">
        <f>'grup-1'!H582</f>
        <v/>
      </c>
      <c r="V22" s="48" t="str">
        <f>'grup-1'!H613</f>
        <v/>
      </c>
      <c r="W22" s="48" t="str">
        <f>'grup-1'!H644</f>
        <v/>
      </c>
      <c r="X22" s="48" t="str">
        <f>'grup-1'!H675</f>
        <v/>
      </c>
      <c r="Y22" s="48" t="str">
        <f>'grup-1'!H706</f>
        <v/>
      </c>
      <c r="Z22" s="48" t="str">
        <f>'grup-1'!H737</f>
        <v/>
      </c>
      <c r="AA22" s="45">
        <f t="shared" si="7"/>
        <v>0</v>
      </c>
      <c r="AB22" s="47">
        <f t="shared" si="8"/>
        <v>0</v>
      </c>
      <c r="AC22" s="47">
        <f t="shared" si="9"/>
        <v>0</v>
      </c>
      <c r="AD22" s="47">
        <f t="shared" si="10"/>
        <v>0</v>
      </c>
      <c r="AE22" s="122" t="e" cm="1">
        <f t="array" ref="AE22">_xlfn.LET(_xlpm.z,C22:Z22,_xlpm.o,MATCH(2,1/(_xlpm.z&lt;&gt;"")),_xlpm.p,MAX(1,_xlpm.o-4),SUM(INDEX(_xlpm.z,_xlpm.p):INDEX(_xlpm.z,_xlpm.o)))</f>
        <v>#N/A</v>
      </c>
    </row>
    <row r="23" spans="2:31" ht="15.75">
      <c r="B23" s="106" t="s">
        <v>185</v>
      </c>
      <c r="C23" s="46" t="str">
        <f>'grup-1'!H24</f>
        <v/>
      </c>
      <c r="D23" s="46" t="str">
        <f>'grup-1'!H55</f>
        <v/>
      </c>
      <c r="E23" s="46" t="str">
        <f>'grup-1'!H86</f>
        <v/>
      </c>
      <c r="F23" s="46" t="str">
        <f>'grup-1'!H117</f>
        <v/>
      </c>
      <c r="G23" s="46" t="str">
        <f>'grup-1'!H148</f>
        <v/>
      </c>
      <c r="H23" s="46" t="str">
        <f>'grup-1'!H179</f>
        <v/>
      </c>
      <c r="I23" s="46" t="str">
        <f>'grup-1'!H210</f>
        <v/>
      </c>
      <c r="J23" s="46" t="str">
        <f>'grup-1'!H241</f>
        <v/>
      </c>
      <c r="K23" s="46" t="str">
        <f>'grup-1'!H272</f>
        <v/>
      </c>
      <c r="L23" s="46" t="str">
        <f>'grup-1'!H303</f>
        <v/>
      </c>
      <c r="M23" s="46" t="str">
        <f>'grup-1'!H334</f>
        <v/>
      </c>
      <c r="N23" s="46" t="str">
        <f>'grup-1'!H365</f>
        <v/>
      </c>
      <c r="O23" s="46" t="str">
        <f>'grup-1'!H397</f>
        <v/>
      </c>
      <c r="P23" s="46" t="str">
        <f>'grup-1'!H428</f>
        <v/>
      </c>
      <c r="Q23" s="46" t="str">
        <f>'grup-1'!H459</f>
        <v/>
      </c>
      <c r="R23" s="46" t="str">
        <f>'grup-1'!H490</f>
        <v/>
      </c>
      <c r="S23" s="46" t="str">
        <f>'grup-1'!H521</f>
        <v/>
      </c>
      <c r="T23" s="46" t="str">
        <f>'grup-1'!H552</f>
        <v/>
      </c>
      <c r="U23" s="46" t="str">
        <f>'grup-1'!H583</f>
        <v/>
      </c>
      <c r="V23" s="46" t="str">
        <f>'grup-1'!H614</f>
        <v/>
      </c>
      <c r="W23" s="46" t="str">
        <f>'grup-1'!H645</f>
        <v/>
      </c>
      <c r="X23" s="46" t="str">
        <f>'grup-1'!H676</f>
        <v/>
      </c>
      <c r="Y23" s="46" t="str">
        <f>'grup-1'!H707</f>
        <v/>
      </c>
      <c r="Z23" s="46" t="str">
        <f>'grup-1'!H738</f>
        <v/>
      </c>
      <c r="AA23" s="45">
        <f t="shared" si="7"/>
        <v>0</v>
      </c>
      <c r="AB23" s="47">
        <f t="shared" si="8"/>
        <v>0</v>
      </c>
      <c r="AC23" s="47">
        <f t="shared" si="9"/>
        <v>0</v>
      </c>
      <c r="AD23" s="47">
        <f t="shared" si="10"/>
        <v>0</v>
      </c>
      <c r="AE23" s="122" t="e" cm="1">
        <f t="array" ref="AE23">_xlfn.LET(_xlpm.z,C23:Z23,_xlpm.o,MATCH(2,1/(_xlpm.z&lt;&gt;"")),_xlpm.p,MAX(1,_xlpm.o-4),SUM(INDEX(_xlpm.z,_xlpm.p):INDEX(_xlpm.z,_xlpm.o)))</f>
        <v>#N/A</v>
      </c>
    </row>
    <row r="24" spans="2:31" ht="15.75">
      <c r="B24" s="106" t="s">
        <v>186</v>
      </c>
      <c r="C24" s="48" t="str">
        <f>'grup-1'!H25</f>
        <v/>
      </c>
      <c r="D24" s="48" t="str">
        <f>'grup-1'!H56</f>
        <v/>
      </c>
      <c r="E24" s="48" t="str">
        <f>'grup-1'!H87</f>
        <v/>
      </c>
      <c r="F24" s="48" t="str">
        <f>'grup-1'!H118</f>
        <v/>
      </c>
      <c r="G24" s="48" t="str">
        <f>'grup-1'!H149</f>
        <v/>
      </c>
      <c r="H24" s="48" t="str">
        <f>'grup-1'!H180</f>
        <v/>
      </c>
      <c r="I24" s="48" t="str">
        <f>'grup-1'!H211</f>
        <v/>
      </c>
      <c r="J24" s="48" t="str">
        <f>'grup-1'!H242</f>
        <v/>
      </c>
      <c r="K24" s="48" t="str">
        <f>'grup-1'!H273</f>
        <v/>
      </c>
      <c r="L24" s="48" t="str">
        <f>'grup-1'!H304</f>
        <v/>
      </c>
      <c r="M24" s="48" t="str">
        <f>'grup-1'!H335</f>
        <v/>
      </c>
      <c r="N24" s="48" t="str">
        <f>'grup-1'!H366</f>
        <v/>
      </c>
      <c r="O24" s="48" t="str">
        <f>'grup-1'!H398</f>
        <v/>
      </c>
      <c r="P24" s="48" t="str">
        <f>'grup-1'!H429</f>
        <v/>
      </c>
      <c r="Q24" s="48" t="str">
        <f>'grup-1'!H460</f>
        <v/>
      </c>
      <c r="R24" s="48" t="str">
        <f>'grup-1'!H491</f>
        <v/>
      </c>
      <c r="S24" s="48" t="str">
        <f>'grup-1'!H522</f>
        <v/>
      </c>
      <c r="T24" s="48" t="str">
        <f>'grup-1'!H553</f>
        <v/>
      </c>
      <c r="U24" s="48" t="str">
        <f>'grup-1'!H584</f>
        <v/>
      </c>
      <c r="V24" s="48" t="str">
        <f>'grup-1'!H615</f>
        <v/>
      </c>
      <c r="W24" s="48" t="str">
        <f>'grup-1'!H646</f>
        <v/>
      </c>
      <c r="X24" s="48" t="str">
        <f>'grup-1'!H677</f>
        <v/>
      </c>
      <c r="Y24" s="48" t="str">
        <f>'grup-1'!H708</f>
        <v/>
      </c>
      <c r="Z24" s="48" t="str">
        <f>'grup-1'!H739</f>
        <v/>
      </c>
      <c r="AA24" s="45">
        <f t="shared" si="7"/>
        <v>0</v>
      </c>
      <c r="AB24" s="47">
        <f t="shared" si="8"/>
        <v>0</v>
      </c>
      <c r="AC24" s="47">
        <f t="shared" si="9"/>
        <v>0</v>
      </c>
      <c r="AD24" s="47">
        <f t="shared" si="10"/>
        <v>0</v>
      </c>
      <c r="AE24" s="122" t="e" cm="1">
        <f t="array" ref="AE24">_xlfn.LET(_xlpm.z,C24:Z24,_xlpm.o,MATCH(2,1/(_xlpm.z&lt;&gt;"")),_xlpm.p,MAX(1,_xlpm.o-4),SUM(INDEX(_xlpm.z,_xlpm.p):INDEX(_xlpm.z,_xlpm.o)))</f>
        <v>#N/A</v>
      </c>
    </row>
    <row r="25" spans="2:31" ht="15.75">
      <c r="B25" s="106" t="s">
        <v>187</v>
      </c>
      <c r="C25" s="46" t="str">
        <f>'grup-1'!H26</f>
        <v/>
      </c>
      <c r="D25" s="46" t="str">
        <f>'grup-1'!H57</f>
        <v/>
      </c>
      <c r="E25" s="46" t="str">
        <f>'grup-1'!H88</f>
        <v/>
      </c>
      <c r="F25" s="46" t="str">
        <f>'grup-1'!H119</f>
        <v/>
      </c>
      <c r="G25" s="46" t="str">
        <f>'grup-1'!H150</f>
        <v/>
      </c>
      <c r="H25" s="46" t="str">
        <f>'grup-1'!H181</f>
        <v/>
      </c>
      <c r="I25" s="46" t="str">
        <f>'grup-1'!H212</f>
        <v/>
      </c>
      <c r="J25" s="46" t="str">
        <f>'grup-1'!H243</f>
        <v/>
      </c>
      <c r="K25" s="46" t="str">
        <f>'grup-1'!H274</f>
        <v/>
      </c>
      <c r="L25" s="46" t="str">
        <f>'grup-1'!H305</f>
        <v/>
      </c>
      <c r="M25" s="46" t="str">
        <f>'grup-1'!H336</f>
        <v/>
      </c>
      <c r="N25" s="46" t="str">
        <f>'grup-1'!H367</f>
        <v/>
      </c>
      <c r="O25" s="46" t="str">
        <f>'grup-1'!H399</f>
        <v/>
      </c>
      <c r="P25" s="46" t="str">
        <f>'grup-1'!H430</f>
        <v/>
      </c>
      <c r="Q25" s="46" t="str">
        <f>'grup-1'!H461</f>
        <v/>
      </c>
      <c r="R25" s="46" t="str">
        <f>'grup-1'!H492</f>
        <v/>
      </c>
      <c r="S25" s="46" t="str">
        <f>'grup-1'!H523</f>
        <v/>
      </c>
      <c r="T25" s="46" t="str">
        <f>'grup-1'!H554</f>
        <v/>
      </c>
      <c r="U25" s="46" t="str">
        <f>'grup-1'!H585</f>
        <v/>
      </c>
      <c r="V25" s="46" t="str">
        <f>'grup-1'!H616</f>
        <v/>
      </c>
      <c r="W25" s="46" t="str">
        <f>'grup-1'!H647</f>
        <v/>
      </c>
      <c r="X25" s="46" t="str">
        <f>'grup-1'!H678</f>
        <v/>
      </c>
      <c r="Y25" s="46" t="str">
        <f>'grup-1'!H709</f>
        <v/>
      </c>
      <c r="Z25" s="46" t="str">
        <f>'grup-1'!H740</f>
        <v/>
      </c>
      <c r="AA25" s="45">
        <f t="shared" si="7"/>
        <v>0</v>
      </c>
      <c r="AB25" s="47">
        <f t="shared" si="8"/>
        <v>0</v>
      </c>
      <c r="AC25" s="47">
        <f t="shared" si="9"/>
        <v>0</v>
      </c>
      <c r="AD25" s="47">
        <f t="shared" si="10"/>
        <v>0</v>
      </c>
      <c r="AE25" s="122" t="e" cm="1">
        <f t="array" ref="AE25">_xlfn.LET(_xlpm.z,C25:Z25,_xlpm.o,MATCH(2,1/(_xlpm.z&lt;&gt;"")),_xlpm.p,MAX(1,_xlpm.o-4),SUM(INDEX(_xlpm.z,_xlpm.p):INDEX(_xlpm.z,_xlpm.o)))</f>
        <v>#N/A</v>
      </c>
    </row>
    <row r="26" spans="2:31" ht="15.75">
      <c r="B26" s="107" t="s">
        <v>188</v>
      </c>
      <c r="C26" s="48" t="str">
        <f>'grup-1'!H27</f>
        <v/>
      </c>
      <c r="D26" s="48" t="str">
        <f>'grup-1'!H58</f>
        <v/>
      </c>
      <c r="E26" s="48" t="str">
        <f>'grup-1'!H89</f>
        <v/>
      </c>
      <c r="F26" s="48" t="str">
        <f>'grup-1'!H120</f>
        <v/>
      </c>
      <c r="G26" s="48" t="str">
        <f>'grup-1'!H151</f>
        <v/>
      </c>
      <c r="H26" s="48" t="str">
        <f>'grup-1'!H182</f>
        <v/>
      </c>
      <c r="I26" s="48" t="str">
        <f>'grup-1'!H213</f>
        <v/>
      </c>
      <c r="J26" s="48" t="str">
        <f>'grup-1'!H244</f>
        <v/>
      </c>
      <c r="K26" s="48" t="str">
        <f>'grup-1'!H275</f>
        <v/>
      </c>
      <c r="L26" s="48" t="str">
        <f>'grup-1'!H306</f>
        <v/>
      </c>
      <c r="M26" s="48" t="str">
        <f>'grup-1'!H337</f>
        <v/>
      </c>
      <c r="N26" s="48" t="str">
        <f>'grup-1'!H368</f>
        <v/>
      </c>
      <c r="O26" s="48" t="str">
        <f>'grup-1'!H400</f>
        <v/>
      </c>
      <c r="P26" s="48" t="str">
        <f>'grup-1'!H431</f>
        <v/>
      </c>
      <c r="Q26" s="48" t="str">
        <f>'grup-1'!H462</f>
        <v/>
      </c>
      <c r="R26" s="48" t="str">
        <f>'grup-1'!H493</f>
        <v/>
      </c>
      <c r="S26" s="48" t="str">
        <f>'grup-1'!H524</f>
        <v/>
      </c>
      <c r="T26" s="48" t="str">
        <f>'grup-1'!H555</f>
        <v/>
      </c>
      <c r="U26" s="48" t="str">
        <f>'grup-1'!H586</f>
        <v/>
      </c>
      <c r="V26" s="48" t="str">
        <f>'grup-1'!H617</f>
        <v/>
      </c>
      <c r="W26" s="48" t="str">
        <f>'grup-1'!H648</f>
        <v/>
      </c>
      <c r="X26" s="48" t="str">
        <f>'grup-1'!H679</f>
        <v/>
      </c>
      <c r="Y26" s="48" t="str">
        <f>'grup-1'!H710</f>
        <v/>
      </c>
      <c r="Z26" s="48" t="str">
        <f>'grup-1'!H741</f>
        <v/>
      </c>
      <c r="AA26" s="45">
        <f t="shared" si="7"/>
        <v>0</v>
      </c>
      <c r="AB26" s="47">
        <f t="shared" si="8"/>
        <v>0</v>
      </c>
      <c r="AC26" s="47">
        <f t="shared" si="9"/>
        <v>0</v>
      </c>
      <c r="AD26" s="47">
        <f t="shared" si="10"/>
        <v>0</v>
      </c>
      <c r="AE26" s="122" t="e" cm="1">
        <f t="array" ref="AE26">_xlfn.LET(_xlpm.z,C26:Z26,_xlpm.o,MATCH(2,1/(_xlpm.z&lt;&gt;"")),_xlpm.p,MAX(1,_xlpm.o-4),SUM(INDEX(_xlpm.z,_xlpm.p):INDEX(_xlpm.z,_xlpm.o)))</f>
        <v>#N/A</v>
      </c>
    </row>
    <row r="27" spans="2:31" ht="15.75">
      <c r="B27" s="107" t="s">
        <v>189</v>
      </c>
      <c r="C27" s="46" t="str">
        <f>'grup-1'!H28</f>
        <v/>
      </c>
      <c r="D27" s="46" t="str">
        <f>'grup-1'!H59</f>
        <v/>
      </c>
      <c r="E27" s="46" t="str">
        <f>'grup-1'!H90</f>
        <v/>
      </c>
      <c r="F27" s="46" t="str">
        <f>'grup-1'!H121</f>
        <v/>
      </c>
      <c r="G27" s="46" t="str">
        <f>'grup-1'!H152</f>
        <v/>
      </c>
      <c r="H27" s="46" t="str">
        <f>'grup-1'!H183</f>
        <v/>
      </c>
      <c r="I27" s="46" t="str">
        <f>'grup-1'!H214</f>
        <v/>
      </c>
      <c r="J27" s="46" t="str">
        <f>'grup-1'!H245</f>
        <v/>
      </c>
      <c r="K27" s="46" t="str">
        <f>'grup-1'!H276</f>
        <v/>
      </c>
      <c r="L27" s="46" t="str">
        <f>'grup-1'!H307</f>
        <v/>
      </c>
      <c r="M27" s="46" t="str">
        <f>'grup-1'!H338</f>
        <v/>
      </c>
      <c r="N27" s="46" t="str">
        <f>'grup-1'!H369</f>
        <v/>
      </c>
      <c r="O27" s="46" t="str">
        <f>'grup-1'!H401</f>
        <v/>
      </c>
      <c r="P27" s="46" t="str">
        <f>'grup-1'!H432</f>
        <v/>
      </c>
      <c r="Q27" s="46" t="str">
        <f>'grup-1'!H463</f>
        <v/>
      </c>
      <c r="R27" s="46" t="str">
        <f>'grup-1'!H494</f>
        <v/>
      </c>
      <c r="S27" s="46" t="str">
        <f>'grup-1'!H525</f>
        <v/>
      </c>
      <c r="T27" s="46" t="str">
        <f>'grup-1'!H556</f>
        <v/>
      </c>
      <c r="U27" s="46" t="str">
        <f>'grup-1'!H587</f>
        <v/>
      </c>
      <c r="V27" s="46" t="str">
        <f>'grup-1'!H618</f>
        <v/>
      </c>
      <c r="W27" s="46" t="str">
        <f>'grup-1'!H649</f>
        <v/>
      </c>
      <c r="X27" s="46" t="str">
        <f>'grup-1'!H680</f>
        <v/>
      </c>
      <c r="Y27" s="46" t="str">
        <f>'grup-1'!H711</f>
        <v/>
      </c>
      <c r="Z27" s="46" t="str">
        <f>'grup-1'!H742</f>
        <v/>
      </c>
      <c r="AA27" s="45">
        <f t="shared" si="7"/>
        <v>0</v>
      </c>
      <c r="AB27" s="47">
        <f t="shared" si="8"/>
        <v>0</v>
      </c>
      <c r="AC27" s="47">
        <f t="shared" si="9"/>
        <v>0</v>
      </c>
      <c r="AD27" s="47">
        <f t="shared" si="10"/>
        <v>0</v>
      </c>
      <c r="AE27" s="122" t="e" cm="1">
        <f t="array" ref="AE27">_xlfn.LET(_xlpm.z,C27:Z27,_xlpm.o,MATCH(2,1/(_xlpm.z&lt;&gt;"")),_xlpm.p,MAX(1,_xlpm.o-4),SUM(INDEX(_xlpm.z,_xlpm.p):INDEX(_xlpm.z,_xlpm.o)))</f>
        <v>#N/A</v>
      </c>
    </row>
    <row r="28" spans="2:31" ht="15.75">
      <c r="B28" s="107" t="s">
        <v>190</v>
      </c>
      <c r="C28" s="48" t="str">
        <f>'grup-1'!H29</f>
        <v/>
      </c>
      <c r="D28" s="48" t="str">
        <f>'grup-1'!H60</f>
        <v/>
      </c>
      <c r="E28" s="48" t="str">
        <f>'grup-1'!H91</f>
        <v/>
      </c>
      <c r="F28" s="48" t="str">
        <f>'grup-1'!H122</f>
        <v/>
      </c>
      <c r="G28" s="48" t="str">
        <f>'grup-1'!H153</f>
        <v/>
      </c>
      <c r="H28" s="48" t="str">
        <f>'grup-1'!H184</f>
        <v/>
      </c>
      <c r="I28" s="48" t="str">
        <f>'grup-1'!H215</f>
        <v/>
      </c>
      <c r="J28" s="48" t="str">
        <f>'grup-1'!H246</f>
        <v/>
      </c>
      <c r="K28" s="48" t="str">
        <f>'grup-1'!H277</f>
        <v/>
      </c>
      <c r="L28" s="48" t="str">
        <f>'grup-1'!H308</f>
        <v/>
      </c>
      <c r="M28" s="48" t="str">
        <f>'grup-1'!H339</f>
        <v/>
      </c>
      <c r="N28" s="48" t="str">
        <f>'grup-1'!H370</f>
        <v/>
      </c>
      <c r="O28" s="48" t="str">
        <f>'grup-1'!H402</f>
        <v/>
      </c>
      <c r="P28" s="48" t="str">
        <f>'grup-1'!H433</f>
        <v/>
      </c>
      <c r="Q28" s="48" t="str">
        <f>'grup-1'!H464</f>
        <v/>
      </c>
      <c r="R28" s="48" t="str">
        <f>'grup-1'!H495</f>
        <v/>
      </c>
      <c r="S28" s="48" t="str">
        <f>'grup-1'!H526</f>
        <v/>
      </c>
      <c r="T28" s="48" t="str">
        <f>'grup-1'!H557</f>
        <v/>
      </c>
      <c r="U28" s="48" t="str">
        <f>'grup-1'!H588</f>
        <v/>
      </c>
      <c r="V28" s="48" t="str">
        <f>'grup-1'!H619</f>
        <v/>
      </c>
      <c r="W28" s="48" t="str">
        <f>'grup-1'!H650</f>
        <v/>
      </c>
      <c r="X28" s="48" t="str">
        <f>'grup-1'!H681</f>
        <v/>
      </c>
      <c r="Y28" s="48" t="str">
        <f>'grup-1'!H712</f>
        <v/>
      </c>
      <c r="Z28" s="48" t="str">
        <f>'grup-1'!H743</f>
        <v/>
      </c>
      <c r="AA28" s="45">
        <f t="shared" si="7"/>
        <v>0</v>
      </c>
      <c r="AB28" s="47">
        <f t="shared" si="8"/>
        <v>0</v>
      </c>
      <c r="AC28" s="47">
        <f t="shared" si="9"/>
        <v>0</v>
      </c>
      <c r="AD28" s="47">
        <f t="shared" si="10"/>
        <v>0</v>
      </c>
      <c r="AE28" s="122" t="e" cm="1">
        <f t="array" ref="AE28">_xlfn.LET(_xlpm.z,C28:Z28,_xlpm.o,MATCH(2,1/(_xlpm.z&lt;&gt;"")),_xlpm.p,MAX(1,_xlpm.o-4),SUM(INDEX(_xlpm.z,_xlpm.p):INDEX(_xlpm.z,_xlpm.o)))</f>
        <v>#N/A</v>
      </c>
    </row>
    <row r="29" spans="2:31" ht="15.75">
      <c r="B29" s="107" t="s">
        <v>191</v>
      </c>
      <c r="C29" s="46" t="str">
        <f>'grup-1'!H30</f>
        <v/>
      </c>
      <c r="D29" s="46" t="str">
        <f>'grup-1'!H61</f>
        <v/>
      </c>
      <c r="E29" s="46" t="str">
        <f>'grup-1'!H92</f>
        <v/>
      </c>
      <c r="F29" s="46" t="str">
        <f>'grup-1'!H123</f>
        <v/>
      </c>
      <c r="G29" s="46" t="str">
        <f>'grup-1'!H154</f>
        <v/>
      </c>
      <c r="H29" s="46" t="str">
        <f>'grup-1'!H185</f>
        <v/>
      </c>
      <c r="I29" s="46" t="str">
        <f>'grup-1'!H216</f>
        <v/>
      </c>
      <c r="J29" s="46" t="str">
        <f>'grup-1'!H247</f>
        <v/>
      </c>
      <c r="K29" s="46" t="str">
        <f>'grup-1'!H278</f>
        <v/>
      </c>
      <c r="L29" s="46" t="str">
        <f>'grup-1'!H309</f>
        <v/>
      </c>
      <c r="M29" s="46" t="str">
        <f>'grup-1'!H340</f>
        <v/>
      </c>
      <c r="N29" s="46" t="str">
        <f>'grup-1'!H371</f>
        <v/>
      </c>
      <c r="O29" s="46" t="str">
        <f>'grup-1'!H403</f>
        <v/>
      </c>
      <c r="P29" s="46" t="str">
        <f>'grup-1'!H434</f>
        <v/>
      </c>
      <c r="Q29" s="46" t="str">
        <f>'grup-1'!H465</f>
        <v/>
      </c>
      <c r="R29" s="46" t="str">
        <f>'grup-1'!H496</f>
        <v/>
      </c>
      <c r="S29" s="46" t="str">
        <f>'grup-1'!H527</f>
        <v/>
      </c>
      <c r="T29" s="46" t="str">
        <f>'grup-1'!H558</f>
        <v/>
      </c>
      <c r="U29" s="46" t="str">
        <f>'grup-1'!H589</f>
        <v/>
      </c>
      <c r="V29" s="46" t="str">
        <f>'grup-1'!H620</f>
        <v/>
      </c>
      <c r="W29" s="46" t="str">
        <f>'grup-1'!H651</f>
        <v/>
      </c>
      <c r="X29" s="46" t="str">
        <f>'grup-1'!H682</f>
        <v/>
      </c>
      <c r="Y29" s="46" t="str">
        <f>'grup-1'!H713</f>
        <v/>
      </c>
      <c r="Z29" s="46" t="str">
        <f>'grup-1'!H744</f>
        <v/>
      </c>
      <c r="AA29" s="45">
        <f t="shared" si="7"/>
        <v>0</v>
      </c>
      <c r="AB29" s="47">
        <f t="shared" si="8"/>
        <v>0</v>
      </c>
      <c r="AC29" s="47">
        <f t="shared" si="9"/>
        <v>0</v>
      </c>
      <c r="AD29" s="47">
        <f t="shared" si="10"/>
        <v>0</v>
      </c>
      <c r="AE29" s="122" t="e" cm="1">
        <f t="array" ref="AE29">_xlfn.LET(_xlpm.z,C29:Z29,_xlpm.o,MATCH(2,1/(_xlpm.z&lt;&gt;"")),_xlpm.p,MAX(1,_xlpm.o-4),SUM(INDEX(_xlpm.z,_xlpm.p):INDEX(_xlpm.z,_xlpm.o)))</f>
        <v>#N/A</v>
      </c>
    </row>
    <row r="30" spans="2:31" ht="15.75">
      <c r="B30" s="107" t="s">
        <v>192</v>
      </c>
      <c r="C30" s="48" t="str">
        <f>'grup-1'!H31</f>
        <v/>
      </c>
      <c r="D30" s="48" t="str">
        <f>'grup-1'!H62</f>
        <v/>
      </c>
      <c r="E30" s="48" t="str">
        <f>'grup-1'!H93</f>
        <v/>
      </c>
      <c r="F30" s="48" t="str">
        <f>'grup-1'!H124</f>
        <v/>
      </c>
      <c r="G30" s="48" t="str">
        <f>'grup-1'!H155</f>
        <v/>
      </c>
      <c r="H30" s="48" t="str">
        <f>'grup-1'!H186</f>
        <v/>
      </c>
      <c r="I30" s="48" t="str">
        <f>'grup-1'!H217</f>
        <v/>
      </c>
      <c r="J30" s="48" t="str">
        <f>'grup-1'!H248</f>
        <v/>
      </c>
      <c r="K30" s="48" t="str">
        <f>'grup-1'!H279</f>
        <v/>
      </c>
      <c r="L30" s="48" t="str">
        <f>'grup-1'!H310</f>
        <v/>
      </c>
      <c r="M30" s="48" t="str">
        <f>'grup-1'!H341</f>
        <v/>
      </c>
      <c r="N30" s="48" t="str">
        <f>'grup-1'!H372</f>
        <v/>
      </c>
      <c r="O30" s="48" t="str">
        <f>'grup-1'!H404</f>
        <v/>
      </c>
      <c r="P30" s="48" t="str">
        <f>'grup-1'!H435</f>
        <v/>
      </c>
      <c r="Q30" s="48" t="str">
        <f>'grup-1'!H466</f>
        <v/>
      </c>
      <c r="R30" s="48" t="str">
        <f>'grup-1'!H497</f>
        <v/>
      </c>
      <c r="S30" s="48" t="str">
        <f>'grup-1'!H528</f>
        <v/>
      </c>
      <c r="T30" s="48" t="str">
        <f>'grup-1'!H559</f>
        <v/>
      </c>
      <c r="U30" s="48" t="str">
        <f>'grup-1'!H590</f>
        <v/>
      </c>
      <c r="V30" s="48" t="str">
        <f>'grup-1'!H621</f>
        <v/>
      </c>
      <c r="W30" s="48" t="str">
        <f>'grup-1'!H652</f>
        <v/>
      </c>
      <c r="X30" s="48" t="str">
        <f>'grup-1'!H683</f>
        <v/>
      </c>
      <c r="Y30" s="48" t="str">
        <f>'grup-1'!H714</f>
        <v/>
      </c>
      <c r="Z30" s="48" t="str">
        <f>'grup-1'!H745</f>
        <v/>
      </c>
      <c r="AA30" s="45">
        <f t="shared" si="7"/>
        <v>0</v>
      </c>
      <c r="AB30" s="47">
        <f t="shared" si="8"/>
        <v>0</v>
      </c>
      <c r="AC30" s="47">
        <f t="shared" si="9"/>
        <v>0</v>
      </c>
      <c r="AD30" s="47">
        <f t="shared" si="10"/>
        <v>0</v>
      </c>
      <c r="AE30" s="122" t="e" cm="1">
        <f t="array" ref="AE30">_xlfn.LET(_xlpm.z,C30:Z30,_xlpm.o,MATCH(2,1/(_xlpm.z&lt;&gt;"")),_xlpm.p,MAX(1,_xlpm.o-4),SUM(INDEX(_xlpm.z,_xlpm.p):INDEX(_xlpm.z,_xlpm.o)))</f>
        <v>#N/A</v>
      </c>
    </row>
    <row r="31" spans="2:31" ht="15.75">
      <c r="B31" s="107" t="s">
        <v>193</v>
      </c>
      <c r="C31" s="46" t="str">
        <f>'grup-1'!H32</f>
        <v/>
      </c>
      <c r="D31" s="46" t="str">
        <f>'grup-1'!H63</f>
        <v/>
      </c>
      <c r="E31" s="46" t="str">
        <f>'grup-1'!H94</f>
        <v/>
      </c>
      <c r="F31" s="46" t="str">
        <f>'grup-1'!H125</f>
        <v/>
      </c>
      <c r="G31" s="46" t="str">
        <f>'grup-1'!H156</f>
        <v/>
      </c>
      <c r="H31" s="46" t="str">
        <f>'grup-1'!H187</f>
        <v/>
      </c>
      <c r="I31" s="46" t="str">
        <f>'grup-1'!H218</f>
        <v/>
      </c>
      <c r="J31" s="46" t="str">
        <f>'grup-1'!H249</f>
        <v/>
      </c>
      <c r="K31" s="46" t="str">
        <f>'grup-1'!H280</f>
        <v/>
      </c>
      <c r="L31" s="46" t="str">
        <f>'grup-1'!H311</f>
        <v/>
      </c>
      <c r="M31" s="46" t="str">
        <f>'grup-1'!H342</f>
        <v/>
      </c>
      <c r="N31" s="46" t="str">
        <f>'grup-1'!H373</f>
        <v/>
      </c>
      <c r="O31" s="46" t="str">
        <f>'grup-1'!H405</f>
        <v/>
      </c>
      <c r="P31" s="46" t="str">
        <f>'grup-1'!H436</f>
        <v/>
      </c>
      <c r="Q31" s="46" t="str">
        <f>'grup-1'!H467</f>
        <v/>
      </c>
      <c r="R31" s="46" t="str">
        <f>'grup-1'!H498</f>
        <v/>
      </c>
      <c r="S31" s="46" t="str">
        <f>'grup-1'!H529</f>
        <v/>
      </c>
      <c r="T31" s="46" t="str">
        <f>'grup-1'!H560</f>
        <v/>
      </c>
      <c r="U31" s="46" t="str">
        <f>'grup-1'!H591</f>
        <v/>
      </c>
      <c r="V31" s="46" t="str">
        <f>'grup-1'!H622</f>
        <v/>
      </c>
      <c r="W31" s="46" t="str">
        <f>'grup-1'!H653</f>
        <v/>
      </c>
      <c r="X31" s="46" t="str">
        <f>'grup-1'!H684</f>
        <v/>
      </c>
      <c r="Y31" s="46" t="str">
        <f>'grup-1'!H715</f>
        <v/>
      </c>
      <c r="Z31" s="46" t="str">
        <f>'grup-1'!H746</f>
        <v/>
      </c>
      <c r="AA31" s="45">
        <f t="shared" si="7"/>
        <v>0</v>
      </c>
      <c r="AB31" s="47">
        <f t="shared" si="8"/>
        <v>0</v>
      </c>
      <c r="AC31" s="47">
        <f t="shared" si="9"/>
        <v>0</v>
      </c>
      <c r="AD31" s="47">
        <f t="shared" si="10"/>
        <v>0</v>
      </c>
      <c r="AE31" s="122" t="e" cm="1">
        <f t="array" ref="AE31">_xlfn.LET(_xlpm.z,C31:Z31,_xlpm.o,MATCH(2,1/(_xlpm.z&lt;&gt;"")),_xlpm.p,MAX(1,_xlpm.o-4),SUM(INDEX(_xlpm.z,_xlpm.p):INDEX(_xlpm.z,_xlpm.o)))</f>
        <v>#N/A</v>
      </c>
    </row>
    <row r="32" spans="2:31" ht="15.75">
      <c r="B32" s="107" t="s">
        <v>194</v>
      </c>
      <c r="C32" s="48" t="str">
        <f>'grup-1'!H33</f>
        <v/>
      </c>
      <c r="D32" s="48" t="str">
        <f>'grup-1'!H64</f>
        <v/>
      </c>
      <c r="E32" s="48" t="str">
        <f>'grup-1'!H95</f>
        <v/>
      </c>
      <c r="F32" s="48" t="str">
        <f>'grup-1'!H126</f>
        <v/>
      </c>
      <c r="G32" s="48" t="str">
        <f>'grup-1'!H157</f>
        <v/>
      </c>
      <c r="H32" s="48" t="str">
        <f>'grup-1'!H188</f>
        <v/>
      </c>
      <c r="I32" s="48" t="str">
        <f>'grup-1'!H219</f>
        <v/>
      </c>
      <c r="J32" s="48" t="str">
        <f>'grup-1'!H250</f>
        <v/>
      </c>
      <c r="K32" s="48" t="str">
        <f>'grup-1'!H281</f>
        <v/>
      </c>
      <c r="L32" s="48" t="str">
        <f>'grup-1'!H312</f>
        <v/>
      </c>
      <c r="M32" s="48" t="str">
        <f>'grup-1'!H343</f>
        <v/>
      </c>
      <c r="N32" s="48" t="str">
        <f>'grup-1'!H374</f>
        <v/>
      </c>
      <c r="O32" s="48" t="str">
        <f>'grup-1'!H406</f>
        <v/>
      </c>
      <c r="P32" s="48" t="str">
        <f>'grup-1'!H437</f>
        <v/>
      </c>
      <c r="Q32" s="48" t="str">
        <f>'grup-1'!H468</f>
        <v/>
      </c>
      <c r="R32" s="48" t="str">
        <f>'grup-1'!H499</f>
        <v/>
      </c>
      <c r="S32" s="48" t="str">
        <f>'grup-1'!H530</f>
        <v/>
      </c>
      <c r="T32" s="48" t="str">
        <f>'grup-1'!H561</f>
        <v/>
      </c>
      <c r="U32" s="48" t="str">
        <f>'grup-1'!H592</f>
        <v/>
      </c>
      <c r="V32" s="48" t="str">
        <f>'grup-1'!H623</f>
        <v/>
      </c>
      <c r="W32" s="48" t="str">
        <f>'grup-1'!H654</f>
        <v/>
      </c>
      <c r="X32" s="48" t="str">
        <f>'grup-1'!H685</f>
        <v/>
      </c>
      <c r="Y32" s="48" t="str">
        <f>'grup-1'!H716</f>
        <v/>
      </c>
      <c r="Z32" s="48" t="str">
        <f>'grup-1'!H747</f>
        <v/>
      </c>
      <c r="AA32" s="45">
        <f t="shared" si="7"/>
        <v>0</v>
      </c>
      <c r="AB32" s="47">
        <f t="shared" si="8"/>
        <v>0</v>
      </c>
      <c r="AC32" s="47">
        <f t="shared" si="9"/>
        <v>0</v>
      </c>
      <c r="AD32" s="47">
        <f t="shared" si="10"/>
        <v>0</v>
      </c>
      <c r="AE32" s="122" t="e" cm="1">
        <f t="array" ref="AE32">_xlfn.LET(_xlpm.z,C32:Z32,_xlpm.o,MATCH(2,1/(_xlpm.z&lt;&gt;"")),_xlpm.p,MAX(1,_xlpm.o-4),SUM(INDEX(_xlpm.z,_xlpm.p):INDEX(_xlpm.z,_xlpm.o)))</f>
        <v>#N/A</v>
      </c>
    </row>
    <row r="33" spans="2:31" ht="15.75">
      <c r="B33" s="108" t="s">
        <v>195</v>
      </c>
      <c r="C33" s="46" t="str">
        <f>'grup-1'!N6</f>
        <v/>
      </c>
      <c r="D33" s="46" t="str">
        <f>'grup-1'!N37</f>
        <v/>
      </c>
      <c r="E33" s="46" t="str">
        <f>'grup-1'!N68</f>
        <v/>
      </c>
      <c r="F33" s="46" t="str">
        <f>'grup-1'!N99</f>
        <v/>
      </c>
      <c r="G33" s="46" t="str">
        <f>'grup-1'!N130</f>
        <v/>
      </c>
      <c r="H33" s="46" t="str">
        <f>'grup-1'!N161</f>
        <v/>
      </c>
      <c r="I33" s="46" t="str">
        <f>'grup-1'!N192</f>
        <v/>
      </c>
      <c r="J33" s="46" t="str">
        <f>'grup-1'!N223</f>
        <v/>
      </c>
      <c r="K33" s="46" t="str">
        <f>'grup-1'!N254</f>
        <v/>
      </c>
      <c r="L33" s="46" t="str">
        <f>'grup-1'!N285</f>
        <v/>
      </c>
      <c r="M33" s="46" t="str">
        <f>'grup-1'!N316</f>
        <v/>
      </c>
      <c r="N33" s="46" t="str">
        <f>'grup-1'!N347</f>
        <v/>
      </c>
      <c r="O33" s="46" t="str">
        <f>'grup-1'!N379</f>
        <v/>
      </c>
      <c r="P33" s="46" t="str">
        <f>'grup-1'!N410</f>
        <v/>
      </c>
      <c r="Q33" s="46" t="str">
        <f>'grup-1'!N441</f>
        <v/>
      </c>
      <c r="R33" s="46" t="str">
        <f>'grup-1'!N472</f>
        <v/>
      </c>
      <c r="S33" s="46" t="str">
        <f>'grup-1'!N503</f>
        <v/>
      </c>
      <c r="T33" s="46" t="str">
        <f>'grup-1'!N534</f>
        <v/>
      </c>
      <c r="U33" s="46" t="str">
        <f>'grup-1'!N565</f>
        <v/>
      </c>
      <c r="V33" s="46" t="str">
        <f>'grup-1'!N596</f>
        <v/>
      </c>
      <c r="W33" s="46" t="str">
        <f>'grup-1'!N627</f>
        <v/>
      </c>
      <c r="X33" s="46" t="str">
        <f>'grup-1'!N658</f>
        <v/>
      </c>
      <c r="Y33" s="46" t="str">
        <f>'grup-1'!N689</f>
        <v/>
      </c>
      <c r="Z33" s="46" t="str">
        <f>'grup-1'!N720</f>
        <v/>
      </c>
      <c r="AA33" s="45">
        <f t="shared" si="7"/>
        <v>0</v>
      </c>
      <c r="AB33" s="47">
        <f t="shared" si="8"/>
        <v>0</v>
      </c>
      <c r="AC33" s="47">
        <f t="shared" si="9"/>
        <v>0</v>
      </c>
      <c r="AD33" s="47">
        <f t="shared" si="10"/>
        <v>0</v>
      </c>
      <c r="AE33" s="122" t="e" cm="1">
        <f t="array" ref="AE33">_xlfn.LET(_xlpm.z,C33:Z33,_xlpm.o,MATCH(2,1/(_xlpm.z&lt;&gt;"")),_xlpm.p,MAX(1,_xlpm.o-4),SUM(INDEX(_xlpm.z,_xlpm.p):INDEX(_xlpm.z,_xlpm.o)))</f>
        <v>#N/A</v>
      </c>
    </row>
    <row r="34" spans="2:31" ht="15.75">
      <c r="B34" s="108" t="s">
        <v>196</v>
      </c>
      <c r="C34" s="48" t="str">
        <f>'grup-1'!N7</f>
        <v/>
      </c>
      <c r="D34" s="48" t="str">
        <f>'grup-1'!N38</f>
        <v/>
      </c>
      <c r="E34" s="48" t="str">
        <f>'grup-1'!N69</f>
        <v/>
      </c>
      <c r="F34" s="48" t="str">
        <f>'grup-1'!N100</f>
        <v/>
      </c>
      <c r="G34" s="48" t="str">
        <f>'grup-1'!N131</f>
        <v/>
      </c>
      <c r="H34" s="48" t="str">
        <f>'grup-1'!N162</f>
        <v/>
      </c>
      <c r="I34" s="48" t="str">
        <f>'grup-1'!N193</f>
        <v/>
      </c>
      <c r="J34" s="48" t="str">
        <f>'grup-1'!N224</f>
        <v/>
      </c>
      <c r="K34" s="48" t="str">
        <f>'grup-1'!N255</f>
        <v/>
      </c>
      <c r="L34" s="48" t="str">
        <f>'grup-1'!N286</f>
        <v/>
      </c>
      <c r="M34" s="48" t="str">
        <f>'grup-1'!N317</f>
        <v/>
      </c>
      <c r="N34" s="48" t="str">
        <f>'grup-1'!N348</f>
        <v/>
      </c>
      <c r="O34" s="48" t="str">
        <f>'grup-1'!N380</f>
        <v/>
      </c>
      <c r="P34" s="48" t="str">
        <f>'grup-1'!N411</f>
        <v/>
      </c>
      <c r="Q34" s="48" t="str">
        <f>'grup-1'!N442</f>
        <v/>
      </c>
      <c r="R34" s="48" t="str">
        <f>'grup-1'!N473</f>
        <v/>
      </c>
      <c r="S34" s="48" t="str">
        <f>'grup-1'!N504</f>
        <v/>
      </c>
      <c r="T34" s="48" t="str">
        <f>'grup-1'!N535</f>
        <v/>
      </c>
      <c r="U34" s="48" t="str">
        <f>'grup-1'!N566</f>
        <v/>
      </c>
      <c r="V34" s="48" t="str">
        <f>'grup-1'!N597</f>
        <v/>
      </c>
      <c r="W34" s="48" t="str">
        <f>'grup-1'!N628</f>
        <v/>
      </c>
      <c r="X34" s="48" t="str">
        <f>'grup-1'!N659</f>
        <v/>
      </c>
      <c r="Y34" s="48" t="str">
        <f>'grup-1'!N690</f>
        <v/>
      </c>
      <c r="Z34" s="48" t="str">
        <f>'grup-1'!N721</f>
        <v/>
      </c>
      <c r="AA34" s="45">
        <f t="shared" si="7"/>
        <v>0</v>
      </c>
      <c r="AB34" s="47">
        <f t="shared" si="8"/>
        <v>0</v>
      </c>
      <c r="AC34" s="47">
        <f t="shared" si="9"/>
        <v>0</v>
      </c>
      <c r="AD34" s="47">
        <f t="shared" si="10"/>
        <v>0</v>
      </c>
      <c r="AE34" s="122" t="e" cm="1">
        <f t="array" ref="AE34">_xlfn.LET(_xlpm.z,C34:Z34,_xlpm.o,MATCH(2,1/(_xlpm.z&lt;&gt;"")),_xlpm.p,MAX(1,_xlpm.o-4),SUM(INDEX(_xlpm.z,_xlpm.p):INDEX(_xlpm.z,_xlpm.o)))</f>
        <v>#N/A</v>
      </c>
    </row>
    <row r="35" spans="2:31" ht="15.75">
      <c r="B35" s="108" t="s">
        <v>197</v>
      </c>
      <c r="C35" s="46" t="str">
        <f>'grup-1'!N8</f>
        <v/>
      </c>
      <c r="D35" s="46" t="str">
        <f>'grup-1'!N39</f>
        <v/>
      </c>
      <c r="E35" s="46" t="str">
        <f>'grup-1'!N70</f>
        <v/>
      </c>
      <c r="F35" s="46" t="str">
        <f>'grup-1'!N101</f>
        <v/>
      </c>
      <c r="G35" s="46" t="str">
        <f>'grup-1'!N132</f>
        <v/>
      </c>
      <c r="H35" s="46" t="str">
        <f>'grup-1'!N163</f>
        <v/>
      </c>
      <c r="I35" s="46" t="str">
        <f>'grup-1'!N194</f>
        <v/>
      </c>
      <c r="J35" s="46" t="str">
        <f>'grup-1'!N225</f>
        <v/>
      </c>
      <c r="K35" s="46" t="str">
        <f>'grup-1'!N256</f>
        <v/>
      </c>
      <c r="L35" s="46" t="str">
        <f>'grup-1'!N287</f>
        <v/>
      </c>
      <c r="M35" s="46" t="str">
        <f>'grup-1'!N318</f>
        <v/>
      </c>
      <c r="N35" s="46" t="str">
        <f>'grup-1'!N349</f>
        <v/>
      </c>
      <c r="O35" s="46" t="str">
        <f>'grup-1'!N381</f>
        <v/>
      </c>
      <c r="P35" s="46" t="str">
        <f>'grup-1'!N412</f>
        <v/>
      </c>
      <c r="Q35" s="46" t="str">
        <f>'grup-1'!N443</f>
        <v/>
      </c>
      <c r="R35" s="46" t="str">
        <f>'grup-1'!N474</f>
        <v/>
      </c>
      <c r="S35" s="46" t="str">
        <f>'grup-1'!N505</f>
        <v/>
      </c>
      <c r="T35" s="46" t="str">
        <f>'grup-1'!N536</f>
        <v/>
      </c>
      <c r="U35" s="46" t="str">
        <f>'grup-1'!N567</f>
        <v/>
      </c>
      <c r="V35" s="46" t="str">
        <f>'grup-1'!N598</f>
        <v/>
      </c>
      <c r="W35" s="46" t="str">
        <f>'grup-1'!N629</f>
        <v/>
      </c>
      <c r="X35" s="46" t="str">
        <f>'grup-1'!N660</f>
        <v/>
      </c>
      <c r="Y35" s="46" t="str">
        <f>'grup-1'!N691</f>
        <v/>
      </c>
      <c r="Z35" s="46" t="str">
        <f>'grup-1'!N722</f>
        <v/>
      </c>
      <c r="AA35" s="45">
        <f t="shared" si="7"/>
        <v>0</v>
      </c>
      <c r="AB35" s="47">
        <f t="shared" si="8"/>
        <v>0</v>
      </c>
      <c r="AC35" s="47">
        <f t="shared" si="9"/>
        <v>0</v>
      </c>
      <c r="AD35" s="47">
        <f t="shared" si="10"/>
        <v>0</v>
      </c>
      <c r="AE35" s="122" t="e" cm="1">
        <f t="array" ref="AE35">_xlfn.LET(_xlpm.z,C35:Z35,_xlpm.o,MATCH(2,1/(_xlpm.z&lt;&gt;"")),_xlpm.p,MAX(1,_xlpm.o-4),SUM(INDEX(_xlpm.z,_xlpm.p):INDEX(_xlpm.z,_xlpm.o)))</f>
        <v>#N/A</v>
      </c>
    </row>
    <row r="36" spans="2:31" ht="15.75">
      <c r="B36" s="108" t="s">
        <v>198</v>
      </c>
      <c r="C36" s="48" t="str">
        <f>'grup-1'!N9</f>
        <v/>
      </c>
      <c r="D36" s="48" t="str">
        <f>'grup-1'!N40</f>
        <v/>
      </c>
      <c r="E36" s="48" t="str">
        <f>'grup-1'!N71</f>
        <v/>
      </c>
      <c r="F36" s="48" t="str">
        <f>'grup-1'!N102</f>
        <v/>
      </c>
      <c r="G36" s="48" t="str">
        <f>'grup-1'!N133</f>
        <v/>
      </c>
      <c r="H36" s="48" t="str">
        <f>'grup-1'!N164</f>
        <v/>
      </c>
      <c r="I36" s="48" t="str">
        <f>'grup-1'!N195</f>
        <v/>
      </c>
      <c r="J36" s="48" t="str">
        <f>'grup-1'!N226</f>
        <v/>
      </c>
      <c r="K36" s="48" t="str">
        <f>'grup-1'!N257</f>
        <v/>
      </c>
      <c r="L36" s="48" t="str">
        <f>'grup-1'!N288</f>
        <v/>
      </c>
      <c r="M36" s="48" t="str">
        <f>'grup-1'!N319</f>
        <v/>
      </c>
      <c r="N36" s="48" t="str">
        <f>'grup-1'!N350</f>
        <v/>
      </c>
      <c r="O36" s="48" t="str">
        <f>'grup-1'!N382</f>
        <v/>
      </c>
      <c r="P36" s="48" t="str">
        <f>'grup-1'!N413</f>
        <v/>
      </c>
      <c r="Q36" s="48" t="str">
        <f>'grup-1'!N444</f>
        <v/>
      </c>
      <c r="R36" s="48" t="str">
        <f>'grup-1'!N475</f>
        <v/>
      </c>
      <c r="S36" s="48" t="str">
        <f>'grup-1'!N506</f>
        <v/>
      </c>
      <c r="T36" s="48" t="str">
        <f>'grup-1'!N537</f>
        <v/>
      </c>
      <c r="U36" s="48" t="str">
        <f>'grup-1'!N568</f>
        <v/>
      </c>
      <c r="V36" s="48" t="str">
        <f>'grup-1'!N599</f>
        <v/>
      </c>
      <c r="W36" s="48" t="str">
        <f>'grup-1'!N630</f>
        <v/>
      </c>
      <c r="X36" s="48" t="str">
        <f>'grup-1'!N661</f>
        <v/>
      </c>
      <c r="Y36" s="48" t="str">
        <f>'grup-1'!N692</f>
        <v/>
      </c>
      <c r="Z36" s="48" t="str">
        <f>'grup-1'!N723</f>
        <v/>
      </c>
      <c r="AA36" s="45">
        <f t="shared" si="7"/>
        <v>0</v>
      </c>
      <c r="AB36" s="47">
        <f t="shared" si="8"/>
        <v>0</v>
      </c>
      <c r="AC36" s="47">
        <f t="shared" si="9"/>
        <v>0</v>
      </c>
      <c r="AD36" s="47">
        <f t="shared" si="10"/>
        <v>0</v>
      </c>
      <c r="AE36" s="122" t="e" cm="1">
        <f t="array" ref="AE36">_xlfn.LET(_xlpm.z,C36:Z36,_xlpm.o,MATCH(2,1/(_xlpm.z&lt;&gt;"")),_xlpm.p,MAX(1,_xlpm.o-4),SUM(INDEX(_xlpm.z,_xlpm.p):INDEX(_xlpm.z,_xlpm.o)))</f>
        <v>#N/A</v>
      </c>
    </row>
    <row r="37" spans="2:31" ht="15.75">
      <c r="B37" s="108" t="s">
        <v>199</v>
      </c>
      <c r="C37" s="46" t="str">
        <f>'grup-1'!N10</f>
        <v/>
      </c>
      <c r="D37" s="46" t="str">
        <f>'grup-1'!N41</f>
        <v/>
      </c>
      <c r="E37" s="46" t="str">
        <f>'grup-1'!N72</f>
        <v/>
      </c>
      <c r="F37" s="46" t="str">
        <f>'grup-1'!N103</f>
        <v/>
      </c>
      <c r="G37" s="46" t="str">
        <f>'grup-1'!N134</f>
        <v/>
      </c>
      <c r="H37" s="46" t="str">
        <f>'grup-1'!N165</f>
        <v/>
      </c>
      <c r="I37" s="46" t="str">
        <f>'grup-1'!N196</f>
        <v/>
      </c>
      <c r="J37" s="46" t="str">
        <f>'grup-1'!N227</f>
        <v/>
      </c>
      <c r="K37" s="46" t="str">
        <f>'grup-1'!N258</f>
        <v/>
      </c>
      <c r="L37" s="46" t="str">
        <f>'grup-1'!N289</f>
        <v/>
      </c>
      <c r="M37" s="46" t="str">
        <f>'grup-1'!N320</f>
        <v/>
      </c>
      <c r="N37" s="46" t="str">
        <f>'grup-1'!N351</f>
        <v/>
      </c>
      <c r="O37" s="46" t="str">
        <f>'grup-1'!N383</f>
        <v/>
      </c>
      <c r="P37" s="46" t="str">
        <f>'grup-1'!N414</f>
        <v/>
      </c>
      <c r="Q37" s="46" t="str">
        <f>'grup-1'!N445</f>
        <v/>
      </c>
      <c r="R37" s="46" t="str">
        <f>'grup-1'!N476</f>
        <v/>
      </c>
      <c r="S37" s="46" t="str">
        <f>'grup-1'!N507</f>
        <v/>
      </c>
      <c r="T37" s="46" t="str">
        <f>'grup-1'!N538</f>
        <v/>
      </c>
      <c r="U37" s="46" t="str">
        <f>'grup-1'!N569</f>
        <v/>
      </c>
      <c r="V37" s="46" t="str">
        <f>'grup-1'!N600</f>
        <v/>
      </c>
      <c r="W37" s="46" t="str">
        <f>'grup-1'!N631</f>
        <v/>
      </c>
      <c r="X37" s="46" t="str">
        <f>'grup-1'!N662</f>
        <v/>
      </c>
      <c r="Y37" s="46" t="str">
        <f>'grup-1'!N693</f>
        <v/>
      </c>
      <c r="Z37" s="46" t="str">
        <f>'grup-1'!N724</f>
        <v/>
      </c>
      <c r="AA37" s="45">
        <f t="shared" si="7"/>
        <v>0</v>
      </c>
      <c r="AB37" s="47">
        <f t="shared" si="8"/>
        <v>0</v>
      </c>
      <c r="AC37" s="47">
        <f t="shared" si="9"/>
        <v>0</v>
      </c>
      <c r="AD37" s="47">
        <f t="shared" si="10"/>
        <v>0</v>
      </c>
      <c r="AE37" s="122" t="e" cm="1">
        <f t="array" ref="AE37">_xlfn.LET(_xlpm.z,C37:Z37,_xlpm.o,MATCH(2,1/(_xlpm.z&lt;&gt;"")),_xlpm.p,MAX(1,_xlpm.o-4),SUM(INDEX(_xlpm.z,_xlpm.p):INDEX(_xlpm.z,_xlpm.o)))</f>
        <v>#N/A</v>
      </c>
    </row>
    <row r="38" spans="2:31" ht="15.75">
      <c r="B38" s="108" t="s">
        <v>200</v>
      </c>
      <c r="C38" s="48" t="str">
        <f>'grup-1'!N11</f>
        <v/>
      </c>
      <c r="D38" s="48" t="str">
        <f>'grup-1'!N42</f>
        <v/>
      </c>
      <c r="E38" s="48" t="str">
        <f>'grup-1'!N73</f>
        <v/>
      </c>
      <c r="F38" s="48" t="str">
        <f>'grup-1'!N104</f>
        <v/>
      </c>
      <c r="G38" s="48" t="str">
        <f>'grup-1'!N135</f>
        <v/>
      </c>
      <c r="H38" s="48" t="str">
        <f>'grup-1'!N166</f>
        <v/>
      </c>
      <c r="I38" s="48" t="str">
        <f>'grup-1'!N197</f>
        <v/>
      </c>
      <c r="J38" s="48" t="str">
        <f>'grup-1'!N228</f>
        <v/>
      </c>
      <c r="K38" s="48" t="str">
        <f>'grup-1'!N259</f>
        <v/>
      </c>
      <c r="L38" s="48" t="str">
        <f>'grup-1'!N290</f>
        <v/>
      </c>
      <c r="M38" s="48" t="str">
        <f>'grup-1'!N321</f>
        <v/>
      </c>
      <c r="N38" s="48" t="str">
        <f>'grup-1'!N352</f>
        <v/>
      </c>
      <c r="O38" s="48" t="str">
        <f>'grup-1'!N384</f>
        <v/>
      </c>
      <c r="P38" s="48" t="str">
        <f>'grup-1'!N415</f>
        <v/>
      </c>
      <c r="Q38" s="48" t="str">
        <f>'grup-1'!N446</f>
        <v/>
      </c>
      <c r="R38" s="48" t="str">
        <f>'grup-1'!N477</f>
        <v/>
      </c>
      <c r="S38" s="48" t="str">
        <f>'grup-1'!N508</f>
        <v/>
      </c>
      <c r="T38" s="48" t="str">
        <f>'grup-1'!N539</f>
        <v/>
      </c>
      <c r="U38" s="48" t="str">
        <f>'grup-1'!N570</f>
        <v/>
      </c>
      <c r="V38" s="48" t="str">
        <f>'grup-1'!N601</f>
        <v/>
      </c>
      <c r="W38" s="48" t="str">
        <f>'grup-1'!N632</f>
        <v/>
      </c>
      <c r="X38" s="48" t="str">
        <f>'grup-1'!N663</f>
        <v/>
      </c>
      <c r="Y38" s="48" t="str">
        <f>'grup-1'!N694</f>
        <v/>
      </c>
      <c r="Z38" s="48" t="str">
        <f>'grup-1'!N725</f>
        <v/>
      </c>
      <c r="AA38" s="45">
        <f t="shared" si="7"/>
        <v>0</v>
      </c>
      <c r="AB38" s="47">
        <f t="shared" si="8"/>
        <v>0</v>
      </c>
      <c r="AC38" s="47">
        <f t="shared" si="9"/>
        <v>0</v>
      </c>
      <c r="AD38" s="47">
        <f t="shared" si="10"/>
        <v>0</v>
      </c>
      <c r="AE38" s="122" t="e" cm="1">
        <f t="array" ref="AE38">_xlfn.LET(_xlpm.z,C38:Z38,_xlpm.o,MATCH(2,1/(_xlpm.z&lt;&gt;"")),_xlpm.p,MAX(1,_xlpm.o-4),SUM(INDEX(_xlpm.z,_xlpm.p):INDEX(_xlpm.z,_xlpm.o)))</f>
        <v>#N/A</v>
      </c>
    </row>
    <row r="39" spans="2:31" ht="15.75">
      <c r="B39" s="108" t="s">
        <v>201</v>
      </c>
      <c r="C39" s="46" t="str">
        <f>'grup-1'!N12</f>
        <v/>
      </c>
      <c r="D39" s="46" t="str">
        <f>'grup-1'!N43</f>
        <v/>
      </c>
      <c r="E39" s="46" t="str">
        <f>'grup-1'!N74</f>
        <v/>
      </c>
      <c r="F39" s="46" t="str">
        <f>'grup-1'!N105</f>
        <v/>
      </c>
      <c r="G39" s="46" t="str">
        <f>'grup-1'!N136</f>
        <v/>
      </c>
      <c r="H39" s="46" t="str">
        <f>'grup-1'!N167</f>
        <v/>
      </c>
      <c r="I39" s="46" t="str">
        <f>'grup-1'!N198</f>
        <v/>
      </c>
      <c r="J39" s="46" t="str">
        <f>'grup-1'!N229</f>
        <v/>
      </c>
      <c r="K39" s="46" t="str">
        <f>'grup-1'!N260</f>
        <v/>
      </c>
      <c r="L39" s="46" t="str">
        <f>'grup-1'!N291</f>
        <v/>
      </c>
      <c r="M39" s="46" t="str">
        <f>'grup-1'!N322</f>
        <v/>
      </c>
      <c r="N39" s="46" t="str">
        <f>'grup-1'!N353</f>
        <v/>
      </c>
      <c r="O39" s="46" t="str">
        <f>'grup-1'!N385</f>
        <v/>
      </c>
      <c r="P39" s="46" t="str">
        <f>'grup-1'!N416</f>
        <v/>
      </c>
      <c r="Q39" s="46" t="str">
        <f>'grup-1'!N447</f>
        <v/>
      </c>
      <c r="R39" s="46" t="str">
        <f>'grup-1'!N478</f>
        <v/>
      </c>
      <c r="S39" s="46" t="str">
        <f>'grup-1'!N509</f>
        <v/>
      </c>
      <c r="T39" s="46" t="str">
        <f>'grup-1'!N540</f>
        <v/>
      </c>
      <c r="U39" s="46" t="str">
        <f>'grup-1'!N571</f>
        <v/>
      </c>
      <c r="V39" s="46" t="str">
        <f>'grup-1'!N602</f>
        <v/>
      </c>
      <c r="W39" s="46" t="str">
        <f>'grup-1'!N633</f>
        <v/>
      </c>
      <c r="X39" s="46" t="str">
        <f>'grup-1'!N664</f>
        <v/>
      </c>
      <c r="Y39" s="46" t="str">
        <f>'grup-1'!N695</f>
        <v/>
      </c>
      <c r="Z39" s="46" t="str">
        <f>'grup-1'!N726</f>
        <v/>
      </c>
      <c r="AA39" s="45">
        <f t="shared" si="7"/>
        <v>0</v>
      </c>
      <c r="AB39" s="47">
        <f t="shared" si="8"/>
        <v>0</v>
      </c>
      <c r="AC39" s="47">
        <f t="shared" si="9"/>
        <v>0</v>
      </c>
      <c r="AD39" s="47">
        <f t="shared" si="10"/>
        <v>0</v>
      </c>
      <c r="AE39" s="122" t="e" cm="1">
        <f t="array" ref="AE39">_xlfn.LET(_xlpm.z,C39:Z39,_xlpm.o,MATCH(2,1/(_xlpm.z&lt;&gt;"")),_xlpm.p,MAX(1,_xlpm.o-4),SUM(INDEX(_xlpm.z,_xlpm.p):INDEX(_xlpm.z,_xlpm.o)))</f>
        <v>#N/A</v>
      </c>
    </row>
    <row r="40" spans="2:31" ht="15.75">
      <c r="B40" s="109" t="s">
        <v>202</v>
      </c>
      <c r="C40" s="48" t="str">
        <f>'grup-1'!N13</f>
        <v/>
      </c>
      <c r="D40" s="48" t="str">
        <f>'grup-1'!N44</f>
        <v/>
      </c>
      <c r="E40" s="48" t="str">
        <f>'grup-1'!N75</f>
        <v/>
      </c>
      <c r="F40" s="48" t="str">
        <f>'grup-1'!N106</f>
        <v/>
      </c>
      <c r="G40" s="48" t="str">
        <f>'grup-1'!N137</f>
        <v/>
      </c>
      <c r="H40" s="48" t="str">
        <f>'grup-1'!N168</f>
        <v/>
      </c>
      <c r="I40" s="48" t="str">
        <f>'grup-1'!N199</f>
        <v/>
      </c>
      <c r="J40" s="48" t="str">
        <f>'grup-1'!N230</f>
        <v/>
      </c>
      <c r="K40" s="48" t="str">
        <f>'grup-1'!N261</f>
        <v/>
      </c>
      <c r="L40" s="48" t="str">
        <f>'grup-1'!N292</f>
        <v/>
      </c>
      <c r="M40" s="48" t="str">
        <f>'grup-1'!N323</f>
        <v/>
      </c>
      <c r="N40" s="48" t="str">
        <f>'grup-1'!N354</f>
        <v/>
      </c>
      <c r="O40" s="48" t="str">
        <f>'grup-1'!N386</f>
        <v/>
      </c>
      <c r="P40" s="48" t="str">
        <f>'grup-1'!N417</f>
        <v/>
      </c>
      <c r="Q40" s="48" t="str">
        <f>'grup-1'!N448</f>
        <v/>
      </c>
      <c r="R40" s="48" t="str">
        <f>'grup-1'!N479</f>
        <v/>
      </c>
      <c r="S40" s="48" t="str">
        <f>'grup-1'!N510</f>
        <v/>
      </c>
      <c r="T40" s="48" t="str">
        <f>'grup-1'!N541</f>
        <v/>
      </c>
      <c r="U40" s="48" t="str">
        <f>'grup-1'!N572</f>
        <v/>
      </c>
      <c r="V40" s="48" t="str">
        <f>'grup-1'!N603</f>
        <v/>
      </c>
      <c r="W40" s="48" t="str">
        <f>'grup-1'!N634</f>
        <v/>
      </c>
      <c r="X40" s="48" t="str">
        <f>'grup-1'!N665</f>
        <v/>
      </c>
      <c r="Y40" s="48" t="str">
        <f>'grup-1'!N696</f>
        <v/>
      </c>
      <c r="Z40" s="48" t="str">
        <f>'grup-1'!N727</f>
        <v/>
      </c>
      <c r="AA40" s="45">
        <f t="shared" si="7"/>
        <v>0</v>
      </c>
      <c r="AB40" s="47">
        <f t="shared" si="8"/>
        <v>0</v>
      </c>
      <c r="AC40" s="47">
        <f t="shared" si="9"/>
        <v>0</v>
      </c>
      <c r="AD40" s="47">
        <f t="shared" si="10"/>
        <v>0</v>
      </c>
      <c r="AE40" s="122" t="e" cm="1">
        <f t="array" ref="AE40">_xlfn.LET(_xlpm.z,C40:Z40,_xlpm.o,MATCH(2,1/(_xlpm.z&lt;&gt;"")),_xlpm.p,MAX(1,_xlpm.o-4),SUM(INDEX(_xlpm.z,_xlpm.p):INDEX(_xlpm.z,_xlpm.o)))</f>
        <v>#N/A</v>
      </c>
    </row>
    <row r="41" spans="2:31" ht="15.75">
      <c r="B41" s="109" t="s">
        <v>203</v>
      </c>
      <c r="C41" s="46" t="str">
        <f>'grup-1'!N14</f>
        <v/>
      </c>
      <c r="D41" s="46" t="str">
        <f>'grup-1'!N45</f>
        <v/>
      </c>
      <c r="E41" s="46" t="str">
        <f>'grup-1'!N76</f>
        <v/>
      </c>
      <c r="F41" s="46" t="str">
        <f>'grup-1'!N107</f>
        <v/>
      </c>
      <c r="G41" s="46" t="str">
        <f>'grup-1'!N138</f>
        <v/>
      </c>
      <c r="H41" s="46" t="str">
        <f>'grup-1'!N169</f>
        <v/>
      </c>
      <c r="I41" s="46" t="str">
        <f>'grup-1'!N200</f>
        <v/>
      </c>
      <c r="J41" s="46" t="str">
        <f>'grup-1'!N231</f>
        <v/>
      </c>
      <c r="K41" s="46" t="str">
        <f>'grup-1'!N262</f>
        <v/>
      </c>
      <c r="L41" s="46" t="str">
        <f>'grup-1'!N293</f>
        <v/>
      </c>
      <c r="M41" s="46" t="str">
        <f>'grup-1'!N324</f>
        <v/>
      </c>
      <c r="N41" s="46" t="str">
        <f>'grup-1'!N355</f>
        <v/>
      </c>
      <c r="O41" s="46" t="str">
        <f>'grup-1'!N387</f>
        <v/>
      </c>
      <c r="P41" s="46" t="str">
        <f>'grup-1'!N418</f>
        <v/>
      </c>
      <c r="Q41" s="46" t="str">
        <f>'grup-1'!N449</f>
        <v/>
      </c>
      <c r="R41" s="46" t="str">
        <f>'grup-1'!N480</f>
        <v/>
      </c>
      <c r="S41" s="46" t="str">
        <f>'grup-1'!N511</f>
        <v/>
      </c>
      <c r="T41" s="46" t="str">
        <f>'grup-1'!N542</f>
        <v/>
      </c>
      <c r="U41" s="46" t="str">
        <f>'grup-1'!N573</f>
        <v/>
      </c>
      <c r="V41" s="46" t="str">
        <f>'grup-1'!N604</f>
        <v/>
      </c>
      <c r="W41" s="46" t="str">
        <f>'grup-1'!N635</f>
        <v/>
      </c>
      <c r="X41" s="46" t="str">
        <f>'grup-1'!N666</f>
        <v/>
      </c>
      <c r="Y41" s="46" t="str">
        <f>'grup-1'!N697</f>
        <v/>
      </c>
      <c r="Z41" s="46" t="str">
        <f>'grup-1'!N728</f>
        <v/>
      </c>
      <c r="AA41" s="45">
        <f t="shared" si="7"/>
        <v>0</v>
      </c>
      <c r="AB41" s="47">
        <f t="shared" si="8"/>
        <v>0</v>
      </c>
      <c r="AC41" s="47">
        <f t="shared" si="9"/>
        <v>0</v>
      </c>
      <c r="AD41" s="47">
        <f t="shared" si="10"/>
        <v>0</v>
      </c>
      <c r="AE41" s="122" t="e" cm="1">
        <f t="array" ref="AE41">_xlfn.LET(_xlpm.z,C41:Z41,_xlpm.o,MATCH(2,1/(_xlpm.z&lt;&gt;"")),_xlpm.p,MAX(1,_xlpm.o-4),SUM(INDEX(_xlpm.z,_xlpm.p):INDEX(_xlpm.z,_xlpm.o)))</f>
        <v>#N/A</v>
      </c>
    </row>
    <row r="42" spans="2:31" ht="15.75">
      <c r="B42" s="109" t="s">
        <v>204</v>
      </c>
      <c r="C42" s="48" t="str">
        <f>'grup-1'!N15</f>
        <v/>
      </c>
      <c r="D42" s="48" t="str">
        <f>'grup-1'!N46</f>
        <v/>
      </c>
      <c r="E42" s="48" t="str">
        <f>'grup-1'!N77</f>
        <v/>
      </c>
      <c r="F42" s="48" t="str">
        <f>'grup-1'!N108</f>
        <v/>
      </c>
      <c r="G42" s="48" t="str">
        <f>'grup-1'!N139</f>
        <v/>
      </c>
      <c r="H42" s="48" t="str">
        <f>'grup-1'!N170</f>
        <v/>
      </c>
      <c r="I42" s="48" t="str">
        <f>'grup-1'!N201</f>
        <v/>
      </c>
      <c r="J42" s="48" t="str">
        <f>'grup-1'!N232</f>
        <v/>
      </c>
      <c r="K42" s="48" t="str">
        <f>'grup-1'!N263</f>
        <v/>
      </c>
      <c r="L42" s="48" t="str">
        <f>'grup-1'!N294</f>
        <v/>
      </c>
      <c r="M42" s="48" t="str">
        <f>'grup-1'!N325</f>
        <v/>
      </c>
      <c r="N42" s="48" t="str">
        <f>'grup-1'!N356</f>
        <v/>
      </c>
      <c r="O42" s="48" t="str">
        <f>'grup-1'!N388</f>
        <v/>
      </c>
      <c r="P42" s="48" t="str">
        <f>'grup-1'!N419</f>
        <v/>
      </c>
      <c r="Q42" s="48" t="str">
        <f>'grup-1'!N450</f>
        <v/>
      </c>
      <c r="R42" s="48" t="str">
        <f>'grup-1'!N481</f>
        <v/>
      </c>
      <c r="S42" s="48" t="str">
        <f>'grup-1'!N512</f>
        <v/>
      </c>
      <c r="T42" s="48" t="str">
        <f>'grup-1'!N543</f>
        <v/>
      </c>
      <c r="U42" s="48" t="str">
        <f>'grup-1'!N574</f>
        <v/>
      </c>
      <c r="V42" s="48" t="str">
        <f>'grup-1'!N605</f>
        <v/>
      </c>
      <c r="W42" s="48" t="str">
        <f>'grup-1'!N636</f>
        <v/>
      </c>
      <c r="X42" s="48" t="str">
        <f>'grup-1'!N667</f>
        <v/>
      </c>
      <c r="Y42" s="48" t="str">
        <f>'grup-1'!N698</f>
        <v/>
      </c>
      <c r="Z42" s="48" t="str">
        <f>'grup-1'!N729</f>
        <v/>
      </c>
      <c r="AA42" s="45">
        <f t="shared" si="7"/>
        <v>0</v>
      </c>
      <c r="AB42" s="47">
        <f t="shared" si="8"/>
        <v>0</v>
      </c>
      <c r="AC42" s="47">
        <f t="shared" si="9"/>
        <v>0</v>
      </c>
      <c r="AD42" s="47">
        <f t="shared" si="10"/>
        <v>0</v>
      </c>
      <c r="AE42" s="122" t="e" cm="1">
        <f t="array" ref="AE42">_xlfn.LET(_xlpm.z,C42:Z42,_xlpm.o,MATCH(2,1/(_xlpm.z&lt;&gt;"")),_xlpm.p,MAX(1,_xlpm.o-4),SUM(INDEX(_xlpm.z,_xlpm.p):INDEX(_xlpm.z,_xlpm.o)))</f>
        <v>#N/A</v>
      </c>
    </row>
    <row r="43" spans="2:31" ht="15.75">
      <c r="B43" s="109" t="s">
        <v>223</v>
      </c>
      <c r="C43" s="46" t="str">
        <f>'grup-1'!N16</f>
        <v/>
      </c>
      <c r="D43" s="46" t="str">
        <f>'grup-1'!N47</f>
        <v/>
      </c>
      <c r="E43" s="46" t="str">
        <f>'grup-1'!N78</f>
        <v/>
      </c>
      <c r="F43" s="46" t="str">
        <f>'grup-1'!N109</f>
        <v/>
      </c>
      <c r="G43" s="46" t="str">
        <f>'grup-1'!N140</f>
        <v/>
      </c>
      <c r="H43" s="46" t="str">
        <f>'grup-1'!N171</f>
        <v/>
      </c>
      <c r="I43" s="46" t="str">
        <f>'grup-1'!N202</f>
        <v/>
      </c>
      <c r="J43" s="46" t="str">
        <f>'grup-1'!N233</f>
        <v/>
      </c>
      <c r="K43" s="46" t="str">
        <f>'grup-1'!N264</f>
        <v/>
      </c>
      <c r="L43" s="46" t="str">
        <f>'grup-1'!N295</f>
        <v/>
      </c>
      <c r="M43" s="46" t="str">
        <f>'grup-1'!N326</f>
        <v/>
      </c>
      <c r="N43" s="46" t="str">
        <f>'grup-1'!N357</f>
        <v/>
      </c>
      <c r="O43" s="46" t="str">
        <f>'grup-1'!N389</f>
        <v/>
      </c>
      <c r="P43" s="46" t="str">
        <f>'grup-1'!N420</f>
        <v/>
      </c>
      <c r="Q43" s="46" t="str">
        <f>'grup-1'!N451</f>
        <v/>
      </c>
      <c r="R43" s="46" t="str">
        <f>'grup-1'!N482</f>
        <v/>
      </c>
      <c r="S43" s="46" t="str">
        <f>'grup-1'!N513</f>
        <v/>
      </c>
      <c r="T43" s="46" t="str">
        <f>'grup-1'!N544</f>
        <v/>
      </c>
      <c r="U43" s="46" t="str">
        <f>'grup-1'!N575</f>
        <v/>
      </c>
      <c r="V43" s="46" t="str">
        <f>'grup-1'!N606</f>
        <v/>
      </c>
      <c r="W43" s="46" t="str">
        <f>'grup-1'!N637</f>
        <v/>
      </c>
      <c r="X43" s="46" t="str">
        <f>'grup-1'!N668</f>
        <v/>
      </c>
      <c r="Y43" s="46" t="str">
        <f>'grup-1'!N699</f>
        <v/>
      </c>
      <c r="Z43" s="46" t="str">
        <f>'grup-1'!N730</f>
        <v/>
      </c>
      <c r="AA43" s="45">
        <f t="shared" si="7"/>
        <v>0</v>
      </c>
      <c r="AB43" s="47">
        <f t="shared" si="8"/>
        <v>0</v>
      </c>
      <c r="AC43" s="47">
        <f t="shared" si="9"/>
        <v>0</v>
      </c>
      <c r="AD43" s="47">
        <f t="shared" si="10"/>
        <v>0</v>
      </c>
      <c r="AE43" s="122" t="e" cm="1">
        <f t="array" ref="AE43">_xlfn.LET(_xlpm.z,C43:Z43,_xlpm.o,MATCH(2,1/(_xlpm.z&lt;&gt;"")),_xlpm.p,MAX(1,_xlpm.o-4),SUM(INDEX(_xlpm.z,_xlpm.p):INDEX(_xlpm.z,_xlpm.o)))</f>
        <v>#N/A</v>
      </c>
    </row>
    <row r="44" spans="2:31" ht="15.75">
      <c r="B44" s="109" t="s">
        <v>205</v>
      </c>
      <c r="C44" s="48" t="str">
        <f>'grup-1'!N17</f>
        <v/>
      </c>
      <c r="D44" s="48" t="str">
        <f>'grup-1'!N48</f>
        <v/>
      </c>
      <c r="E44" s="48" t="str">
        <f>'grup-1'!N79</f>
        <v/>
      </c>
      <c r="F44" s="48" t="str">
        <f>'grup-1'!N110</f>
        <v/>
      </c>
      <c r="G44" s="48" t="str">
        <f>'grup-1'!N141</f>
        <v/>
      </c>
      <c r="H44" s="48" t="str">
        <f>'grup-1'!N172</f>
        <v/>
      </c>
      <c r="I44" s="48" t="str">
        <f>'grup-1'!N203</f>
        <v/>
      </c>
      <c r="J44" s="48" t="str">
        <f>'grup-1'!N234</f>
        <v/>
      </c>
      <c r="K44" s="48" t="str">
        <f>'grup-1'!N265</f>
        <v/>
      </c>
      <c r="L44" s="48" t="str">
        <f>'grup-1'!N296</f>
        <v/>
      </c>
      <c r="M44" s="48" t="str">
        <f>'grup-1'!N327</f>
        <v/>
      </c>
      <c r="N44" s="48" t="str">
        <f>'grup-1'!N358</f>
        <v/>
      </c>
      <c r="O44" s="48" t="str">
        <f>'grup-1'!N390</f>
        <v/>
      </c>
      <c r="P44" s="48" t="str">
        <f>'grup-1'!N421</f>
        <v/>
      </c>
      <c r="Q44" s="48" t="str">
        <f>'grup-1'!N452</f>
        <v/>
      </c>
      <c r="R44" s="48" t="str">
        <f>'grup-1'!N483</f>
        <v/>
      </c>
      <c r="S44" s="48" t="str">
        <f>'grup-1'!N514</f>
        <v/>
      </c>
      <c r="T44" s="48" t="str">
        <f>'grup-1'!N545</f>
        <v/>
      </c>
      <c r="U44" s="48" t="str">
        <f>'grup-1'!N576</f>
        <v/>
      </c>
      <c r="V44" s="48" t="str">
        <f>'grup-1'!N607</f>
        <v/>
      </c>
      <c r="W44" s="48" t="str">
        <f>'grup-1'!N638</f>
        <v/>
      </c>
      <c r="X44" s="48" t="str">
        <f>'grup-1'!N669</f>
        <v/>
      </c>
      <c r="Y44" s="48" t="str">
        <f>'grup-1'!N700</f>
        <v/>
      </c>
      <c r="Z44" s="48" t="str">
        <f>'grup-1'!N731</f>
        <v/>
      </c>
      <c r="AA44" s="45">
        <f t="shared" si="7"/>
        <v>0</v>
      </c>
      <c r="AB44" s="47">
        <f t="shared" si="8"/>
        <v>0</v>
      </c>
      <c r="AC44" s="47">
        <f t="shared" si="9"/>
        <v>0</v>
      </c>
      <c r="AD44" s="47">
        <f t="shared" si="10"/>
        <v>0</v>
      </c>
      <c r="AE44" s="122" t="e" cm="1">
        <f t="array" ref="AE44">_xlfn.LET(_xlpm.z,C44:Z44,_xlpm.o,MATCH(2,1/(_xlpm.z&lt;&gt;"")),_xlpm.p,MAX(1,_xlpm.o-4),SUM(INDEX(_xlpm.z,_xlpm.p):INDEX(_xlpm.z,_xlpm.o)))</f>
        <v>#N/A</v>
      </c>
    </row>
    <row r="45" spans="2:31" ht="15.75">
      <c r="B45" s="109" t="s">
        <v>206</v>
      </c>
      <c r="C45" s="46" t="str">
        <f>'grup-1'!N18</f>
        <v/>
      </c>
      <c r="D45" s="46" t="str">
        <f>'grup-1'!N49</f>
        <v/>
      </c>
      <c r="E45" s="46" t="str">
        <f>'grup-1'!N80</f>
        <v/>
      </c>
      <c r="F45" s="46" t="str">
        <f>'grup-1'!N111</f>
        <v/>
      </c>
      <c r="G45" s="46" t="str">
        <f>'grup-1'!N142</f>
        <v/>
      </c>
      <c r="H45" s="46" t="str">
        <f>'grup-1'!N173</f>
        <v/>
      </c>
      <c r="I45" s="46" t="str">
        <f>'grup-1'!N204</f>
        <v/>
      </c>
      <c r="J45" s="46" t="str">
        <f>'grup-1'!N235</f>
        <v/>
      </c>
      <c r="K45" s="46" t="str">
        <f>'grup-1'!N266</f>
        <v/>
      </c>
      <c r="L45" s="46" t="str">
        <f>'grup-1'!N297</f>
        <v/>
      </c>
      <c r="M45" s="46" t="str">
        <f>'grup-1'!N328</f>
        <v/>
      </c>
      <c r="N45" s="46" t="str">
        <f>'grup-1'!N359</f>
        <v/>
      </c>
      <c r="O45" s="46" t="str">
        <f>'grup-1'!N391</f>
        <v/>
      </c>
      <c r="P45" s="46" t="str">
        <f>'grup-1'!N422</f>
        <v/>
      </c>
      <c r="Q45" s="46" t="str">
        <f>'grup-1'!N453</f>
        <v/>
      </c>
      <c r="R45" s="46" t="str">
        <f>'grup-1'!N484</f>
        <v/>
      </c>
      <c r="S45" s="46" t="str">
        <f>'grup-1'!N515</f>
        <v/>
      </c>
      <c r="T45" s="46" t="str">
        <f>'grup-1'!N546</f>
        <v/>
      </c>
      <c r="U45" s="46" t="str">
        <f>'grup-1'!N577</f>
        <v/>
      </c>
      <c r="V45" s="46" t="str">
        <f>'grup-1'!N608</f>
        <v/>
      </c>
      <c r="W45" s="46" t="str">
        <f>'grup-1'!N639</f>
        <v/>
      </c>
      <c r="X45" s="46" t="str">
        <f>'grup-1'!N670</f>
        <v/>
      </c>
      <c r="Y45" s="46" t="str">
        <f>'grup-1'!N701</f>
        <v/>
      </c>
      <c r="Z45" s="46" t="str">
        <f>'grup-1'!N732</f>
        <v/>
      </c>
      <c r="AA45" s="45">
        <f t="shared" si="7"/>
        <v>0</v>
      </c>
      <c r="AB45" s="47">
        <f t="shared" si="8"/>
        <v>0</v>
      </c>
      <c r="AC45" s="47">
        <f t="shared" si="9"/>
        <v>0</v>
      </c>
      <c r="AD45" s="47">
        <f t="shared" si="10"/>
        <v>0</v>
      </c>
      <c r="AE45" s="122" t="e" cm="1">
        <f t="array" ref="AE45">_xlfn.LET(_xlpm.z,C45:Z45,_xlpm.o,MATCH(2,1/(_xlpm.z&lt;&gt;"")),_xlpm.p,MAX(1,_xlpm.o-4),SUM(INDEX(_xlpm.z,_xlpm.p):INDEX(_xlpm.z,_xlpm.o)))</f>
        <v>#N/A</v>
      </c>
    </row>
    <row r="46" spans="2:31" ht="15.75">
      <c r="B46" s="109" t="s">
        <v>207</v>
      </c>
      <c r="C46" s="48" t="str">
        <f>'grup-1'!N19</f>
        <v/>
      </c>
      <c r="D46" s="48" t="str">
        <f>'grup-1'!N50</f>
        <v/>
      </c>
      <c r="E46" s="48" t="str">
        <f>'grup-1'!N81</f>
        <v/>
      </c>
      <c r="F46" s="48" t="str">
        <f>'grup-1'!N112</f>
        <v/>
      </c>
      <c r="G46" s="48" t="str">
        <f>'grup-1'!N143</f>
        <v/>
      </c>
      <c r="H46" s="48" t="str">
        <f>'grup-1'!N174</f>
        <v/>
      </c>
      <c r="I46" s="48" t="str">
        <f>'grup-1'!N205</f>
        <v/>
      </c>
      <c r="J46" s="48" t="str">
        <f>'grup-1'!N236</f>
        <v/>
      </c>
      <c r="K46" s="48" t="str">
        <f>'grup-1'!N267</f>
        <v/>
      </c>
      <c r="L46" s="48" t="str">
        <f>'grup-1'!N298</f>
        <v/>
      </c>
      <c r="M46" s="48" t="str">
        <f>'grup-1'!N329</f>
        <v/>
      </c>
      <c r="N46" s="48" t="str">
        <f>'grup-1'!N360</f>
        <v/>
      </c>
      <c r="O46" s="48" t="str">
        <f>'grup-1'!N392</f>
        <v/>
      </c>
      <c r="P46" s="48" t="str">
        <f>'grup-1'!N423</f>
        <v/>
      </c>
      <c r="Q46" s="48" t="str">
        <f>'grup-1'!N454</f>
        <v/>
      </c>
      <c r="R46" s="48" t="str">
        <f>'grup-1'!N485</f>
        <v/>
      </c>
      <c r="S46" s="48" t="str">
        <f>'grup-1'!N516</f>
        <v/>
      </c>
      <c r="T46" s="48" t="str">
        <f>'grup-1'!N547</f>
        <v/>
      </c>
      <c r="U46" s="48" t="str">
        <f>'grup-1'!N578</f>
        <v/>
      </c>
      <c r="V46" s="48" t="str">
        <f>'grup-1'!N609</f>
        <v/>
      </c>
      <c r="W46" s="48" t="str">
        <f>'grup-1'!N640</f>
        <v/>
      </c>
      <c r="X46" s="48" t="str">
        <f>'grup-1'!N671</f>
        <v/>
      </c>
      <c r="Y46" s="48" t="str">
        <f>'grup-1'!N702</f>
        <v/>
      </c>
      <c r="Z46" s="48" t="str">
        <f>'grup-1'!N733</f>
        <v/>
      </c>
      <c r="AA46" s="45">
        <f t="shared" si="7"/>
        <v>0</v>
      </c>
      <c r="AB46" s="47">
        <f t="shared" si="8"/>
        <v>0</v>
      </c>
      <c r="AC46" s="47">
        <f t="shared" si="9"/>
        <v>0</v>
      </c>
      <c r="AD46" s="47">
        <f t="shared" si="10"/>
        <v>0</v>
      </c>
      <c r="AE46" s="122" t="e" cm="1">
        <f t="array" ref="AE46">_xlfn.LET(_xlpm.z,C46:Z46,_xlpm.o,MATCH(2,1/(_xlpm.z&lt;&gt;"")),_xlpm.p,MAX(1,_xlpm.o-4),SUM(INDEX(_xlpm.z,_xlpm.p):INDEX(_xlpm.z,_xlpm.o)))</f>
        <v>#N/A</v>
      </c>
    </row>
    <row r="47" spans="2:31" ht="15.75">
      <c r="B47" s="110" t="s">
        <v>208</v>
      </c>
      <c r="C47" s="46" t="str">
        <f>'grup-1'!N20</f>
        <v/>
      </c>
      <c r="D47" s="46" t="str">
        <f>'grup-1'!N51</f>
        <v/>
      </c>
      <c r="E47" s="46" t="str">
        <f>'grup-1'!N82</f>
        <v/>
      </c>
      <c r="F47" s="46" t="str">
        <f>'grup-1'!N113</f>
        <v/>
      </c>
      <c r="G47" s="46" t="str">
        <f>'grup-1'!N144</f>
        <v/>
      </c>
      <c r="H47" s="46" t="str">
        <f>'grup-1'!N175</f>
        <v/>
      </c>
      <c r="I47" s="46" t="str">
        <f>'grup-1'!N206</f>
        <v/>
      </c>
      <c r="J47" s="46" t="str">
        <f>'grup-1'!N237</f>
        <v/>
      </c>
      <c r="K47" s="46" t="str">
        <f>'grup-1'!N268</f>
        <v/>
      </c>
      <c r="L47" s="46" t="str">
        <f>'grup-1'!N299</f>
        <v/>
      </c>
      <c r="M47" s="46" t="str">
        <f>'grup-1'!N330</f>
        <v/>
      </c>
      <c r="N47" s="46" t="str">
        <f>'grup-1'!N361</f>
        <v/>
      </c>
      <c r="O47" s="46" t="str">
        <f>'grup-1'!N393</f>
        <v/>
      </c>
      <c r="P47" s="46" t="str">
        <f>'grup-1'!N424</f>
        <v/>
      </c>
      <c r="Q47" s="46" t="str">
        <f>'grup-1'!N455</f>
        <v/>
      </c>
      <c r="R47" s="46" t="str">
        <f>'grup-1'!N486</f>
        <v/>
      </c>
      <c r="S47" s="46" t="str">
        <f>'grup-1'!N517</f>
        <v/>
      </c>
      <c r="T47" s="46" t="str">
        <f>'grup-1'!N548</f>
        <v/>
      </c>
      <c r="U47" s="46" t="str">
        <f>'grup-1'!N579</f>
        <v/>
      </c>
      <c r="V47" s="46" t="str">
        <f>'grup-1'!N610</f>
        <v/>
      </c>
      <c r="W47" s="46" t="str">
        <f>'grup-1'!N641</f>
        <v/>
      </c>
      <c r="X47" s="46" t="str">
        <f>'grup-1'!N672</f>
        <v/>
      </c>
      <c r="Y47" s="46" t="str">
        <f>'grup-1'!N703</f>
        <v/>
      </c>
      <c r="Z47" s="46" t="str">
        <f>'grup-1'!N734</f>
        <v/>
      </c>
      <c r="AA47" s="45">
        <f t="shared" si="7"/>
        <v>0</v>
      </c>
      <c r="AB47" s="47">
        <f t="shared" si="8"/>
        <v>0</v>
      </c>
      <c r="AC47" s="47">
        <f t="shared" si="9"/>
        <v>0</v>
      </c>
      <c r="AD47" s="47">
        <f t="shared" si="10"/>
        <v>0</v>
      </c>
      <c r="AE47" s="122" t="e" cm="1">
        <f t="array" ref="AE47">_xlfn.LET(_xlpm.z,C47:Z47,_xlpm.o,MATCH(2,1/(_xlpm.z&lt;&gt;"")),_xlpm.p,MAX(1,_xlpm.o-4),SUM(INDEX(_xlpm.z,_xlpm.p):INDEX(_xlpm.z,_xlpm.o)))</f>
        <v>#N/A</v>
      </c>
    </row>
    <row r="48" spans="2:31" ht="15.75">
      <c r="B48" s="110" t="s">
        <v>209</v>
      </c>
      <c r="C48" s="48" t="str">
        <f>'grup-1'!N21</f>
        <v/>
      </c>
      <c r="D48" s="48" t="str">
        <f>'grup-1'!N52</f>
        <v/>
      </c>
      <c r="E48" s="48" t="str">
        <f>'grup-1'!N83</f>
        <v/>
      </c>
      <c r="F48" s="48" t="str">
        <f>'grup-1'!N114</f>
        <v/>
      </c>
      <c r="G48" s="48" t="str">
        <f>'grup-1'!N145</f>
        <v/>
      </c>
      <c r="H48" s="48" t="str">
        <f>'grup-1'!N176</f>
        <v/>
      </c>
      <c r="I48" s="48" t="str">
        <f>'grup-1'!N207</f>
        <v/>
      </c>
      <c r="J48" s="48" t="str">
        <f>'grup-1'!N238</f>
        <v/>
      </c>
      <c r="K48" s="48" t="str">
        <f>'grup-1'!N269</f>
        <v/>
      </c>
      <c r="L48" s="48" t="str">
        <f>'grup-1'!N300</f>
        <v/>
      </c>
      <c r="M48" s="48" t="str">
        <f>'grup-1'!N331</f>
        <v/>
      </c>
      <c r="N48" s="48" t="str">
        <f>'grup-1'!N362</f>
        <v/>
      </c>
      <c r="O48" s="48" t="str">
        <f>'grup-1'!N394</f>
        <v/>
      </c>
      <c r="P48" s="48" t="str">
        <f>'grup-1'!N425</f>
        <v/>
      </c>
      <c r="Q48" s="48" t="str">
        <f>'grup-1'!N456</f>
        <v/>
      </c>
      <c r="R48" s="48" t="str">
        <f>'grup-1'!N487</f>
        <v/>
      </c>
      <c r="S48" s="48" t="str">
        <f>'grup-1'!N518</f>
        <v/>
      </c>
      <c r="T48" s="48" t="str">
        <f>'grup-1'!N549</f>
        <v/>
      </c>
      <c r="U48" s="48" t="str">
        <f>'grup-1'!N580</f>
        <v/>
      </c>
      <c r="V48" s="48" t="str">
        <f>'grup-1'!N611</f>
        <v/>
      </c>
      <c r="W48" s="48" t="str">
        <f>'grup-1'!N642</f>
        <v/>
      </c>
      <c r="X48" s="48" t="str">
        <f>'grup-1'!N673</f>
        <v/>
      </c>
      <c r="Y48" s="48" t="str">
        <f>'grup-1'!N704</f>
        <v/>
      </c>
      <c r="Z48" s="48" t="str">
        <f>'grup-1'!N735</f>
        <v/>
      </c>
      <c r="AA48" s="45">
        <f t="shared" si="7"/>
        <v>0</v>
      </c>
      <c r="AB48" s="47">
        <f t="shared" si="8"/>
        <v>0</v>
      </c>
      <c r="AC48" s="47">
        <f t="shared" si="9"/>
        <v>0</v>
      </c>
      <c r="AD48" s="47">
        <f t="shared" si="10"/>
        <v>0</v>
      </c>
      <c r="AE48" s="122" t="e" cm="1">
        <f t="array" ref="AE48">_xlfn.LET(_xlpm.z,C48:Z48,_xlpm.o,MATCH(2,1/(_xlpm.z&lt;&gt;"")),_xlpm.p,MAX(1,_xlpm.o-4),SUM(INDEX(_xlpm.z,_xlpm.p):INDEX(_xlpm.z,_xlpm.o)))</f>
        <v>#N/A</v>
      </c>
    </row>
    <row r="49" spans="2:31" ht="15.75">
      <c r="B49" s="110" t="s">
        <v>210</v>
      </c>
      <c r="C49" s="46" t="str">
        <f>'grup-1'!N22</f>
        <v/>
      </c>
      <c r="D49" s="46" t="str">
        <f>'grup-1'!N53</f>
        <v/>
      </c>
      <c r="E49" s="46" t="str">
        <f>'grup-1'!N84</f>
        <v/>
      </c>
      <c r="F49" s="46" t="str">
        <f>'grup-1'!N115</f>
        <v/>
      </c>
      <c r="G49" s="46" t="str">
        <f>'grup-1'!N146</f>
        <v/>
      </c>
      <c r="H49" s="46" t="str">
        <f>'grup-1'!N177</f>
        <v/>
      </c>
      <c r="I49" s="46" t="str">
        <f>'grup-1'!N208</f>
        <v/>
      </c>
      <c r="J49" s="46" t="str">
        <f>'grup-1'!N239</f>
        <v/>
      </c>
      <c r="K49" s="46" t="str">
        <f>'grup-1'!N270</f>
        <v/>
      </c>
      <c r="L49" s="46" t="str">
        <f>'grup-1'!N301</f>
        <v/>
      </c>
      <c r="M49" s="46" t="str">
        <f>'grup-1'!N332</f>
        <v/>
      </c>
      <c r="N49" s="46" t="str">
        <f>'grup-1'!N363</f>
        <v/>
      </c>
      <c r="O49" s="46" t="str">
        <f>'grup-1'!N395</f>
        <v/>
      </c>
      <c r="P49" s="46" t="str">
        <f>'grup-1'!N426</f>
        <v/>
      </c>
      <c r="Q49" s="46" t="str">
        <f>'grup-1'!N457</f>
        <v/>
      </c>
      <c r="R49" s="46" t="str">
        <f>'grup-1'!N488</f>
        <v/>
      </c>
      <c r="S49" s="46" t="str">
        <f>'grup-1'!N519</f>
        <v/>
      </c>
      <c r="T49" s="46" t="str">
        <f>'grup-1'!N550</f>
        <v/>
      </c>
      <c r="U49" s="46" t="str">
        <f>'grup-1'!N581</f>
        <v/>
      </c>
      <c r="V49" s="46" t="str">
        <f>'grup-1'!N612</f>
        <v/>
      </c>
      <c r="W49" s="46" t="str">
        <f>'grup-1'!N643</f>
        <v/>
      </c>
      <c r="X49" s="46" t="str">
        <f>'grup-1'!N674</f>
        <v/>
      </c>
      <c r="Y49" s="46" t="str">
        <f>'grup-1'!N705</f>
        <v/>
      </c>
      <c r="Z49" s="46" t="str">
        <f>'grup-1'!N736</f>
        <v/>
      </c>
      <c r="AA49" s="45">
        <f t="shared" si="7"/>
        <v>0</v>
      </c>
      <c r="AB49" s="47">
        <f t="shared" si="8"/>
        <v>0</v>
      </c>
      <c r="AC49" s="47">
        <f t="shared" si="9"/>
        <v>0</v>
      </c>
      <c r="AD49" s="47">
        <f t="shared" si="10"/>
        <v>0</v>
      </c>
      <c r="AE49" s="122" t="e" cm="1">
        <f t="array" ref="AE49">_xlfn.LET(_xlpm.z,C49:Z49,_xlpm.o,MATCH(2,1/(_xlpm.z&lt;&gt;"")),_xlpm.p,MAX(1,_xlpm.o-4),SUM(INDEX(_xlpm.z,_xlpm.p):INDEX(_xlpm.z,_xlpm.o)))</f>
        <v>#N/A</v>
      </c>
    </row>
    <row r="50" spans="2:31" ht="15.75">
      <c r="B50" s="110" t="s">
        <v>211</v>
      </c>
      <c r="C50" s="48" t="str">
        <f>'grup-1'!N23</f>
        <v/>
      </c>
      <c r="D50" s="48" t="str">
        <f>'grup-1'!N54</f>
        <v/>
      </c>
      <c r="E50" s="48" t="str">
        <f>'grup-1'!N85</f>
        <v/>
      </c>
      <c r="F50" s="48" t="str">
        <f>'grup-1'!N116</f>
        <v/>
      </c>
      <c r="G50" s="48" t="str">
        <f>'grup-1'!N147</f>
        <v/>
      </c>
      <c r="H50" s="48" t="str">
        <f>'grup-1'!N178</f>
        <v/>
      </c>
      <c r="I50" s="48" t="str">
        <f>'grup-1'!N209</f>
        <v/>
      </c>
      <c r="J50" s="48" t="str">
        <f>'grup-1'!N240</f>
        <v/>
      </c>
      <c r="K50" s="48" t="str">
        <f>'grup-1'!N271</f>
        <v/>
      </c>
      <c r="L50" s="48" t="str">
        <f>'grup-1'!N302</f>
        <v/>
      </c>
      <c r="M50" s="48" t="str">
        <f>'grup-1'!N333</f>
        <v/>
      </c>
      <c r="N50" s="48" t="str">
        <f>'grup-1'!N364</f>
        <v/>
      </c>
      <c r="O50" s="48" t="str">
        <f>'grup-1'!N396</f>
        <v/>
      </c>
      <c r="P50" s="48" t="str">
        <f>'grup-1'!N427</f>
        <v/>
      </c>
      <c r="Q50" s="48" t="str">
        <f>'grup-1'!N458</f>
        <v/>
      </c>
      <c r="R50" s="48" t="str">
        <f>'grup-1'!N489</f>
        <v/>
      </c>
      <c r="S50" s="48" t="str">
        <f>'grup-1'!N520</f>
        <v/>
      </c>
      <c r="T50" s="48" t="str">
        <f>'grup-1'!N551</f>
        <v/>
      </c>
      <c r="U50" s="48" t="str">
        <f>'grup-1'!N582</f>
        <v/>
      </c>
      <c r="V50" s="48" t="str">
        <f>'grup-1'!N613</f>
        <v/>
      </c>
      <c r="W50" s="48" t="str">
        <f>'grup-1'!N644</f>
        <v/>
      </c>
      <c r="X50" s="48" t="str">
        <f>'grup-1'!N675</f>
        <v/>
      </c>
      <c r="Y50" s="48" t="str">
        <f>'grup-1'!N706</f>
        <v/>
      </c>
      <c r="Z50" s="48" t="str">
        <f>'grup-1'!N737</f>
        <v/>
      </c>
      <c r="AA50" s="45">
        <f t="shared" si="7"/>
        <v>0</v>
      </c>
      <c r="AB50" s="47">
        <f t="shared" si="8"/>
        <v>0</v>
      </c>
      <c r="AC50" s="47">
        <f t="shared" si="9"/>
        <v>0</v>
      </c>
      <c r="AD50" s="47">
        <f t="shared" si="10"/>
        <v>0</v>
      </c>
      <c r="AE50" s="122" t="e" cm="1">
        <f t="array" ref="AE50">_xlfn.LET(_xlpm.z,C50:Z50,_xlpm.o,MATCH(2,1/(_xlpm.z&lt;&gt;"")),_xlpm.p,MAX(1,_xlpm.o-4),SUM(INDEX(_xlpm.z,_xlpm.p):INDEX(_xlpm.z,_xlpm.o)))</f>
        <v>#N/A</v>
      </c>
    </row>
    <row r="51" spans="2:31" ht="15.75">
      <c r="B51" s="110" t="s">
        <v>212</v>
      </c>
      <c r="C51" s="46" t="str">
        <f>'grup-1'!N24</f>
        <v/>
      </c>
      <c r="D51" s="46" t="str">
        <f>'grup-1'!N55</f>
        <v/>
      </c>
      <c r="E51" s="46" t="str">
        <f>'grup-1'!N86</f>
        <v/>
      </c>
      <c r="F51" s="46" t="str">
        <f>'grup-1'!N117</f>
        <v/>
      </c>
      <c r="G51" s="46" t="str">
        <f>'grup-1'!N148</f>
        <v/>
      </c>
      <c r="H51" s="46" t="str">
        <f>'grup-1'!N179</f>
        <v/>
      </c>
      <c r="I51" s="46" t="str">
        <f>'grup-1'!N210</f>
        <v/>
      </c>
      <c r="J51" s="46" t="str">
        <f>'grup-1'!N241</f>
        <v/>
      </c>
      <c r="K51" s="46" t="str">
        <f>'grup-1'!N272</f>
        <v/>
      </c>
      <c r="L51" s="46" t="str">
        <f>'grup-1'!N303</f>
        <v/>
      </c>
      <c r="M51" s="46" t="str">
        <f>'grup-1'!N334</f>
        <v/>
      </c>
      <c r="N51" s="46" t="str">
        <f>'grup-1'!N365</f>
        <v/>
      </c>
      <c r="O51" s="46" t="str">
        <f>'grup-1'!N397</f>
        <v/>
      </c>
      <c r="P51" s="46" t="str">
        <f>'grup-1'!N428</f>
        <v/>
      </c>
      <c r="Q51" s="46" t="str">
        <f>'grup-1'!N459</f>
        <v/>
      </c>
      <c r="R51" s="46" t="str">
        <f>'grup-1'!N490</f>
        <v/>
      </c>
      <c r="S51" s="46" t="str">
        <f>'grup-1'!N521</f>
        <v/>
      </c>
      <c r="T51" s="46" t="str">
        <f>'grup-1'!N552</f>
        <v/>
      </c>
      <c r="U51" s="46" t="str">
        <f>'grup-1'!N583</f>
        <v/>
      </c>
      <c r="V51" s="46" t="str">
        <f>'grup-1'!N614</f>
        <v/>
      </c>
      <c r="W51" s="46" t="str">
        <f>'grup-1'!N645</f>
        <v/>
      </c>
      <c r="X51" s="46" t="str">
        <f>'grup-1'!N676</f>
        <v/>
      </c>
      <c r="Y51" s="46" t="str">
        <f>'grup-1'!N707</f>
        <v/>
      </c>
      <c r="Z51" s="46" t="str">
        <f>'grup-1'!N738</f>
        <v/>
      </c>
      <c r="AA51" s="45">
        <f t="shared" si="7"/>
        <v>0</v>
      </c>
      <c r="AB51" s="47">
        <f t="shared" si="8"/>
        <v>0</v>
      </c>
      <c r="AC51" s="47">
        <f t="shared" si="9"/>
        <v>0</v>
      </c>
      <c r="AD51" s="47">
        <f t="shared" si="10"/>
        <v>0</v>
      </c>
      <c r="AE51" s="122" t="e" cm="1">
        <f t="array" ref="AE51">_xlfn.LET(_xlpm.z,C51:Z51,_xlpm.o,MATCH(2,1/(_xlpm.z&lt;&gt;"")),_xlpm.p,MAX(1,_xlpm.o-4),SUM(INDEX(_xlpm.z,_xlpm.p):INDEX(_xlpm.z,_xlpm.o)))</f>
        <v>#N/A</v>
      </c>
    </row>
    <row r="52" spans="2:31" ht="15.75">
      <c r="B52" s="110" t="s">
        <v>213</v>
      </c>
      <c r="C52" s="48" t="str">
        <f>'grup-1'!N25</f>
        <v/>
      </c>
      <c r="D52" s="48" t="str">
        <f>'grup-1'!N56</f>
        <v/>
      </c>
      <c r="E52" s="48" t="str">
        <f>'grup-1'!N87</f>
        <v/>
      </c>
      <c r="F52" s="48" t="str">
        <f>'grup-1'!N118</f>
        <v/>
      </c>
      <c r="G52" s="48" t="str">
        <f>'grup-1'!N149</f>
        <v/>
      </c>
      <c r="H52" s="48" t="str">
        <f>'grup-1'!N180</f>
        <v/>
      </c>
      <c r="I52" s="48" t="str">
        <f>'grup-1'!N211</f>
        <v/>
      </c>
      <c r="J52" s="48" t="str">
        <f>'grup-1'!N242</f>
        <v/>
      </c>
      <c r="K52" s="48" t="str">
        <f>'grup-1'!N273</f>
        <v/>
      </c>
      <c r="L52" s="48" t="str">
        <f>'grup-1'!N304</f>
        <v/>
      </c>
      <c r="M52" s="48" t="str">
        <f>'grup-1'!N335</f>
        <v/>
      </c>
      <c r="N52" s="48" t="str">
        <f>'grup-1'!N366</f>
        <v/>
      </c>
      <c r="O52" s="48" t="str">
        <f>'grup-1'!N398</f>
        <v/>
      </c>
      <c r="P52" s="48" t="str">
        <f>'grup-1'!N429</f>
        <v/>
      </c>
      <c r="Q52" s="48" t="str">
        <f>'grup-1'!N460</f>
        <v/>
      </c>
      <c r="R52" s="48" t="str">
        <f>'grup-1'!N491</f>
        <v/>
      </c>
      <c r="S52" s="48" t="str">
        <f>'grup-1'!N522</f>
        <v/>
      </c>
      <c r="T52" s="48" t="str">
        <f>'grup-1'!N553</f>
        <v/>
      </c>
      <c r="U52" s="48" t="str">
        <f>'grup-1'!N584</f>
        <v/>
      </c>
      <c r="V52" s="48" t="str">
        <f>'grup-1'!N615</f>
        <v/>
      </c>
      <c r="W52" s="48" t="str">
        <f>'grup-1'!N646</f>
        <v/>
      </c>
      <c r="X52" s="48" t="str">
        <f>'grup-1'!N677</f>
        <v/>
      </c>
      <c r="Y52" s="48" t="str">
        <f>'grup-1'!N708</f>
        <v/>
      </c>
      <c r="Z52" s="48" t="str">
        <f>'grup-1'!N739</f>
        <v/>
      </c>
      <c r="AA52" s="45">
        <f t="shared" si="7"/>
        <v>0</v>
      </c>
      <c r="AB52" s="47">
        <f t="shared" si="8"/>
        <v>0</v>
      </c>
      <c r="AC52" s="47">
        <f t="shared" si="9"/>
        <v>0</v>
      </c>
      <c r="AD52" s="47">
        <f t="shared" si="10"/>
        <v>0</v>
      </c>
      <c r="AE52" s="122" t="e" cm="1">
        <f t="array" ref="AE52">_xlfn.LET(_xlpm.z,C52:Z52,_xlpm.o,MATCH(2,1/(_xlpm.z&lt;&gt;"")),_xlpm.p,MAX(1,_xlpm.o-4),SUM(INDEX(_xlpm.z,_xlpm.p):INDEX(_xlpm.z,_xlpm.o)))</f>
        <v>#N/A</v>
      </c>
    </row>
    <row r="53" spans="2:31" ht="15.75">
      <c r="B53" s="110" t="s">
        <v>214</v>
      </c>
      <c r="C53" s="46" t="str">
        <f>'grup-1'!N26</f>
        <v/>
      </c>
      <c r="D53" s="46" t="str">
        <f>'grup-1'!N57</f>
        <v/>
      </c>
      <c r="E53" s="46" t="str">
        <f>'grup-1'!N88</f>
        <v/>
      </c>
      <c r="F53" s="46" t="str">
        <f>'grup-1'!N119</f>
        <v/>
      </c>
      <c r="G53" s="46" t="str">
        <f>'grup-1'!N150</f>
        <v/>
      </c>
      <c r="H53" s="46" t="str">
        <f>'grup-1'!N181</f>
        <v/>
      </c>
      <c r="I53" s="46" t="str">
        <f>'grup-1'!N212</f>
        <v/>
      </c>
      <c r="J53" s="46" t="str">
        <f>'grup-1'!N243</f>
        <v/>
      </c>
      <c r="K53" s="46" t="str">
        <f>'grup-1'!N274</f>
        <v/>
      </c>
      <c r="L53" s="46" t="str">
        <f>'grup-1'!N305</f>
        <v/>
      </c>
      <c r="M53" s="46" t="str">
        <f>'grup-1'!N336</f>
        <v/>
      </c>
      <c r="N53" s="46" t="str">
        <f>'grup-1'!N367</f>
        <v/>
      </c>
      <c r="O53" s="46" t="str">
        <f>'grup-1'!N399</f>
        <v/>
      </c>
      <c r="P53" s="46" t="str">
        <f>'grup-1'!N430</f>
        <v/>
      </c>
      <c r="Q53" s="46" t="str">
        <f>'grup-1'!N461</f>
        <v/>
      </c>
      <c r="R53" s="46" t="str">
        <f>'grup-1'!N492</f>
        <v/>
      </c>
      <c r="S53" s="46" t="str">
        <f>'grup-1'!N523</f>
        <v/>
      </c>
      <c r="T53" s="46" t="str">
        <f>'grup-1'!N554</f>
        <v/>
      </c>
      <c r="U53" s="46" t="str">
        <f>'grup-1'!N585</f>
        <v/>
      </c>
      <c r="V53" s="46" t="str">
        <f>'grup-1'!N616</f>
        <v/>
      </c>
      <c r="W53" s="46" t="str">
        <f>'grup-1'!N647</f>
        <v/>
      </c>
      <c r="X53" s="46" t="str">
        <f>'grup-1'!N678</f>
        <v/>
      </c>
      <c r="Y53" s="46" t="str">
        <f>'grup-1'!N709</f>
        <v/>
      </c>
      <c r="Z53" s="46" t="str">
        <f>'grup-1'!N740</f>
        <v/>
      </c>
      <c r="AA53" s="45">
        <f t="shared" si="7"/>
        <v>0</v>
      </c>
      <c r="AB53" s="47">
        <f t="shared" si="8"/>
        <v>0</v>
      </c>
      <c r="AC53" s="47">
        <f t="shared" si="9"/>
        <v>0</v>
      </c>
      <c r="AD53" s="47">
        <f t="shared" si="10"/>
        <v>0</v>
      </c>
      <c r="AE53" s="122" t="e" cm="1">
        <f t="array" ref="AE53">_xlfn.LET(_xlpm.z,C53:Z53,_xlpm.o,MATCH(2,1/(_xlpm.z&lt;&gt;"")),_xlpm.p,MAX(1,_xlpm.o-4),SUM(INDEX(_xlpm.z,_xlpm.p):INDEX(_xlpm.z,_xlpm.o)))</f>
        <v>#N/A</v>
      </c>
    </row>
    <row r="54" spans="2:31" ht="15.75">
      <c r="B54" s="111" t="s">
        <v>215</v>
      </c>
      <c r="C54" s="48" t="str">
        <f>'grup-1'!N27</f>
        <v/>
      </c>
      <c r="D54" s="48" t="str">
        <f>'grup-1'!N58</f>
        <v/>
      </c>
      <c r="E54" s="48" t="str">
        <f>'grup-1'!N89</f>
        <v/>
      </c>
      <c r="F54" s="48" t="str">
        <f>'grup-1'!N120</f>
        <v/>
      </c>
      <c r="G54" s="48" t="str">
        <f>'grup-1'!N151</f>
        <v/>
      </c>
      <c r="H54" s="48" t="str">
        <f>'grup-1'!N182</f>
        <v/>
      </c>
      <c r="I54" s="48" t="str">
        <f>'grup-1'!N213</f>
        <v/>
      </c>
      <c r="J54" s="48" t="str">
        <f>'grup-1'!N244</f>
        <v/>
      </c>
      <c r="K54" s="48" t="str">
        <f>'grup-1'!N275</f>
        <v/>
      </c>
      <c r="L54" s="48" t="str">
        <f>'grup-1'!N306</f>
        <v/>
      </c>
      <c r="M54" s="48" t="str">
        <f>'grup-1'!N337</f>
        <v/>
      </c>
      <c r="N54" s="48" t="str">
        <f>'grup-1'!N368</f>
        <v/>
      </c>
      <c r="O54" s="48" t="str">
        <f>'grup-1'!N400</f>
        <v/>
      </c>
      <c r="P54" s="48" t="str">
        <f>'grup-1'!N431</f>
        <v/>
      </c>
      <c r="Q54" s="48" t="str">
        <f>'grup-1'!N462</f>
        <v/>
      </c>
      <c r="R54" s="48" t="str">
        <f>'grup-1'!N493</f>
        <v/>
      </c>
      <c r="S54" s="48" t="str">
        <f>'grup-1'!N524</f>
        <v/>
      </c>
      <c r="T54" s="48" t="str">
        <f>'grup-1'!N555</f>
        <v/>
      </c>
      <c r="U54" s="48" t="str">
        <f>'grup-1'!N586</f>
        <v/>
      </c>
      <c r="V54" s="48" t="str">
        <f>'grup-1'!N617</f>
        <v/>
      </c>
      <c r="W54" s="48" t="str">
        <f>'grup-1'!N648</f>
        <v/>
      </c>
      <c r="X54" s="48" t="str">
        <f>'grup-1'!N679</f>
        <v/>
      </c>
      <c r="Y54" s="48" t="str">
        <f>'grup-1'!N710</f>
        <v/>
      </c>
      <c r="Z54" s="48" t="str">
        <f>'grup-1'!N741</f>
        <v/>
      </c>
      <c r="AA54" s="45">
        <f t="shared" si="7"/>
        <v>0</v>
      </c>
      <c r="AB54" s="47">
        <f t="shared" si="8"/>
        <v>0</v>
      </c>
      <c r="AC54" s="47">
        <f t="shared" si="9"/>
        <v>0</v>
      </c>
      <c r="AD54" s="47">
        <f t="shared" si="10"/>
        <v>0</v>
      </c>
      <c r="AE54" s="122" t="e" cm="1">
        <f t="array" ref="AE54">_xlfn.LET(_xlpm.z,C54:Z54,_xlpm.o,MATCH(2,1/(_xlpm.z&lt;&gt;"")),_xlpm.p,MAX(1,_xlpm.o-4),SUM(INDEX(_xlpm.z,_xlpm.p):INDEX(_xlpm.z,_xlpm.o)))</f>
        <v>#N/A</v>
      </c>
    </row>
    <row r="55" spans="2:31" ht="15.75">
      <c r="B55" s="111" t="s">
        <v>216</v>
      </c>
      <c r="C55" s="46" t="str">
        <f>'grup-1'!N28</f>
        <v/>
      </c>
      <c r="D55" s="46" t="str">
        <f>'grup-1'!N59</f>
        <v/>
      </c>
      <c r="E55" s="46" t="str">
        <f>'grup-1'!N90</f>
        <v/>
      </c>
      <c r="F55" s="46" t="str">
        <f>'grup-1'!N121</f>
        <v/>
      </c>
      <c r="G55" s="46" t="str">
        <f>'grup-1'!N152</f>
        <v/>
      </c>
      <c r="H55" s="46" t="str">
        <f>'grup-1'!N183</f>
        <v/>
      </c>
      <c r="I55" s="46" t="str">
        <f>'grup-1'!N214</f>
        <v/>
      </c>
      <c r="J55" s="46" t="str">
        <f>'grup-1'!N245</f>
        <v/>
      </c>
      <c r="K55" s="46" t="str">
        <f>'grup-1'!N276</f>
        <v/>
      </c>
      <c r="L55" s="46" t="str">
        <f>'grup-1'!N307</f>
        <v/>
      </c>
      <c r="M55" s="46" t="str">
        <f>'grup-1'!N338</f>
        <v/>
      </c>
      <c r="N55" s="46" t="str">
        <f>'grup-1'!N369</f>
        <v/>
      </c>
      <c r="O55" s="46" t="str">
        <f>'grup-1'!N401</f>
        <v/>
      </c>
      <c r="P55" s="46" t="str">
        <f>'grup-1'!N432</f>
        <v/>
      </c>
      <c r="Q55" s="46" t="str">
        <f>'grup-1'!N463</f>
        <v/>
      </c>
      <c r="R55" s="46" t="str">
        <f>'grup-1'!N494</f>
        <v/>
      </c>
      <c r="S55" s="46" t="str">
        <f>'grup-1'!N525</f>
        <v/>
      </c>
      <c r="T55" s="46" t="str">
        <f>'grup-1'!N556</f>
        <v/>
      </c>
      <c r="U55" s="46" t="str">
        <f>'grup-1'!N587</f>
        <v/>
      </c>
      <c r="V55" s="46" t="str">
        <f>'grup-1'!N618</f>
        <v/>
      </c>
      <c r="W55" s="46" t="str">
        <f>'grup-1'!N649</f>
        <v/>
      </c>
      <c r="X55" s="46" t="str">
        <f>'grup-1'!N680</f>
        <v/>
      </c>
      <c r="Y55" s="46" t="str">
        <f>'grup-1'!N711</f>
        <v/>
      </c>
      <c r="Z55" s="46" t="str">
        <f>'grup-1'!N742</f>
        <v/>
      </c>
      <c r="AA55" s="45">
        <f t="shared" si="7"/>
        <v>0</v>
      </c>
      <c r="AB55" s="47">
        <f t="shared" si="8"/>
        <v>0</v>
      </c>
      <c r="AC55" s="47">
        <f t="shared" si="9"/>
        <v>0</v>
      </c>
      <c r="AD55" s="47">
        <f t="shared" si="10"/>
        <v>0</v>
      </c>
      <c r="AE55" s="122" t="e" cm="1">
        <f t="array" ref="AE55">_xlfn.LET(_xlpm.z,C55:Z55,_xlpm.o,MATCH(2,1/(_xlpm.z&lt;&gt;"")),_xlpm.p,MAX(1,_xlpm.o-4),SUM(INDEX(_xlpm.z,_xlpm.p):INDEX(_xlpm.z,_xlpm.o)))</f>
        <v>#N/A</v>
      </c>
    </row>
    <row r="56" spans="2:31" ht="15.75">
      <c r="B56" s="111" t="s">
        <v>217</v>
      </c>
      <c r="C56" s="48" t="str">
        <f>'grup-1'!N29</f>
        <v/>
      </c>
      <c r="D56" s="48" t="str">
        <f>'grup-1'!N60</f>
        <v/>
      </c>
      <c r="E56" s="48" t="str">
        <f>'grup-1'!N91</f>
        <v/>
      </c>
      <c r="F56" s="48" t="str">
        <f>'grup-1'!N122</f>
        <v/>
      </c>
      <c r="G56" s="48" t="str">
        <f>'grup-1'!N153</f>
        <v/>
      </c>
      <c r="H56" s="48" t="str">
        <f>'grup-1'!N184</f>
        <v/>
      </c>
      <c r="I56" s="48" t="str">
        <f>'grup-1'!N215</f>
        <v/>
      </c>
      <c r="J56" s="48" t="str">
        <f>'grup-1'!N246</f>
        <v/>
      </c>
      <c r="K56" s="48" t="str">
        <f>'grup-1'!N277</f>
        <v/>
      </c>
      <c r="L56" s="48" t="str">
        <f>'grup-1'!N308</f>
        <v/>
      </c>
      <c r="M56" s="48" t="str">
        <f>'grup-1'!N339</f>
        <v/>
      </c>
      <c r="N56" s="48" t="str">
        <f>'grup-1'!N370</f>
        <v/>
      </c>
      <c r="O56" s="48" t="str">
        <f>'grup-1'!N402</f>
        <v/>
      </c>
      <c r="P56" s="48" t="str">
        <f>'grup-1'!N433</f>
        <v/>
      </c>
      <c r="Q56" s="48" t="str">
        <f>'grup-1'!N464</f>
        <v/>
      </c>
      <c r="R56" s="48" t="str">
        <f>'grup-1'!N495</f>
        <v/>
      </c>
      <c r="S56" s="48" t="str">
        <f>'grup-1'!N526</f>
        <v/>
      </c>
      <c r="T56" s="48" t="str">
        <f>'grup-1'!N557</f>
        <v/>
      </c>
      <c r="U56" s="48" t="str">
        <f>'grup-1'!N588</f>
        <v/>
      </c>
      <c r="V56" s="48" t="str">
        <f>'grup-1'!N619</f>
        <v/>
      </c>
      <c r="W56" s="48" t="str">
        <f>'grup-1'!N650</f>
        <v/>
      </c>
      <c r="X56" s="48" t="str">
        <f>'grup-1'!N681</f>
        <v/>
      </c>
      <c r="Y56" s="48" t="str">
        <f>'grup-1'!N712</f>
        <v/>
      </c>
      <c r="Z56" s="48" t="str">
        <f>'grup-1'!N743</f>
        <v/>
      </c>
      <c r="AA56" s="45">
        <f t="shared" si="7"/>
        <v>0</v>
      </c>
      <c r="AB56" s="47">
        <f t="shared" si="8"/>
        <v>0</v>
      </c>
      <c r="AC56" s="47">
        <f t="shared" si="9"/>
        <v>0</v>
      </c>
      <c r="AD56" s="47">
        <f t="shared" si="10"/>
        <v>0</v>
      </c>
      <c r="AE56" s="122" t="e" cm="1">
        <f t="array" ref="AE56">_xlfn.LET(_xlpm.z,C56:Z56,_xlpm.o,MATCH(2,1/(_xlpm.z&lt;&gt;"")),_xlpm.p,MAX(1,_xlpm.o-4),SUM(INDEX(_xlpm.z,_xlpm.p):INDEX(_xlpm.z,_xlpm.o)))</f>
        <v>#N/A</v>
      </c>
    </row>
    <row r="57" spans="2:31" ht="15.75">
      <c r="B57" s="111" t="s">
        <v>218</v>
      </c>
      <c r="C57" s="46" t="str">
        <f>'grup-1'!N30</f>
        <v/>
      </c>
      <c r="D57" s="46" t="str">
        <f>'grup-1'!N61</f>
        <v/>
      </c>
      <c r="E57" s="46" t="str">
        <f>'grup-1'!N92</f>
        <v/>
      </c>
      <c r="F57" s="46" t="str">
        <f>'grup-1'!N123</f>
        <v/>
      </c>
      <c r="G57" s="46" t="str">
        <f>'grup-1'!N154</f>
        <v/>
      </c>
      <c r="H57" s="46" t="str">
        <f>'grup-1'!N185</f>
        <v/>
      </c>
      <c r="I57" s="46" t="str">
        <f>'grup-1'!N216</f>
        <v/>
      </c>
      <c r="J57" s="46" t="str">
        <f>'grup-1'!N247</f>
        <v/>
      </c>
      <c r="K57" s="46" t="str">
        <f>'grup-1'!N278</f>
        <v/>
      </c>
      <c r="L57" s="46" t="str">
        <f>'grup-1'!N309</f>
        <v/>
      </c>
      <c r="M57" s="46" t="str">
        <f>'grup-1'!N340</f>
        <v/>
      </c>
      <c r="N57" s="46" t="str">
        <f>'grup-1'!N371</f>
        <v/>
      </c>
      <c r="O57" s="46" t="str">
        <f>'grup-1'!N403</f>
        <v/>
      </c>
      <c r="P57" s="46" t="str">
        <f>'grup-1'!N434</f>
        <v/>
      </c>
      <c r="Q57" s="46" t="str">
        <f>'grup-1'!N465</f>
        <v/>
      </c>
      <c r="R57" s="46" t="str">
        <f>'grup-1'!N496</f>
        <v/>
      </c>
      <c r="S57" s="46" t="str">
        <f>'grup-1'!N527</f>
        <v/>
      </c>
      <c r="T57" s="46" t="str">
        <f>'grup-1'!N558</f>
        <v/>
      </c>
      <c r="U57" s="46" t="str">
        <f>'grup-1'!N589</f>
        <v/>
      </c>
      <c r="V57" s="46" t="str">
        <f>'grup-1'!N620</f>
        <v/>
      </c>
      <c r="W57" s="46" t="str">
        <f>'grup-1'!N651</f>
        <v/>
      </c>
      <c r="X57" s="46" t="str">
        <f>'grup-1'!N682</f>
        <v/>
      </c>
      <c r="Y57" s="46" t="str">
        <f>'grup-1'!N713</f>
        <v/>
      </c>
      <c r="Z57" s="46" t="str">
        <f>'grup-1'!N744</f>
        <v/>
      </c>
      <c r="AA57" s="45">
        <f t="shared" si="7"/>
        <v>0</v>
      </c>
      <c r="AB57" s="47">
        <f t="shared" si="8"/>
        <v>0</v>
      </c>
      <c r="AC57" s="47">
        <f t="shared" si="9"/>
        <v>0</v>
      </c>
      <c r="AD57" s="47">
        <f t="shared" si="10"/>
        <v>0</v>
      </c>
      <c r="AE57" s="122" t="e" cm="1">
        <f t="array" ref="AE57">_xlfn.LET(_xlpm.z,C57:Z57,_xlpm.o,MATCH(2,1/(_xlpm.z&lt;&gt;"")),_xlpm.p,MAX(1,_xlpm.o-4),SUM(INDEX(_xlpm.z,_xlpm.p):INDEX(_xlpm.z,_xlpm.o)))</f>
        <v>#N/A</v>
      </c>
    </row>
    <row r="58" spans="2:31" ht="15.75">
      <c r="B58" s="111" t="s">
        <v>219</v>
      </c>
      <c r="C58" s="48" t="str">
        <f>'grup-1'!N31</f>
        <v/>
      </c>
      <c r="D58" s="48" t="str">
        <f>'grup-1'!N62</f>
        <v/>
      </c>
      <c r="E58" s="48" t="str">
        <f>'grup-1'!N93</f>
        <v/>
      </c>
      <c r="F58" s="48" t="str">
        <f>'grup-1'!N124</f>
        <v/>
      </c>
      <c r="G58" s="48" t="str">
        <f>'grup-1'!N155</f>
        <v/>
      </c>
      <c r="H58" s="48" t="str">
        <f>'grup-1'!N186</f>
        <v/>
      </c>
      <c r="I58" s="48" t="str">
        <f>'grup-1'!N217</f>
        <v/>
      </c>
      <c r="J58" s="48" t="str">
        <f>'grup-1'!N248</f>
        <v/>
      </c>
      <c r="K58" s="48" t="str">
        <f>'grup-1'!N279</f>
        <v/>
      </c>
      <c r="L58" s="48" t="str">
        <f>'grup-1'!N310</f>
        <v/>
      </c>
      <c r="M58" s="48" t="str">
        <f>'grup-1'!N341</f>
        <v/>
      </c>
      <c r="N58" s="48" t="str">
        <f>'grup-1'!N372</f>
        <v/>
      </c>
      <c r="O58" s="48" t="str">
        <f>'grup-1'!N404</f>
        <v/>
      </c>
      <c r="P58" s="48" t="str">
        <f>'grup-1'!N435</f>
        <v/>
      </c>
      <c r="Q58" s="48" t="str">
        <f>'grup-1'!N466</f>
        <v/>
      </c>
      <c r="R58" s="48" t="str">
        <f>'grup-1'!N497</f>
        <v/>
      </c>
      <c r="S58" s="48" t="str">
        <f>'grup-1'!N528</f>
        <v/>
      </c>
      <c r="T58" s="48" t="str">
        <f>'grup-1'!N559</f>
        <v/>
      </c>
      <c r="U58" s="48" t="str">
        <f>'grup-1'!N590</f>
        <v/>
      </c>
      <c r="V58" s="48" t="str">
        <f>'grup-1'!N621</f>
        <v/>
      </c>
      <c r="W58" s="48" t="str">
        <f>'grup-1'!N652</f>
        <v/>
      </c>
      <c r="X58" s="48" t="str">
        <f>'grup-1'!N683</f>
        <v/>
      </c>
      <c r="Y58" s="48" t="str">
        <f>'grup-1'!N714</f>
        <v/>
      </c>
      <c r="Z58" s="48" t="str">
        <f>'grup-1'!N745</f>
        <v/>
      </c>
      <c r="AA58" s="45">
        <f t="shared" si="7"/>
        <v>0</v>
      </c>
      <c r="AB58" s="47">
        <f t="shared" si="8"/>
        <v>0</v>
      </c>
      <c r="AC58" s="47">
        <f t="shared" si="9"/>
        <v>0</v>
      </c>
      <c r="AD58" s="47">
        <f t="shared" si="10"/>
        <v>0</v>
      </c>
      <c r="AE58" s="122" t="e" cm="1">
        <f t="array" ref="AE58">_xlfn.LET(_xlpm.z,C58:Z58,_xlpm.o,MATCH(2,1/(_xlpm.z&lt;&gt;"")),_xlpm.p,MAX(1,_xlpm.o-4),SUM(INDEX(_xlpm.z,_xlpm.p):INDEX(_xlpm.z,_xlpm.o)))</f>
        <v>#N/A</v>
      </c>
    </row>
    <row r="59" spans="2:31" ht="15.75">
      <c r="B59" s="111" t="s">
        <v>220</v>
      </c>
      <c r="C59" s="46" t="str">
        <f>'grup-1'!N32</f>
        <v/>
      </c>
      <c r="D59" s="46" t="str">
        <f>'grup-1'!N63</f>
        <v/>
      </c>
      <c r="E59" s="46" t="str">
        <f>'grup-1'!N94</f>
        <v/>
      </c>
      <c r="F59" s="46" t="str">
        <f>'grup-1'!N125</f>
        <v/>
      </c>
      <c r="G59" s="46" t="str">
        <f>'grup-1'!N156</f>
        <v/>
      </c>
      <c r="H59" s="46" t="str">
        <f>'grup-1'!N187</f>
        <v/>
      </c>
      <c r="I59" s="46" t="str">
        <f>'grup-1'!N218</f>
        <v/>
      </c>
      <c r="J59" s="46" t="str">
        <f>'grup-1'!N249</f>
        <v/>
      </c>
      <c r="K59" s="46" t="str">
        <f>'grup-1'!N280</f>
        <v/>
      </c>
      <c r="L59" s="46" t="str">
        <f>'grup-1'!N311</f>
        <v/>
      </c>
      <c r="M59" s="46" t="str">
        <f>'grup-1'!N342</f>
        <v/>
      </c>
      <c r="N59" s="46" t="str">
        <f>'grup-1'!N373</f>
        <v/>
      </c>
      <c r="O59" s="46" t="str">
        <f>'grup-1'!N405</f>
        <v/>
      </c>
      <c r="P59" s="46" t="str">
        <f>'grup-1'!N436</f>
        <v/>
      </c>
      <c r="Q59" s="46" t="str">
        <f>'grup-1'!N467</f>
        <v/>
      </c>
      <c r="R59" s="46" t="str">
        <f>'grup-1'!N498</f>
        <v/>
      </c>
      <c r="S59" s="46" t="str">
        <f>'grup-1'!N529</f>
        <v/>
      </c>
      <c r="T59" s="46" t="str">
        <f>'grup-1'!N560</f>
        <v/>
      </c>
      <c r="U59" s="46" t="str">
        <f>'grup-1'!N591</f>
        <v/>
      </c>
      <c r="V59" s="46" t="str">
        <f>'grup-1'!N622</f>
        <v/>
      </c>
      <c r="W59" s="46" t="str">
        <f>'grup-1'!N653</f>
        <v/>
      </c>
      <c r="X59" s="46" t="str">
        <f>'grup-1'!N684</f>
        <v/>
      </c>
      <c r="Y59" s="46" t="str">
        <f>'grup-1'!N715</f>
        <v/>
      </c>
      <c r="Z59" s="46" t="str">
        <f>'grup-1'!N746</f>
        <v/>
      </c>
      <c r="AA59" s="45">
        <f t="shared" si="7"/>
        <v>0</v>
      </c>
      <c r="AB59" s="47">
        <f t="shared" si="8"/>
        <v>0</v>
      </c>
      <c r="AC59" s="47">
        <f t="shared" si="9"/>
        <v>0</v>
      </c>
      <c r="AD59" s="47">
        <f t="shared" si="10"/>
        <v>0</v>
      </c>
      <c r="AE59" s="122" t="e" cm="1">
        <f t="array" ref="AE59">_xlfn.LET(_xlpm.z,C59:Z59,_xlpm.o,MATCH(2,1/(_xlpm.z&lt;&gt;"")),_xlpm.p,MAX(1,_xlpm.o-4),SUM(INDEX(_xlpm.z,_xlpm.p):INDEX(_xlpm.z,_xlpm.o)))</f>
        <v>#N/A</v>
      </c>
    </row>
    <row r="60" spans="2:31" ht="15.75">
      <c r="B60" s="111" t="s">
        <v>221</v>
      </c>
      <c r="C60" s="48" t="str">
        <f>'grup-1'!N33</f>
        <v/>
      </c>
      <c r="D60" s="48" t="str">
        <f>'grup-1'!N64</f>
        <v/>
      </c>
      <c r="E60" s="48" t="str">
        <f>'grup-1'!N95</f>
        <v/>
      </c>
      <c r="F60" s="48" t="str">
        <f>'grup-1'!N126</f>
        <v/>
      </c>
      <c r="G60" s="48" t="str">
        <f>'grup-1'!N157</f>
        <v/>
      </c>
      <c r="H60" s="48" t="str">
        <f>'grup-1'!N188</f>
        <v/>
      </c>
      <c r="I60" s="48" t="str">
        <f>'grup-1'!N219</f>
        <v/>
      </c>
      <c r="J60" s="48" t="str">
        <f>'grup-1'!N250</f>
        <v/>
      </c>
      <c r="K60" s="48" t="str">
        <f>'grup-1'!N281</f>
        <v/>
      </c>
      <c r="L60" s="48" t="str">
        <f>'grup-1'!N312</f>
        <v/>
      </c>
      <c r="M60" s="48" t="str">
        <f>'grup-1'!N343</f>
        <v/>
      </c>
      <c r="N60" s="48" t="str">
        <f>'grup-1'!N374</f>
        <v/>
      </c>
      <c r="O60" s="48" t="str">
        <f>'grup-1'!N406</f>
        <v/>
      </c>
      <c r="P60" s="48" t="str">
        <f>'grup-1'!N437</f>
        <v/>
      </c>
      <c r="Q60" s="48" t="str">
        <f>'grup-1'!N468</f>
        <v/>
      </c>
      <c r="R60" s="48" t="str">
        <f>'grup-1'!N499</f>
        <v/>
      </c>
      <c r="S60" s="48" t="str">
        <f>'grup-1'!N530</f>
        <v/>
      </c>
      <c r="T60" s="48" t="str">
        <f>'grup-1'!N561</f>
        <v/>
      </c>
      <c r="U60" s="48" t="str">
        <f>'grup-1'!N592</f>
        <v/>
      </c>
      <c r="V60" s="48" t="str">
        <f>'grup-1'!N623</f>
        <v/>
      </c>
      <c r="W60" s="48" t="str">
        <f>'grup-1'!N654</f>
        <v/>
      </c>
      <c r="X60" s="48" t="str">
        <f>'grup-1'!N685</f>
        <v/>
      </c>
      <c r="Y60" s="48" t="str">
        <f>'grup-1'!N716</f>
        <v/>
      </c>
      <c r="Z60" s="48" t="str">
        <f>'grup-1'!N747</f>
        <v/>
      </c>
      <c r="AA60" s="45">
        <f t="shared" si="7"/>
        <v>0</v>
      </c>
      <c r="AB60" s="47">
        <f t="shared" si="8"/>
        <v>0</v>
      </c>
      <c r="AC60" s="47">
        <f t="shared" si="9"/>
        <v>0</v>
      </c>
      <c r="AD60" s="47">
        <f t="shared" si="10"/>
        <v>0</v>
      </c>
      <c r="AE60" s="122" t="e" cm="1">
        <f t="array" ref="AE60">_xlfn.LET(_xlpm.z,C60:Z60,_xlpm.o,MATCH(2,1/(_xlpm.z&lt;&gt;"")),_xlpm.p,MAX(1,_xlpm.o-4),SUM(INDEX(_xlpm.z,_xlpm.p):INDEX(_xlpm.z,_xlpm.o)))</f>
        <v>#N/A</v>
      </c>
    </row>
    <row r="61" spans="2:31">
      <c r="C61" s="51">
        <f>SUM(C5:C60)</f>
        <v>0</v>
      </c>
      <c r="D61" s="51">
        <f t="shared" ref="D61:Z61" si="11">SUM(D5:D60)</f>
        <v>0</v>
      </c>
      <c r="E61" s="51">
        <f t="shared" si="11"/>
        <v>0</v>
      </c>
      <c r="F61" s="51">
        <f t="shared" si="11"/>
        <v>0</v>
      </c>
      <c r="G61" s="51">
        <f t="shared" si="11"/>
        <v>0</v>
      </c>
      <c r="H61" s="51">
        <f t="shared" si="11"/>
        <v>0</v>
      </c>
      <c r="I61" s="51">
        <f t="shared" si="11"/>
        <v>0</v>
      </c>
      <c r="J61" s="51">
        <f t="shared" si="11"/>
        <v>0</v>
      </c>
      <c r="K61" s="51">
        <f t="shared" si="11"/>
        <v>0</v>
      </c>
      <c r="L61" s="51">
        <f t="shared" si="11"/>
        <v>0</v>
      </c>
      <c r="M61" s="51">
        <f t="shared" si="11"/>
        <v>0</v>
      </c>
      <c r="N61" s="51">
        <f t="shared" si="11"/>
        <v>0</v>
      </c>
      <c r="O61" s="51">
        <f t="shared" si="11"/>
        <v>0</v>
      </c>
      <c r="P61" s="51">
        <f t="shared" si="11"/>
        <v>0</v>
      </c>
      <c r="Q61" s="51">
        <f t="shared" si="11"/>
        <v>0</v>
      </c>
      <c r="R61" s="51">
        <f t="shared" si="11"/>
        <v>0</v>
      </c>
      <c r="S61" s="51">
        <f t="shared" si="11"/>
        <v>0</v>
      </c>
      <c r="T61" s="51">
        <f t="shared" si="11"/>
        <v>0</v>
      </c>
      <c r="U61" s="51">
        <f t="shared" si="11"/>
        <v>0</v>
      </c>
      <c r="V61" s="51">
        <f t="shared" si="11"/>
        <v>0</v>
      </c>
      <c r="W61" s="51">
        <f t="shared" si="11"/>
        <v>0</v>
      </c>
      <c r="X61" s="51">
        <f t="shared" si="11"/>
        <v>0</v>
      </c>
      <c r="Y61" s="51">
        <f t="shared" si="11"/>
        <v>0</v>
      </c>
      <c r="Z61" s="51">
        <f t="shared" si="11"/>
        <v>0</v>
      </c>
    </row>
  </sheetData>
  <mergeCells count="2">
    <mergeCell ref="B2:Z2"/>
    <mergeCell ref="B3:Z3"/>
  </mergeCells>
  <phoneticPr fontId="25" type="noConversion"/>
  <conditionalFormatting sqref="C5:Z60">
    <cfRule type="cellIs" dxfId="0" priority="3" operator="equal">
      <formula>5</formula>
    </cfRule>
  </conditionalFormatting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14E7-074F-4552-A3D3-92D94618B61F}">
  <dimension ref="B1:AQ62"/>
  <sheetViews>
    <sheetView showGridLines="0" zoomScale="80" zoomScaleNormal="80" workbookViewId="0">
      <selection activeCell="D13" sqref="D13"/>
    </sheetView>
  </sheetViews>
  <sheetFormatPr defaultColWidth="9.140625" defaultRowHeight="15"/>
  <cols>
    <col min="1" max="1" width="7" style="42" customWidth="1"/>
    <col min="2" max="2" width="16.7109375" style="42" customWidth="1"/>
    <col min="3" max="20" width="5.7109375" style="44" customWidth="1"/>
    <col min="21" max="34" width="5.7109375" style="42" customWidth="1"/>
    <col min="35" max="16384" width="9.140625" style="42"/>
  </cols>
  <sheetData>
    <row r="1" spans="2:43" ht="6.75" customHeight="1">
      <c r="B1" s="43"/>
    </row>
    <row r="2" spans="2:43" ht="18" customHeight="1">
      <c r="B2" s="147" t="s">
        <v>53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2:43" ht="18" customHeight="1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</row>
    <row r="4" spans="2:43" ht="18" customHeight="1">
      <c r="C4" s="79" t="s">
        <v>147</v>
      </c>
      <c r="D4" s="79" t="s">
        <v>147</v>
      </c>
      <c r="E4" s="79" t="s">
        <v>147</v>
      </c>
      <c r="F4" s="79" t="s">
        <v>147</v>
      </c>
      <c r="G4" s="79" t="s">
        <v>147</v>
      </c>
      <c r="H4" s="79" t="s">
        <v>147</v>
      </c>
      <c r="I4" s="79" t="s">
        <v>147</v>
      </c>
      <c r="J4" s="79" t="s">
        <v>147</v>
      </c>
      <c r="K4" s="79" t="s">
        <v>147</v>
      </c>
      <c r="L4" s="79" t="s">
        <v>147</v>
      </c>
      <c r="M4" s="79" t="s">
        <v>147</v>
      </c>
      <c r="N4" s="79" t="s">
        <v>147</v>
      </c>
      <c r="O4" s="79" t="s">
        <v>147</v>
      </c>
      <c r="P4" s="79" t="s">
        <v>147</v>
      </c>
      <c r="Q4" s="79" t="s">
        <v>147</v>
      </c>
      <c r="R4" s="79" t="s">
        <v>147</v>
      </c>
      <c r="S4" s="79" t="s">
        <v>148</v>
      </c>
      <c r="T4" s="79" t="s">
        <v>148</v>
      </c>
      <c r="U4" s="79" t="s">
        <v>148</v>
      </c>
      <c r="V4" s="79" t="s">
        <v>148</v>
      </c>
      <c r="W4" s="79" t="s">
        <v>148</v>
      </c>
      <c r="X4" s="79" t="s">
        <v>148</v>
      </c>
      <c r="Y4" s="79" t="s">
        <v>148</v>
      </c>
      <c r="Z4" s="79" t="s">
        <v>148</v>
      </c>
      <c r="AA4" s="79" t="s">
        <v>149</v>
      </c>
      <c r="AB4" s="79" t="s">
        <v>149</v>
      </c>
      <c r="AC4" s="79" t="s">
        <v>149</v>
      </c>
      <c r="AD4" s="79" t="s">
        <v>149</v>
      </c>
      <c r="AE4" s="79" t="s">
        <v>150</v>
      </c>
      <c r="AF4" s="79" t="s">
        <v>150</v>
      </c>
      <c r="AG4" s="79" t="s">
        <v>151</v>
      </c>
      <c r="AH4" s="79" t="s">
        <v>152</v>
      </c>
      <c r="AJ4" s="78" t="s">
        <v>50</v>
      </c>
      <c r="AN4" s="78" t="s">
        <v>51</v>
      </c>
      <c r="AO4" s="78"/>
      <c r="AP4" s="78"/>
      <c r="AQ4" s="78" t="s">
        <v>154</v>
      </c>
    </row>
    <row r="5" spans="2:43" ht="18" customHeight="1"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J5" s="78"/>
      <c r="AN5" s="78"/>
      <c r="AO5" s="78"/>
      <c r="AP5" s="78"/>
      <c r="AQ5" s="42" t="s">
        <v>154</v>
      </c>
    </row>
    <row r="6" spans="2:43" ht="15.75">
      <c r="B6" s="127" t="s">
        <v>199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45">
        <f t="shared" ref="AI6:AI37" si="0">AJ6*6+AK6*8+AL6*10+AM6*12</f>
        <v>0</v>
      </c>
      <c r="AJ6" s="45">
        <f t="shared" ref="AJ6:AJ37" si="1">COUNTIF(C6:AH6,6)</f>
        <v>0</v>
      </c>
      <c r="AK6" s="45">
        <f t="shared" ref="AK6:AK37" si="2">COUNTIF(C6:AH6,8)</f>
        <v>0</v>
      </c>
      <c r="AL6" s="45">
        <f t="shared" ref="AL6:AL37" si="3">COUNTIF(C6:AH6,10)</f>
        <v>0</v>
      </c>
      <c r="AM6" s="45">
        <f t="shared" ref="AM6:AM37" si="4">COUNTIF(C6:AH6,12)</f>
        <v>0</v>
      </c>
      <c r="AN6" s="47"/>
      <c r="AO6" s="47"/>
      <c r="AP6" s="47"/>
      <c r="AQ6" s="122"/>
    </row>
    <row r="7" spans="2:43" ht="15.75">
      <c r="B7" s="128" t="s">
        <v>211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45">
        <f t="shared" si="0"/>
        <v>0</v>
      </c>
      <c r="AJ7" s="45">
        <f t="shared" si="1"/>
        <v>0</v>
      </c>
      <c r="AK7" s="45">
        <f t="shared" si="2"/>
        <v>0</v>
      </c>
      <c r="AL7" s="45">
        <f t="shared" si="3"/>
        <v>0</v>
      </c>
      <c r="AM7" s="45">
        <f t="shared" si="4"/>
        <v>0</v>
      </c>
      <c r="AN7" s="47"/>
      <c r="AO7" s="47"/>
      <c r="AP7" s="47"/>
    </row>
    <row r="8" spans="2:43" ht="15.75">
      <c r="B8" s="127" t="s">
        <v>176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45">
        <f t="shared" si="0"/>
        <v>0</v>
      </c>
      <c r="AJ8" s="45">
        <f t="shared" si="1"/>
        <v>0</v>
      </c>
      <c r="AK8" s="45">
        <f t="shared" si="2"/>
        <v>0</v>
      </c>
      <c r="AL8" s="45">
        <f t="shared" si="3"/>
        <v>0</v>
      </c>
      <c r="AM8" s="45">
        <f t="shared" si="4"/>
        <v>0</v>
      </c>
      <c r="AN8" s="47"/>
      <c r="AO8" s="47"/>
      <c r="AP8" s="47"/>
    </row>
    <row r="9" spans="2:43" ht="15.75">
      <c r="B9" s="128" t="s">
        <v>189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45">
        <f t="shared" si="0"/>
        <v>0</v>
      </c>
      <c r="AJ9" s="45">
        <f t="shared" si="1"/>
        <v>0</v>
      </c>
      <c r="AK9" s="45">
        <f t="shared" si="2"/>
        <v>0</v>
      </c>
      <c r="AL9" s="45">
        <f t="shared" si="3"/>
        <v>0</v>
      </c>
      <c r="AM9" s="45">
        <f t="shared" si="4"/>
        <v>0</v>
      </c>
      <c r="AN9" s="47"/>
      <c r="AO9" s="47"/>
      <c r="AP9" s="47"/>
    </row>
    <row r="10" spans="2:43" ht="15.75">
      <c r="B10" s="127" t="s">
        <v>185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45">
        <f t="shared" si="0"/>
        <v>0</v>
      </c>
      <c r="AJ10" s="45">
        <f t="shared" si="1"/>
        <v>0</v>
      </c>
      <c r="AK10" s="45">
        <f t="shared" si="2"/>
        <v>0</v>
      </c>
      <c r="AL10" s="45">
        <f t="shared" si="3"/>
        <v>0</v>
      </c>
      <c r="AM10" s="45">
        <f t="shared" si="4"/>
        <v>0</v>
      </c>
      <c r="AN10" s="47"/>
      <c r="AO10" s="47"/>
      <c r="AP10" s="47"/>
    </row>
    <row r="11" spans="2:43" ht="15.75">
      <c r="B11" s="128" t="s">
        <v>209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45">
        <f t="shared" si="0"/>
        <v>0</v>
      </c>
      <c r="AJ11" s="45">
        <f t="shared" si="1"/>
        <v>0</v>
      </c>
      <c r="AK11" s="45">
        <f t="shared" si="2"/>
        <v>0</v>
      </c>
      <c r="AL11" s="45">
        <f t="shared" si="3"/>
        <v>0</v>
      </c>
      <c r="AM11" s="45">
        <f t="shared" si="4"/>
        <v>0</v>
      </c>
      <c r="AN11" s="47"/>
      <c r="AO11" s="47"/>
      <c r="AP11" s="47"/>
    </row>
    <row r="12" spans="2:43" ht="15.75">
      <c r="B12" s="127" t="s">
        <v>201</v>
      </c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45">
        <f t="shared" si="0"/>
        <v>0</v>
      </c>
      <c r="AJ12" s="45">
        <f t="shared" si="1"/>
        <v>0</v>
      </c>
      <c r="AK12" s="45">
        <f t="shared" si="2"/>
        <v>0</v>
      </c>
      <c r="AL12" s="45">
        <f t="shared" si="3"/>
        <v>0</v>
      </c>
      <c r="AM12" s="45">
        <f t="shared" si="4"/>
        <v>0</v>
      </c>
      <c r="AN12" s="47"/>
      <c r="AO12" s="47"/>
      <c r="AP12" s="47"/>
    </row>
    <row r="13" spans="2:43" ht="15.75">
      <c r="B13" s="128" t="s">
        <v>180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45">
        <f t="shared" si="0"/>
        <v>0</v>
      </c>
      <c r="AJ13" s="45">
        <f t="shared" si="1"/>
        <v>0</v>
      </c>
      <c r="AK13" s="45">
        <f t="shared" si="2"/>
        <v>0</v>
      </c>
      <c r="AL13" s="45">
        <f t="shared" si="3"/>
        <v>0</v>
      </c>
      <c r="AM13" s="45">
        <f t="shared" si="4"/>
        <v>0</v>
      </c>
      <c r="AN13" s="47"/>
      <c r="AO13" s="47"/>
      <c r="AP13" s="47"/>
    </row>
    <row r="14" spans="2:43" ht="15.75">
      <c r="B14" s="127" t="s">
        <v>32</v>
      </c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45">
        <f t="shared" si="0"/>
        <v>0</v>
      </c>
      <c r="AJ14" s="45">
        <f t="shared" si="1"/>
        <v>0</v>
      </c>
      <c r="AK14" s="45">
        <f t="shared" si="2"/>
        <v>0</v>
      </c>
      <c r="AL14" s="45">
        <f t="shared" si="3"/>
        <v>0</v>
      </c>
      <c r="AM14" s="45">
        <f t="shared" si="4"/>
        <v>0</v>
      </c>
      <c r="AN14" s="47"/>
      <c r="AO14" s="47"/>
      <c r="AP14" s="47"/>
    </row>
    <row r="15" spans="2:43" ht="15.75">
      <c r="B15" s="128" t="s">
        <v>208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45">
        <f t="shared" si="0"/>
        <v>0</v>
      </c>
      <c r="AJ15" s="45">
        <f t="shared" si="1"/>
        <v>0</v>
      </c>
      <c r="AK15" s="45">
        <f t="shared" si="2"/>
        <v>0</v>
      </c>
      <c r="AL15" s="45">
        <f t="shared" si="3"/>
        <v>0</v>
      </c>
      <c r="AM15" s="45">
        <f t="shared" si="4"/>
        <v>0</v>
      </c>
      <c r="AN15" s="47"/>
      <c r="AO15" s="47"/>
      <c r="AP15" s="47"/>
    </row>
    <row r="16" spans="2:43" ht="15.75">
      <c r="B16" s="127" t="s">
        <v>186</v>
      </c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45">
        <f t="shared" si="0"/>
        <v>0</v>
      </c>
      <c r="AJ16" s="45">
        <f t="shared" si="1"/>
        <v>0</v>
      </c>
      <c r="AK16" s="45">
        <f t="shared" si="2"/>
        <v>0</v>
      </c>
      <c r="AL16" s="45">
        <f t="shared" si="3"/>
        <v>0</v>
      </c>
      <c r="AM16" s="45">
        <f t="shared" si="4"/>
        <v>0</v>
      </c>
      <c r="AN16" s="47"/>
      <c r="AO16" s="47"/>
      <c r="AP16" s="47"/>
    </row>
    <row r="17" spans="2:42" ht="15.75">
      <c r="B17" s="128" t="s">
        <v>183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45">
        <f t="shared" si="0"/>
        <v>0</v>
      </c>
      <c r="AJ17" s="45">
        <f t="shared" si="1"/>
        <v>0</v>
      </c>
      <c r="AK17" s="45">
        <f t="shared" si="2"/>
        <v>0</v>
      </c>
      <c r="AL17" s="45">
        <f t="shared" si="3"/>
        <v>0</v>
      </c>
      <c r="AM17" s="45">
        <f t="shared" si="4"/>
        <v>0</v>
      </c>
      <c r="AN17" s="47"/>
      <c r="AO17" s="47"/>
      <c r="AP17" s="47"/>
    </row>
    <row r="18" spans="2:42" ht="15.75">
      <c r="B18" s="127" t="s">
        <v>216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45">
        <f t="shared" si="0"/>
        <v>0</v>
      </c>
      <c r="AJ18" s="45">
        <f t="shared" si="1"/>
        <v>0</v>
      </c>
      <c r="AK18" s="45">
        <f t="shared" si="2"/>
        <v>0</v>
      </c>
      <c r="AL18" s="45">
        <f t="shared" si="3"/>
        <v>0</v>
      </c>
      <c r="AM18" s="45">
        <f t="shared" si="4"/>
        <v>0</v>
      </c>
      <c r="AN18" s="47"/>
      <c r="AO18" s="47"/>
      <c r="AP18" s="47"/>
    </row>
    <row r="19" spans="2:42" ht="15.75">
      <c r="B19" s="128" t="s">
        <v>193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45">
        <f t="shared" si="0"/>
        <v>0</v>
      </c>
      <c r="AJ19" s="45">
        <f t="shared" si="1"/>
        <v>0</v>
      </c>
      <c r="AK19" s="45">
        <f t="shared" si="2"/>
        <v>0</v>
      </c>
      <c r="AL19" s="45">
        <f t="shared" si="3"/>
        <v>0</v>
      </c>
      <c r="AM19" s="45">
        <f t="shared" si="4"/>
        <v>0</v>
      </c>
      <c r="AN19" s="47"/>
      <c r="AO19" s="47"/>
      <c r="AP19" s="47"/>
    </row>
    <row r="20" spans="2:42" ht="15.75">
      <c r="B20" s="127" t="s">
        <v>171</v>
      </c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45">
        <f t="shared" si="0"/>
        <v>0</v>
      </c>
      <c r="AJ20" s="45">
        <f t="shared" si="1"/>
        <v>0</v>
      </c>
      <c r="AK20" s="45">
        <f t="shared" si="2"/>
        <v>0</v>
      </c>
      <c r="AL20" s="45">
        <f t="shared" si="3"/>
        <v>0</v>
      </c>
      <c r="AM20" s="45">
        <f t="shared" si="4"/>
        <v>0</v>
      </c>
      <c r="AN20" s="47"/>
      <c r="AO20" s="47"/>
      <c r="AP20" s="47"/>
    </row>
    <row r="21" spans="2:42" ht="15.75">
      <c r="B21" s="128" t="s">
        <v>198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45">
        <f t="shared" si="0"/>
        <v>0</v>
      </c>
      <c r="AJ21" s="45">
        <f t="shared" si="1"/>
        <v>0</v>
      </c>
      <c r="AK21" s="45">
        <f t="shared" si="2"/>
        <v>0</v>
      </c>
      <c r="AL21" s="45">
        <f t="shared" si="3"/>
        <v>0</v>
      </c>
      <c r="AM21" s="45">
        <f t="shared" si="4"/>
        <v>0</v>
      </c>
      <c r="AN21" s="47"/>
      <c r="AO21" s="47"/>
      <c r="AP21" s="47"/>
    </row>
    <row r="22" spans="2:42" ht="15.75">
      <c r="B22" s="127" t="s">
        <v>173</v>
      </c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45">
        <f t="shared" si="0"/>
        <v>0</v>
      </c>
      <c r="AJ22" s="45">
        <f t="shared" si="1"/>
        <v>0</v>
      </c>
      <c r="AK22" s="45">
        <f t="shared" si="2"/>
        <v>0</v>
      </c>
      <c r="AL22" s="45">
        <f t="shared" si="3"/>
        <v>0</v>
      </c>
      <c r="AM22" s="45">
        <f t="shared" si="4"/>
        <v>0</v>
      </c>
      <c r="AN22" s="47"/>
      <c r="AO22" s="47"/>
      <c r="AP22" s="47"/>
    </row>
    <row r="23" spans="2:42" ht="15.75">
      <c r="B23" s="128" t="s">
        <v>178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45">
        <f t="shared" si="0"/>
        <v>0</v>
      </c>
      <c r="AJ23" s="45">
        <f t="shared" si="1"/>
        <v>0</v>
      </c>
      <c r="AK23" s="45">
        <f t="shared" si="2"/>
        <v>0</v>
      </c>
      <c r="AL23" s="45">
        <f t="shared" si="3"/>
        <v>0</v>
      </c>
      <c r="AM23" s="45">
        <f t="shared" si="4"/>
        <v>0</v>
      </c>
      <c r="AN23" s="47"/>
      <c r="AO23" s="47"/>
      <c r="AP23" s="47"/>
    </row>
    <row r="24" spans="2:42" ht="15.75">
      <c r="B24" s="127" t="s">
        <v>223</v>
      </c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45">
        <f t="shared" si="0"/>
        <v>0</v>
      </c>
      <c r="AJ24" s="45">
        <f t="shared" si="1"/>
        <v>0</v>
      </c>
      <c r="AK24" s="45">
        <f t="shared" si="2"/>
        <v>0</v>
      </c>
      <c r="AL24" s="45">
        <f t="shared" si="3"/>
        <v>0</v>
      </c>
      <c r="AM24" s="45">
        <f t="shared" si="4"/>
        <v>0</v>
      </c>
      <c r="AN24" s="47"/>
      <c r="AO24" s="47"/>
      <c r="AP24" s="47"/>
    </row>
    <row r="25" spans="2:42" ht="15.75">
      <c r="B25" s="128" t="s">
        <v>174</v>
      </c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45">
        <f t="shared" si="0"/>
        <v>0</v>
      </c>
      <c r="AJ25" s="45">
        <f t="shared" si="1"/>
        <v>0</v>
      </c>
      <c r="AK25" s="45">
        <f t="shared" si="2"/>
        <v>0</v>
      </c>
      <c r="AL25" s="45">
        <f t="shared" si="3"/>
        <v>0</v>
      </c>
      <c r="AM25" s="45">
        <f t="shared" si="4"/>
        <v>0</v>
      </c>
      <c r="AN25" s="47"/>
      <c r="AO25" s="47"/>
      <c r="AP25" s="47"/>
    </row>
    <row r="26" spans="2:42" ht="15.75">
      <c r="B26" s="127" t="s">
        <v>221</v>
      </c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45">
        <f t="shared" si="0"/>
        <v>0</v>
      </c>
      <c r="AJ26" s="45">
        <f t="shared" si="1"/>
        <v>0</v>
      </c>
      <c r="AK26" s="45">
        <f t="shared" si="2"/>
        <v>0</v>
      </c>
      <c r="AL26" s="45">
        <f t="shared" si="3"/>
        <v>0</v>
      </c>
      <c r="AM26" s="45">
        <f t="shared" si="4"/>
        <v>0</v>
      </c>
      <c r="AN26" s="47"/>
      <c r="AO26" s="47"/>
      <c r="AP26" s="47"/>
    </row>
    <row r="27" spans="2:42" ht="15.75">
      <c r="B27" s="128" t="s">
        <v>181</v>
      </c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45">
        <f t="shared" si="0"/>
        <v>0</v>
      </c>
      <c r="AJ27" s="45">
        <f t="shared" si="1"/>
        <v>0</v>
      </c>
      <c r="AK27" s="45">
        <f t="shared" si="2"/>
        <v>0</v>
      </c>
      <c r="AL27" s="45">
        <f t="shared" si="3"/>
        <v>0</v>
      </c>
      <c r="AM27" s="45">
        <f t="shared" si="4"/>
        <v>0</v>
      </c>
      <c r="AN27" s="47"/>
      <c r="AO27" s="47"/>
      <c r="AP27" s="47"/>
    </row>
    <row r="28" spans="2:42" ht="15.75">
      <c r="B28" s="127" t="s">
        <v>213</v>
      </c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45">
        <f t="shared" si="0"/>
        <v>0</v>
      </c>
      <c r="AJ28" s="45">
        <f t="shared" si="1"/>
        <v>0</v>
      </c>
      <c r="AK28" s="45">
        <f t="shared" si="2"/>
        <v>0</v>
      </c>
      <c r="AL28" s="45">
        <f t="shared" si="3"/>
        <v>0</v>
      </c>
      <c r="AM28" s="45">
        <f t="shared" si="4"/>
        <v>0</v>
      </c>
      <c r="AN28" s="47"/>
      <c r="AO28" s="47"/>
      <c r="AP28" s="47"/>
    </row>
    <row r="29" spans="2:42" ht="15.75">
      <c r="B29" s="128" t="s">
        <v>203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45">
        <f t="shared" si="0"/>
        <v>0</v>
      </c>
      <c r="AJ29" s="45">
        <f t="shared" si="1"/>
        <v>0</v>
      </c>
      <c r="AK29" s="45">
        <f t="shared" si="2"/>
        <v>0</v>
      </c>
      <c r="AL29" s="45">
        <f t="shared" si="3"/>
        <v>0</v>
      </c>
      <c r="AM29" s="45">
        <f t="shared" si="4"/>
        <v>0</v>
      </c>
      <c r="AN29" s="47"/>
      <c r="AO29" s="47"/>
      <c r="AP29" s="47"/>
    </row>
    <row r="30" spans="2:42" ht="15.75">
      <c r="B30" s="127" t="s">
        <v>202</v>
      </c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45">
        <f t="shared" si="0"/>
        <v>0</v>
      </c>
      <c r="AJ30" s="45">
        <f t="shared" si="1"/>
        <v>0</v>
      </c>
      <c r="AK30" s="45">
        <f t="shared" si="2"/>
        <v>0</v>
      </c>
      <c r="AL30" s="45">
        <f t="shared" si="3"/>
        <v>0</v>
      </c>
      <c r="AM30" s="45">
        <f t="shared" si="4"/>
        <v>0</v>
      </c>
      <c r="AN30" s="47"/>
      <c r="AO30" s="47"/>
      <c r="AP30" s="47"/>
    </row>
    <row r="31" spans="2:42" ht="15.75">
      <c r="B31" s="128" t="s">
        <v>191</v>
      </c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45">
        <f t="shared" si="0"/>
        <v>0</v>
      </c>
      <c r="AJ31" s="45">
        <f t="shared" si="1"/>
        <v>0</v>
      </c>
      <c r="AK31" s="45">
        <f t="shared" si="2"/>
        <v>0</v>
      </c>
      <c r="AL31" s="45">
        <f t="shared" si="3"/>
        <v>0</v>
      </c>
      <c r="AM31" s="45">
        <f t="shared" si="4"/>
        <v>0</v>
      </c>
      <c r="AN31" s="47"/>
      <c r="AO31" s="47"/>
      <c r="AP31" s="47"/>
    </row>
    <row r="32" spans="2:42" ht="15.75">
      <c r="B32" s="127" t="s">
        <v>172</v>
      </c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45">
        <f t="shared" si="0"/>
        <v>0</v>
      </c>
      <c r="AJ32" s="45">
        <f t="shared" si="1"/>
        <v>0</v>
      </c>
      <c r="AK32" s="45">
        <f t="shared" si="2"/>
        <v>0</v>
      </c>
      <c r="AL32" s="45">
        <f t="shared" si="3"/>
        <v>0</v>
      </c>
      <c r="AM32" s="45">
        <f t="shared" si="4"/>
        <v>0</v>
      </c>
      <c r="AN32" s="47"/>
      <c r="AO32" s="47"/>
      <c r="AP32" s="47"/>
    </row>
    <row r="33" spans="2:42" ht="15.75">
      <c r="B33" s="128" t="s">
        <v>182</v>
      </c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45">
        <f t="shared" si="0"/>
        <v>0</v>
      </c>
      <c r="AJ33" s="45">
        <f t="shared" si="1"/>
        <v>0</v>
      </c>
      <c r="AK33" s="45">
        <f t="shared" si="2"/>
        <v>0</v>
      </c>
      <c r="AL33" s="45">
        <f t="shared" si="3"/>
        <v>0</v>
      </c>
      <c r="AM33" s="45">
        <f t="shared" si="4"/>
        <v>0</v>
      </c>
      <c r="AN33" s="47"/>
      <c r="AO33" s="47"/>
      <c r="AP33" s="47"/>
    </row>
    <row r="34" spans="2:42" ht="15.75">
      <c r="B34" s="127" t="s">
        <v>192</v>
      </c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45">
        <f t="shared" si="0"/>
        <v>0</v>
      </c>
      <c r="AJ34" s="45">
        <f t="shared" si="1"/>
        <v>0</v>
      </c>
      <c r="AK34" s="45">
        <f t="shared" si="2"/>
        <v>0</v>
      </c>
      <c r="AL34" s="45">
        <f t="shared" si="3"/>
        <v>0</v>
      </c>
      <c r="AM34" s="45">
        <f t="shared" si="4"/>
        <v>0</v>
      </c>
      <c r="AN34" s="47"/>
      <c r="AO34" s="47"/>
      <c r="AP34" s="47"/>
    </row>
    <row r="35" spans="2:42" ht="15.75">
      <c r="B35" s="128" t="s">
        <v>204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45">
        <f t="shared" si="0"/>
        <v>0</v>
      </c>
      <c r="AJ35" s="45">
        <f t="shared" si="1"/>
        <v>0</v>
      </c>
      <c r="AK35" s="45">
        <f t="shared" si="2"/>
        <v>0</v>
      </c>
      <c r="AL35" s="45">
        <f t="shared" si="3"/>
        <v>0</v>
      </c>
      <c r="AM35" s="45">
        <f t="shared" si="4"/>
        <v>0</v>
      </c>
      <c r="AN35" s="47"/>
      <c r="AO35" s="47"/>
      <c r="AP35" s="47"/>
    </row>
    <row r="36" spans="2:42" ht="15.75">
      <c r="B36" s="127" t="s">
        <v>197</v>
      </c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45">
        <f t="shared" si="0"/>
        <v>0</v>
      </c>
      <c r="AJ36" s="45">
        <f t="shared" si="1"/>
        <v>0</v>
      </c>
      <c r="AK36" s="45">
        <f t="shared" si="2"/>
        <v>0</v>
      </c>
      <c r="AL36" s="45">
        <f t="shared" si="3"/>
        <v>0</v>
      </c>
      <c r="AM36" s="45">
        <f t="shared" si="4"/>
        <v>0</v>
      </c>
      <c r="AN36" s="47"/>
      <c r="AO36" s="47"/>
      <c r="AP36" s="47"/>
    </row>
    <row r="37" spans="2:42" ht="15.75">
      <c r="B37" s="128" t="s">
        <v>218</v>
      </c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45">
        <f t="shared" si="0"/>
        <v>0</v>
      </c>
      <c r="AJ37" s="45">
        <f t="shared" si="1"/>
        <v>0</v>
      </c>
      <c r="AK37" s="45">
        <f t="shared" si="2"/>
        <v>0</v>
      </c>
      <c r="AL37" s="45">
        <f t="shared" si="3"/>
        <v>0</v>
      </c>
      <c r="AM37" s="45">
        <f t="shared" si="4"/>
        <v>0</v>
      </c>
      <c r="AN37" s="47"/>
      <c r="AO37" s="47"/>
      <c r="AP37" s="47"/>
    </row>
    <row r="38" spans="2:42" ht="15.75">
      <c r="B38" s="127" t="s">
        <v>187</v>
      </c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45">
        <f t="shared" ref="AI38:AI69" si="5">AJ38*6+AK38*8+AL38*10+AM38*12</f>
        <v>0</v>
      </c>
      <c r="AJ38" s="45">
        <f t="shared" ref="AJ38:AJ61" si="6">COUNTIF(C38:AH38,6)</f>
        <v>0</v>
      </c>
      <c r="AK38" s="45">
        <f t="shared" ref="AK38:AK61" si="7">COUNTIF(C38:AH38,8)</f>
        <v>0</v>
      </c>
      <c r="AL38" s="45">
        <f t="shared" ref="AL38:AL61" si="8">COUNTIF(C38:AH38,10)</f>
        <v>0</v>
      </c>
      <c r="AM38" s="45">
        <f t="shared" ref="AM38:AM61" si="9">COUNTIF(C38:AH38,12)</f>
        <v>0</v>
      </c>
      <c r="AN38" s="47"/>
      <c r="AO38" s="47"/>
      <c r="AP38" s="47"/>
    </row>
    <row r="39" spans="2:42" ht="15.75">
      <c r="B39" s="128" t="s">
        <v>194</v>
      </c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45">
        <f t="shared" si="5"/>
        <v>0</v>
      </c>
      <c r="AJ39" s="45">
        <f t="shared" si="6"/>
        <v>0</v>
      </c>
      <c r="AK39" s="45">
        <f t="shared" si="7"/>
        <v>0</v>
      </c>
      <c r="AL39" s="45">
        <f t="shared" si="8"/>
        <v>0</v>
      </c>
      <c r="AM39" s="45">
        <f t="shared" si="9"/>
        <v>0</v>
      </c>
      <c r="AN39" s="47"/>
      <c r="AO39" s="47"/>
      <c r="AP39" s="47"/>
    </row>
    <row r="40" spans="2:42" ht="15.75">
      <c r="B40" s="127" t="s">
        <v>205</v>
      </c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45">
        <f t="shared" si="5"/>
        <v>0</v>
      </c>
      <c r="AJ40" s="45">
        <f t="shared" si="6"/>
        <v>0</v>
      </c>
      <c r="AK40" s="45">
        <f t="shared" si="7"/>
        <v>0</v>
      </c>
      <c r="AL40" s="45">
        <f t="shared" si="8"/>
        <v>0</v>
      </c>
      <c r="AM40" s="45">
        <f t="shared" si="9"/>
        <v>0</v>
      </c>
      <c r="AN40" s="47"/>
      <c r="AO40" s="47"/>
      <c r="AP40" s="47"/>
    </row>
    <row r="41" spans="2:42" ht="15.75">
      <c r="B41" s="128" t="s">
        <v>217</v>
      </c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45">
        <f t="shared" si="5"/>
        <v>0</v>
      </c>
      <c r="AJ41" s="45">
        <f t="shared" si="6"/>
        <v>0</v>
      </c>
      <c r="AK41" s="45">
        <f t="shared" si="7"/>
        <v>0</v>
      </c>
      <c r="AL41" s="45">
        <f t="shared" si="8"/>
        <v>0</v>
      </c>
      <c r="AM41" s="45">
        <f t="shared" si="9"/>
        <v>0</v>
      </c>
      <c r="AN41" s="47"/>
      <c r="AO41" s="47"/>
      <c r="AP41" s="47"/>
    </row>
    <row r="42" spans="2:42" ht="15.75">
      <c r="B42" s="127" t="s">
        <v>220</v>
      </c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45">
        <f t="shared" si="5"/>
        <v>0</v>
      </c>
      <c r="AJ42" s="45">
        <f t="shared" si="6"/>
        <v>0</v>
      </c>
      <c r="AK42" s="45">
        <f t="shared" si="7"/>
        <v>0</v>
      </c>
      <c r="AL42" s="45">
        <f t="shared" si="8"/>
        <v>0</v>
      </c>
      <c r="AM42" s="45">
        <f t="shared" si="9"/>
        <v>0</v>
      </c>
      <c r="AN42" s="47"/>
      <c r="AO42" s="47"/>
      <c r="AP42" s="47"/>
    </row>
    <row r="43" spans="2:42" ht="15.75">
      <c r="B43" s="128" t="s">
        <v>212</v>
      </c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45">
        <f t="shared" si="5"/>
        <v>0</v>
      </c>
      <c r="AJ43" s="45">
        <f t="shared" si="6"/>
        <v>0</v>
      </c>
      <c r="AK43" s="45">
        <f t="shared" si="7"/>
        <v>0</v>
      </c>
      <c r="AL43" s="45">
        <f t="shared" si="8"/>
        <v>0</v>
      </c>
      <c r="AM43" s="45">
        <f t="shared" si="9"/>
        <v>0</v>
      </c>
      <c r="AN43" s="47"/>
      <c r="AO43" s="47"/>
      <c r="AP43" s="47"/>
    </row>
    <row r="44" spans="2:42" ht="15.75">
      <c r="B44" s="127" t="s">
        <v>175</v>
      </c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45">
        <f t="shared" si="5"/>
        <v>0</v>
      </c>
      <c r="AJ44" s="45">
        <f t="shared" si="6"/>
        <v>0</v>
      </c>
      <c r="AK44" s="45">
        <f t="shared" si="7"/>
        <v>0</v>
      </c>
      <c r="AL44" s="45">
        <f t="shared" si="8"/>
        <v>0</v>
      </c>
      <c r="AM44" s="45">
        <f t="shared" si="9"/>
        <v>0</v>
      </c>
      <c r="AN44" s="47"/>
      <c r="AO44" s="47"/>
      <c r="AP44" s="47"/>
    </row>
    <row r="45" spans="2:42" ht="15.75">
      <c r="B45" s="128" t="s">
        <v>215</v>
      </c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45">
        <f t="shared" si="5"/>
        <v>0</v>
      </c>
      <c r="AJ45" s="45">
        <f t="shared" si="6"/>
        <v>0</v>
      </c>
      <c r="AK45" s="45">
        <f t="shared" si="7"/>
        <v>0</v>
      </c>
      <c r="AL45" s="45">
        <f t="shared" si="8"/>
        <v>0</v>
      </c>
      <c r="AM45" s="45">
        <f t="shared" si="9"/>
        <v>0</v>
      </c>
      <c r="AN45" s="47"/>
      <c r="AO45" s="47"/>
      <c r="AP45" s="47"/>
    </row>
    <row r="46" spans="2:42" ht="15.75">
      <c r="B46" s="127" t="s">
        <v>200</v>
      </c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45">
        <f t="shared" si="5"/>
        <v>0</v>
      </c>
      <c r="AJ46" s="45">
        <f t="shared" si="6"/>
        <v>0</v>
      </c>
      <c r="AK46" s="45">
        <f t="shared" si="7"/>
        <v>0</v>
      </c>
      <c r="AL46" s="45">
        <f t="shared" si="8"/>
        <v>0</v>
      </c>
      <c r="AM46" s="45">
        <f t="shared" si="9"/>
        <v>0</v>
      </c>
      <c r="AN46" s="47"/>
      <c r="AO46" s="47"/>
      <c r="AP46" s="47"/>
    </row>
    <row r="47" spans="2:42" ht="15.75">
      <c r="B47" s="128" t="s">
        <v>184</v>
      </c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45">
        <f t="shared" si="5"/>
        <v>0</v>
      </c>
      <c r="AJ47" s="45">
        <f t="shared" si="6"/>
        <v>0</v>
      </c>
      <c r="AK47" s="45">
        <f t="shared" si="7"/>
        <v>0</v>
      </c>
      <c r="AL47" s="45">
        <f t="shared" si="8"/>
        <v>0</v>
      </c>
      <c r="AM47" s="45">
        <f t="shared" si="9"/>
        <v>0</v>
      </c>
      <c r="AN47" s="47"/>
      <c r="AO47" s="47"/>
      <c r="AP47" s="47"/>
    </row>
    <row r="48" spans="2:42" ht="15.75">
      <c r="B48" s="127" t="s">
        <v>33</v>
      </c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45">
        <f t="shared" si="5"/>
        <v>0</v>
      </c>
      <c r="AJ48" s="45">
        <f t="shared" si="6"/>
        <v>0</v>
      </c>
      <c r="AK48" s="45">
        <f t="shared" si="7"/>
        <v>0</v>
      </c>
      <c r="AL48" s="45">
        <f t="shared" si="8"/>
        <v>0</v>
      </c>
      <c r="AM48" s="45">
        <f t="shared" si="9"/>
        <v>0</v>
      </c>
      <c r="AN48" s="47"/>
      <c r="AO48" s="47"/>
      <c r="AP48" s="47"/>
    </row>
    <row r="49" spans="2:42" ht="15.75">
      <c r="B49" s="128" t="s">
        <v>188</v>
      </c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45">
        <f t="shared" si="5"/>
        <v>0</v>
      </c>
      <c r="AJ49" s="45">
        <f t="shared" si="6"/>
        <v>0</v>
      </c>
      <c r="AK49" s="45">
        <f t="shared" si="7"/>
        <v>0</v>
      </c>
      <c r="AL49" s="45">
        <f t="shared" si="8"/>
        <v>0</v>
      </c>
      <c r="AM49" s="45">
        <f t="shared" si="9"/>
        <v>0</v>
      </c>
      <c r="AN49" s="47"/>
      <c r="AO49" s="47"/>
      <c r="AP49" s="47"/>
    </row>
    <row r="50" spans="2:42" ht="15.75">
      <c r="B50" s="127" t="s">
        <v>196</v>
      </c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45">
        <f t="shared" si="5"/>
        <v>0</v>
      </c>
      <c r="AJ50" s="45">
        <f t="shared" si="6"/>
        <v>0</v>
      </c>
      <c r="AK50" s="45">
        <f t="shared" si="7"/>
        <v>0</v>
      </c>
      <c r="AL50" s="45">
        <f t="shared" si="8"/>
        <v>0</v>
      </c>
      <c r="AM50" s="45">
        <f t="shared" si="9"/>
        <v>0</v>
      </c>
      <c r="AN50" s="47"/>
      <c r="AO50" s="47"/>
      <c r="AP50" s="47"/>
    </row>
    <row r="51" spans="2:42" ht="15.75">
      <c r="B51" s="128" t="s">
        <v>207</v>
      </c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45">
        <f t="shared" si="5"/>
        <v>0</v>
      </c>
      <c r="AJ51" s="45">
        <f t="shared" si="6"/>
        <v>0</v>
      </c>
      <c r="AK51" s="45">
        <f t="shared" si="7"/>
        <v>0</v>
      </c>
      <c r="AL51" s="45">
        <f t="shared" si="8"/>
        <v>0</v>
      </c>
      <c r="AM51" s="45">
        <f t="shared" si="9"/>
        <v>0</v>
      </c>
      <c r="AN51" s="47"/>
      <c r="AO51" s="47"/>
      <c r="AP51" s="47"/>
    </row>
    <row r="52" spans="2:42" ht="15.75">
      <c r="B52" s="127" t="s">
        <v>214</v>
      </c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45">
        <f t="shared" si="5"/>
        <v>0</v>
      </c>
      <c r="AJ52" s="45">
        <f t="shared" si="6"/>
        <v>0</v>
      </c>
      <c r="AK52" s="45">
        <f t="shared" si="7"/>
        <v>0</v>
      </c>
      <c r="AL52" s="45">
        <f t="shared" si="8"/>
        <v>0</v>
      </c>
      <c r="AM52" s="45">
        <f t="shared" si="9"/>
        <v>0</v>
      </c>
      <c r="AN52" s="47"/>
      <c r="AO52" s="47"/>
      <c r="AP52" s="47"/>
    </row>
    <row r="53" spans="2:42" ht="15.75">
      <c r="B53" s="128" t="s">
        <v>179</v>
      </c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45">
        <f t="shared" si="5"/>
        <v>0</v>
      </c>
      <c r="AJ53" s="45">
        <f t="shared" si="6"/>
        <v>0</v>
      </c>
      <c r="AK53" s="45">
        <f t="shared" si="7"/>
        <v>0</v>
      </c>
      <c r="AL53" s="45">
        <f t="shared" si="8"/>
        <v>0</v>
      </c>
      <c r="AM53" s="45">
        <f t="shared" si="9"/>
        <v>0</v>
      </c>
      <c r="AN53" s="47"/>
      <c r="AO53" s="47"/>
      <c r="AP53" s="47"/>
    </row>
    <row r="54" spans="2:42" ht="15.75">
      <c r="B54" s="127" t="s">
        <v>219</v>
      </c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45">
        <f t="shared" si="5"/>
        <v>0</v>
      </c>
      <c r="AJ54" s="45">
        <f t="shared" si="6"/>
        <v>0</v>
      </c>
      <c r="AK54" s="45">
        <f t="shared" si="7"/>
        <v>0</v>
      </c>
      <c r="AL54" s="45">
        <f t="shared" si="8"/>
        <v>0</v>
      </c>
      <c r="AM54" s="45">
        <f t="shared" si="9"/>
        <v>0</v>
      </c>
      <c r="AN54" s="47"/>
      <c r="AO54" s="47"/>
      <c r="AP54" s="47"/>
    </row>
    <row r="55" spans="2:42" ht="15.75">
      <c r="B55" s="128" t="s">
        <v>177</v>
      </c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45">
        <f t="shared" si="5"/>
        <v>0</v>
      </c>
      <c r="AJ55" s="45">
        <f t="shared" si="6"/>
        <v>0</v>
      </c>
      <c r="AK55" s="45">
        <f t="shared" si="7"/>
        <v>0</v>
      </c>
      <c r="AL55" s="45">
        <f t="shared" si="8"/>
        <v>0</v>
      </c>
      <c r="AM55" s="45">
        <f t="shared" si="9"/>
        <v>0</v>
      </c>
      <c r="AN55" s="47"/>
      <c r="AO55" s="47"/>
      <c r="AP55" s="47"/>
    </row>
    <row r="56" spans="2:42" ht="15.75">
      <c r="B56" s="127" t="s">
        <v>210</v>
      </c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45">
        <f t="shared" si="5"/>
        <v>0</v>
      </c>
      <c r="AJ56" s="45">
        <f t="shared" si="6"/>
        <v>0</v>
      </c>
      <c r="AK56" s="45">
        <f t="shared" si="7"/>
        <v>0</v>
      </c>
      <c r="AL56" s="45">
        <f t="shared" si="8"/>
        <v>0</v>
      </c>
      <c r="AM56" s="45">
        <f t="shared" si="9"/>
        <v>0</v>
      </c>
      <c r="AN56" s="47"/>
      <c r="AO56" s="47"/>
      <c r="AP56" s="47"/>
    </row>
    <row r="57" spans="2:42" ht="15.75">
      <c r="B57" s="128" t="s">
        <v>195</v>
      </c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45">
        <f t="shared" si="5"/>
        <v>0</v>
      </c>
      <c r="AJ57" s="45">
        <f t="shared" si="6"/>
        <v>0</v>
      </c>
      <c r="AK57" s="45">
        <f t="shared" si="7"/>
        <v>0</v>
      </c>
      <c r="AL57" s="45">
        <f t="shared" si="8"/>
        <v>0</v>
      </c>
      <c r="AM57" s="45">
        <f t="shared" si="9"/>
        <v>0</v>
      </c>
      <c r="AN57" s="47"/>
      <c r="AO57" s="47"/>
      <c r="AP57" s="47"/>
    </row>
    <row r="58" spans="2:42" ht="15.75">
      <c r="B58" s="127" t="s">
        <v>190</v>
      </c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45">
        <f t="shared" si="5"/>
        <v>0</v>
      </c>
      <c r="AJ58" s="45">
        <f t="shared" si="6"/>
        <v>0</v>
      </c>
      <c r="AK58" s="45">
        <f t="shared" si="7"/>
        <v>0</v>
      </c>
      <c r="AL58" s="45">
        <f t="shared" si="8"/>
        <v>0</v>
      </c>
      <c r="AM58" s="45">
        <f t="shared" si="9"/>
        <v>0</v>
      </c>
      <c r="AN58" s="47"/>
      <c r="AO58" s="47"/>
      <c r="AP58" s="47"/>
    </row>
    <row r="59" spans="2:42" ht="15.75">
      <c r="B59" s="128" t="s">
        <v>206</v>
      </c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45">
        <f t="shared" si="5"/>
        <v>0</v>
      </c>
      <c r="AJ59" s="45">
        <f t="shared" si="6"/>
        <v>0</v>
      </c>
      <c r="AK59" s="45">
        <f t="shared" si="7"/>
        <v>0</v>
      </c>
      <c r="AL59" s="45">
        <f t="shared" si="8"/>
        <v>0</v>
      </c>
      <c r="AM59" s="45">
        <f t="shared" si="9"/>
        <v>0</v>
      </c>
      <c r="AN59" s="47"/>
      <c r="AO59" s="47"/>
      <c r="AP59" s="47"/>
    </row>
    <row r="60" spans="2:42" ht="15.75">
      <c r="B60" s="127" t="s">
        <v>170</v>
      </c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45">
        <f t="shared" si="5"/>
        <v>0</v>
      </c>
      <c r="AJ60" s="45">
        <f t="shared" si="6"/>
        <v>0</v>
      </c>
      <c r="AK60" s="45">
        <f t="shared" si="7"/>
        <v>0</v>
      </c>
      <c r="AL60" s="45">
        <f t="shared" si="8"/>
        <v>0</v>
      </c>
      <c r="AM60" s="45">
        <f t="shared" si="9"/>
        <v>0</v>
      </c>
      <c r="AN60" s="47"/>
      <c r="AO60" s="47"/>
      <c r="AP60" s="47"/>
    </row>
    <row r="61" spans="2:42" ht="15.75">
      <c r="B61" s="128" t="s">
        <v>222</v>
      </c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45">
        <f t="shared" si="5"/>
        <v>0</v>
      </c>
      <c r="AJ61" s="45">
        <f t="shared" si="6"/>
        <v>0</v>
      </c>
      <c r="AK61" s="45">
        <f t="shared" si="7"/>
        <v>0</v>
      </c>
      <c r="AL61" s="45">
        <f t="shared" si="8"/>
        <v>0</v>
      </c>
      <c r="AM61" s="45">
        <f t="shared" si="9"/>
        <v>0</v>
      </c>
      <c r="AN61" s="47"/>
      <c r="AO61" s="47"/>
      <c r="AP61" s="47"/>
    </row>
    <row r="62" spans="2:42">
      <c r="C62" s="51">
        <f t="shared" ref="C62:AH62" si="10">SUM(C6:C51)</f>
        <v>0</v>
      </c>
      <c r="D62" s="51">
        <f t="shared" si="10"/>
        <v>0</v>
      </c>
      <c r="E62" s="51">
        <f t="shared" si="10"/>
        <v>0</v>
      </c>
      <c r="F62" s="51">
        <f t="shared" si="10"/>
        <v>0</v>
      </c>
      <c r="G62" s="51">
        <f t="shared" si="10"/>
        <v>0</v>
      </c>
      <c r="H62" s="51">
        <f t="shared" si="10"/>
        <v>0</v>
      </c>
      <c r="I62" s="51">
        <f t="shared" si="10"/>
        <v>0</v>
      </c>
      <c r="J62" s="51">
        <f t="shared" si="10"/>
        <v>0</v>
      </c>
      <c r="K62" s="51">
        <f t="shared" si="10"/>
        <v>0</v>
      </c>
      <c r="L62" s="51">
        <f t="shared" si="10"/>
        <v>0</v>
      </c>
      <c r="M62" s="51">
        <f t="shared" si="10"/>
        <v>0</v>
      </c>
      <c r="N62" s="51">
        <f t="shared" si="10"/>
        <v>0</v>
      </c>
      <c r="O62" s="51">
        <f t="shared" si="10"/>
        <v>0</v>
      </c>
      <c r="P62" s="51">
        <f t="shared" si="10"/>
        <v>0</v>
      </c>
      <c r="Q62" s="51">
        <f t="shared" si="10"/>
        <v>0</v>
      </c>
      <c r="R62" s="51">
        <f t="shared" si="10"/>
        <v>0</v>
      </c>
      <c r="S62" s="51">
        <f t="shared" si="10"/>
        <v>0</v>
      </c>
      <c r="T62" s="51">
        <f t="shared" si="10"/>
        <v>0</v>
      </c>
      <c r="U62" s="51">
        <f t="shared" si="10"/>
        <v>0</v>
      </c>
      <c r="V62" s="51">
        <f t="shared" si="10"/>
        <v>0</v>
      </c>
      <c r="W62" s="51">
        <f t="shared" si="10"/>
        <v>0</v>
      </c>
      <c r="X62" s="51">
        <f t="shared" si="10"/>
        <v>0</v>
      </c>
      <c r="Y62" s="51">
        <f t="shared" si="10"/>
        <v>0</v>
      </c>
      <c r="Z62" s="51">
        <f t="shared" si="10"/>
        <v>0</v>
      </c>
      <c r="AA62" s="51">
        <f t="shared" si="10"/>
        <v>0</v>
      </c>
      <c r="AB62" s="51">
        <f t="shared" si="10"/>
        <v>0</v>
      </c>
      <c r="AC62" s="51">
        <f t="shared" si="10"/>
        <v>0</v>
      </c>
      <c r="AD62" s="51">
        <f t="shared" si="10"/>
        <v>0</v>
      </c>
      <c r="AE62" s="51">
        <f t="shared" si="10"/>
        <v>0</v>
      </c>
      <c r="AF62" s="51">
        <f t="shared" si="10"/>
        <v>0</v>
      </c>
      <c r="AG62" s="51">
        <f t="shared" si="10"/>
        <v>0</v>
      </c>
      <c r="AH62" s="51">
        <f t="shared" si="10"/>
        <v>0</v>
      </c>
    </row>
  </sheetData>
  <sortState xmlns:xlrd2="http://schemas.microsoft.com/office/spreadsheetml/2017/richdata2" ref="B6:AM62">
    <sortCondition ref="B6:B62"/>
  </sortState>
  <mergeCells count="2">
    <mergeCell ref="B2:AC2"/>
    <mergeCell ref="B3:AC3"/>
  </mergeCells>
  <phoneticPr fontId="25" type="noConversion"/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00C6-C9F5-4FC2-A6E1-49FEFD8C959F}">
  <dimension ref="B1:AK63"/>
  <sheetViews>
    <sheetView showGridLines="0" zoomScale="80" zoomScaleNormal="80" workbookViewId="0">
      <selection activeCell="E50" sqref="E50"/>
    </sheetView>
  </sheetViews>
  <sheetFormatPr defaultColWidth="9.140625" defaultRowHeight="15"/>
  <cols>
    <col min="1" max="1" width="4" style="42" customWidth="1"/>
    <col min="2" max="2" width="19.7109375" style="42" customWidth="1"/>
    <col min="3" max="3" width="7.85546875" style="42" customWidth="1"/>
    <col min="4" max="8" width="9.7109375" style="44" customWidth="1"/>
    <col min="9" max="16384" width="9.140625" style="42"/>
  </cols>
  <sheetData>
    <row r="1" spans="2:37" ht="6.75" customHeight="1">
      <c r="B1" s="43"/>
      <c r="C1" s="43"/>
    </row>
    <row r="2" spans="2:37" ht="16.149999999999999" customHeight="1">
      <c r="B2" s="78" t="s">
        <v>43</v>
      </c>
      <c r="C2" s="148" t="s">
        <v>34</v>
      </c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156" t="s">
        <v>145</v>
      </c>
      <c r="V2" s="157"/>
      <c r="W2" s="157"/>
      <c r="X2" s="157"/>
      <c r="Y2" s="158"/>
      <c r="Z2" s="153" t="s">
        <v>144</v>
      </c>
      <c r="AA2" s="154"/>
      <c r="AB2" s="154"/>
      <c r="AC2" s="155"/>
      <c r="AD2" s="153" t="s">
        <v>143</v>
      </c>
      <c r="AE2" s="154"/>
      <c r="AF2" s="154"/>
      <c r="AG2" s="155"/>
      <c r="AH2" s="150" t="s">
        <v>142</v>
      </c>
      <c r="AI2" s="152"/>
      <c r="AJ2" s="150" t="s">
        <v>52</v>
      </c>
      <c r="AK2" s="151"/>
    </row>
    <row r="3" spans="2:37">
      <c r="B3" s="49" t="s">
        <v>44</v>
      </c>
      <c r="C3" s="50">
        <v>1</v>
      </c>
      <c r="D3" s="50">
        <v>2</v>
      </c>
      <c r="E3" s="50">
        <v>3</v>
      </c>
      <c r="F3" s="50">
        <v>4</v>
      </c>
      <c r="G3" s="50">
        <v>5</v>
      </c>
      <c r="H3" s="50">
        <v>6</v>
      </c>
      <c r="I3" s="50">
        <v>7</v>
      </c>
      <c r="J3" s="50">
        <v>8</v>
      </c>
      <c r="K3" s="50">
        <v>9</v>
      </c>
      <c r="L3" s="50">
        <v>10</v>
      </c>
      <c r="M3" s="50">
        <v>11</v>
      </c>
      <c r="N3" s="50">
        <v>12</v>
      </c>
      <c r="O3" s="50">
        <v>13</v>
      </c>
      <c r="P3" s="50">
        <v>14</v>
      </c>
      <c r="Q3" s="50">
        <v>15</v>
      </c>
      <c r="R3" s="50">
        <v>16</v>
      </c>
      <c r="S3" s="50">
        <v>17</v>
      </c>
      <c r="T3" s="50">
        <v>18</v>
      </c>
      <c r="U3" s="50">
        <v>19</v>
      </c>
      <c r="V3" s="50">
        <v>20</v>
      </c>
      <c r="W3" s="50">
        <v>21</v>
      </c>
      <c r="X3" s="50">
        <v>22</v>
      </c>
      <c r="Y3" s="50">
        <v>23</v>
      </c>
      <c r="Z3" s="50">
        <v>24</v>
      </c>
      <c r="AA3" s="50">
        <v>25</v>
      </c>
      <c r="AB3" s="50">
        <v>26</v>
      </c>
      <c r="AC3" s="50">
        <v>27</v>
      </c>
      <c r="AD3" s="50">
        <v>28</v>
      </c>
      <c r="AE3" s="50">
        <v>29</v>
      </c>
      <c r="AF3" s="50">
        <v>30</v>
      </c>
      <c r="AG3" s="50">
        <v>31</v>
      </c>
      <c r="AH3" s="50">
        <v>32</v>
      </c>
      <c r="AI3" s="50">
        <v>33</v>
      </c>
      <c r="AJ3" s="50">
        <v>34</v>
      </c>
      <c r="AK3" s="50">
        <v>35</v>
      </c>
    </row>
    <row r="4" spans="2:37">
      <c r="B4" s="49"/>
      <c r="C4" s="85">
        <v>46184</v>
      </c>
      <c r="D4" s="85">
        <v>46185</v>
      </c>
      <c r="E4" s="85">
        <v>46186</v>
      </c>
      <c r="F4" s="85">
        <v>46187</v>
      </c>
      <c r="G4" s="85">
        <v>46188</v>
      </c>
      <c r="H4" s="85">
        <v>46189</v>
      </c>
      <c r="I4" s="85">
        <v>46190</v>
      </c>
      <c r="J4" s="85">
        <v>46191</v>
      </c>
      <c r="K4" s="85">
        <v>46192</v>
      </c>
      <c r="L4" s="85">
        <v>46193</v>
      </c>
      <c r="M4" s="85">
        <v>46194</v>
      </c>
      <c r="N4" s="85">
        <v>46195</v>
      </c>
      <c r="O4" s="85">
        <v>46196</v>
      </c>
      <c r="P4" s="85">
        <v>46197</v>
      </c>
      <c r="Q4" s="85">
        <v>46198</v>
      </c>
      <c r="R4" s="85">
        <v>46199</v>
      </c>
      <c r="S4" s="85">
        <v>46200</v>
      </c>
      <c r="T4" s="86">
        <v>46201</v>
      </c>
      <c r="U4" s="85">
        <v>46202</v>
      </c>
      <c r="V4" s="85">
        <v>46203</v>
      </c>
      <c r="W4" s="85">
        <v>46204</v>
      </c>
      <c r="X4" s="85">
        <v>46205</v>
      </c>
      <c r="Y4" s="85">
        <v>46206</v>
      </c>
      <c r="Z4" s="85">
        <v>46207</v>
      </c>
      <c r="AA4" s="85">
        <v>46208</v>
      </c>
      <c r="AB4" s="85">
        <v>46209</v>
      </c>
      <c r="AC4" s="85">
        <v>46210</v>
      </c>
      <c r="AD4" s="85">
        <v>46212</v>
      </c>
      <c r="AE4" s="85">
        <v>46213</v>
      </c>
      <c r="AF4" s="85">
        <v>46214</v>
      </c>
      <c r="AG4" s="85">
        <v>46215</v>
      </c>
      <c r="AH4" s="85">
        <v>46217</v>
      </c>
      <c r="AI4" s="85">
        <v>46218</v>
      </c>
      <c r="AJ4" s="85">
        <v>46221</v>
      </c>
      <c r="AK4" s="85">
        <v>46222</v>
      </c>
    </row>
    <row r="5" spans="2:37" ht="26.1" customHeight="1">
      <c r="B5" s="61"/>
      <c r="C5" s="61" t="s">
        <v>141</v>
      </c>
      <c r="D5" s="62" t="s">
        <v>35</v>
      </c>
      <c r="E5" s="63" t="s">
        <v>36</v>
      </c>
      <c r="F5" s="64" t="s">
        <v>37</v>
      </c>
      <c r="G5" s="62" t="s">
        <v>38</v>
      </c>
      <c r="H5" s="62" t="s">
        <v>39</v>
      </c>
      <c r="I5" s="65" t="s">
        <v>40</v>
      </c>
      <c r="J5" s="159" t="s">
        <v>41</v>
      </c>
      <c r="K5" s="62" t="s">
        <v>35</v>
      </c>
      <c r="L5" s="66" t="s">
        <v>36</v>
      </c>
      <c r="M5" s="67" t="s">
        <v>37</v>
      </c>
      <c r="N5" s="62" t="s">
        <v>38</v>
      </c>
      <c r="O5" s="62" t="s">
        <v>39</v>
      </c>
      <c r="P5" s="83" t="s">
        <v>40</v>
      </c>
      <c r="Q5" s="62" t="s">
        <v>41</v>
      </c>
      <c r="R5" s="62" t="s">
        <v>35</v>
      </c>
      <c r="S5" s="66" t="s">
        <v>36</v>
      </c>
      <c r="T5" s="67" t="s">
        <v>37</v>
      </c>
      <c r="U5" s="62" t="s">
        <v>38</v>
      </c>
      <c r="V5" s="62" t="s">
        <v>39</v>
      </c>
      <c r="W5" s="83" t="s">
        <v>40</v>
      </c>
      <c r="X5" s="62" t="s">
        <v>41</v>
      </c>
      <c r="Y5" s="62" t="s">
        <v>35</v>
      </c>
      <c r="Z5" s="66" t="s">
        <v>36</v>
      </c>
      <c r="AA5" s="67" t="s">
        <v>37</v>
      </c>
      <c r="AB5" s="62" t="s">
        <v>38</v>
      </c>
      <c r="AC5" s="62" t="s">
        <v>39</v>
      </c>
      <c r="AD5" s="62" t="s">
        <v>41</v>
      </c>
      <c r="AE5" s="62" t="s">
        <v>35</v>
      </c>
      <c r="AF5" s="66" t="s">
        <v>36</v>
      </c>
      <c r="AG5" s="67" t="s">
        <v>37</v>
      </c>
      <c r="AH5" s="62" t="s">
        <v>39</v>
      </c>
      <c r="AI5" s="83" t="s">
        <v>40</v>
      </c>
      <c r="AJ5" s="66" t="s">
        <v>36</v>
      </c>
      <c r="AK5" s="67" t="s">
        <v>37</v>
      </c>
    </row>
    <row r="6" spans="2:37">
      <c r="B6" s="59" t="s">
        <v>32</v>
      </c>
      <c r="C6" s="59" t="str">
        <f>'r1'!C5</f>
        <v/>
      </c>
      <c r="D6" s="59" t="str">
        <f>IF('r1'!D5="","",'r1'!D5+'r1'!E5)</f>
        <v/>
      </c>
      <c r="E6" s="59" t="str">
        <f>IF('r1'!F5="","",'r1'!F5+'r1'!G5)</f>
        <v/>
      </c>
      <c r="F6" s="59" t="str">
        <f>IF('r1'!H5="","",'r1'!H5+'r1'!I5+'r1'!J5+'r1'!K5+'r1'!L5)</f>
        <v/>
      </c>
      <c r="G6" s="59" t="str">
        <f>IF('r1'!N5="","",'r1'!M5+'r1'!N5+'r1'!O5+'r1'!P5)</f>
        <v/>
      </c>
      <c r="H6" s="59" t="str">
        <f>IF('r1'!Q5="","",'r1'!Q5+'r1'!R5+'r1'!S5)</f>
        <v/>
      </c>
      <c r="I6" s="59" t="str">
        <f>IF('r1'!T5="","",'r1'!T5+'r1'!U5+'r1'!V5+'r1'!W5+'r1'!X5)</f>
        <v/>
      </c>
      <c r="J6" s="59" t="str">
        <f>IF('r1'!Y5="","",'r1'!Y5+'r1'!Z5)</f>
        <v/>
      </c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</row>
    <row r="7" spans="2:37">
      <c r="B7" s="58" t="s">
        <v>170</v>
      </c>
      <c r="C7" s="58" t="str">
        <f>'r1'!C6</f>
        <v/>
      </c>
      <c r="D7" s="58" t="str">
        <f>IF('r1'!D6="","",'r1'!D6+'r1'!E6)</f>
        <v/>
      </c>
      <c r="E7" s="58" t="str">
        <f>IF('r1'!F6="","",'r1'!F6+'r1'!G6)</f>
        <v/>
      </c>
      <c r="F7" s="58" t="str">
        <f>IF('r1'!H6="","",'r1'!H6+'r1'!I6+'r1'!J6+'r1'!K6+'r1'!L6)</f>
        <v/>
      </c>
      <c r="G7" s="58" t="str">
        <f>IF('r1'!N6="","",'r1'!M6+'r1'!N6+'r1'!O6+'r1'!P6)</f>
        <v/>
      </c>
      <c r="H7" s="58" t="str">
        <f>IF('r1'!Q6="","",'r1'!Q6+'r1'!R6+'r1'!S6)</f>
        <v/>
      </c>
      <c r="I7" s="58" t="str">
        <f>IF('r1'!T6="","",'r1'!T6+'r1'!U6+'r1'!V6+'r1'!W6+'r1'!X6)</f>
        <v/>
      </c>
      <c r="J7" s="58" t="str">
        <f>IF('r1'!Y6="","",'r1'!Y6+'r1'!Z6)</f>
        <v/>
      </c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</row>
    <row r="8" spans="2:37">
      <c r="B8" s="59" t="s">
        <v>171</v>
      </c>
      <c r="C8" s="59" t="str">
        <f>'r1'!C7</f>
        <v/>
      </c>
      <c r="D8" s="59" t="str">
        <f>IF('r1'!D7="","",'r1'!D7+'r1'!E7)</f>
        <v/>
      </c>
      <c r="E8" s="59" t="str">
        <f>IF('r1'!F7="","",'r1'!F7+'r1'!G7)</f>
        <v/>
      </c>
      <c r="F8" s="59" t="str">
        <f>IF('r1'!H7="","",'r1'!H7+'r1'!I7+'r1'!J7+'r1'!K7+'r1'!L7)</f>
        <v/>
      </c>
      <c r="G8" s="59" t="str">
        <f>IF('r1'!N7="","",'r1'!M7+'r1'!N7+'r1'!O7+'r1'!P7)</f>
        <v/>
      </c>
      <c r="H8" s="59" t="str">
        <f>IF('r1'!Q7="","",'r1'!Q7+'r1'!R7+'r1'!S7)</f>
        <v/>
      </c>
      <c r="I8" s="59" t="str">
        <f>IF('r1'!T7="","",'r1'!T7+'r1'!U7+'r1'!V7+'r1'!W7+'r1'!X7)</f>
        <v/>
      </c>
      <c r="J8" s="59" t="str">
        <f>IF('r1'!Y7="","",'r1'!Y7+'r1'!Z7)</f>
        <v/>
      </c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</row>
    <row r="9" spans="2:37">
      <c r="B9" s="58" t="s">
        <v>172</v>
      </c>
      <c r="C9" s="58" t="str">
        <f>'r1'!C8</f>
        <v/>
      </c>
      <c r="D9" s="58" t="str">
        <f>IF('r1'!D8="","",'r1'!D8+'r1'!E8)</f>
        <v/>
      </c>
      <c r="E9" s="58" t="str">
        <f>IF('r1'!F8="","",'r1'!F8+'r1'!G8)</f>
        <v/>
      </c>
      <c r="F9" s="58" t="str">
        <f>IF('r1'!H8="","",'r1'!H8+'r1'!I8+'r1'!J8+'r1'!K8+'r1'!L8)</f>
        <v/>
      </c>
      <c r="G9" s="58" t="str">
        <f>IF('r1'!N8="","",'r1'!M8+'r1'!N8+'r1'!O8+'r1'!P8)</f>
        <v/>
      </c>
      <c r="H9" s="58" t="str">
        <f>IF('r1'!Q8="","",'r1'!Q8+'r1'!R8+'r1'!S8)</f>
        <v/>
      </c>
      <c r="I9" s="58" t="str">
        <f>IF('r1'!T8="","",'r1'!T8+'r1'!U8+'r1'!V8+'r1'!W8+'r1'!X8)</f>
        <v/>
      </c>
      <c r="J9" s="58" t="str">
        <f>IF('r1'!Y8="","",'r1'!Y8+'r1'!Z8)</f>
        <v/>
      </c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</row>
    <row r="10" spans="2:37">
      <c r="B10" s="59" t="s">
        <v>173</v>
      </c>
      <c r="C10" s="59" t="str">
        <f>'r1'!C9</f>
        <v/>
      </c>
      <c r="D10" s="59" t="str">
        <f>IF('r1'!D9="","",'r1'!D9+'r1'!E9)</f>
        <v/>
      </c>
      <c r="E10" s="59" t="str">
        <f>IF('r1'!F9="","",'r1'!F9+'r1'!G9)</f>
        <v/>
      </c>
      <c r="F10" s="59" t="str">
        <f>IF('r1'!H9="","",'r1'!H9+'r1'!I9+'r1'!J9+'r1'!K9+'r1'!L9)</f>
        <v/>
      </c>
      <c r="G10" s="59" t="str">
        <f>IF('r1'!N9="","",'r1'!M9+'r1'!N9+'r1'!O9+'r1'!P9)</f>
        <v/>
      </c>
      <c r="H10" s="59" t="str">
        <f>IF('r1'!Q9="","",'r1'!Q9+'r1'!R9+'r1'!S9)</f>
        <v/>
      </c>
      <c r="I10" s="59" t="str">
        <f>IF('r1'!T9="","",'r1'!T9+'r1'!U9+'r1'!V9+'r1'!W9+'r1'!X9)</f>
        <v/>
      </c>
      <c r="J10" s="59" t="str">
        <f>IF('r1'!Y9="","",'r1'!Y9+'r1'!Z9)</f>
        <v/>
      </c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</row>
    <row r="11" spans="2:37">
      <c r="B11" s="58" t="s">
        <v>174</v>
      </c>
      <c r="C11" s="58" t="str">
        <f>'r1'!C10</f>
        <v/>
      </c>
      <c r="D11" s="58" t="str">
        <f>IF('r1'!D10="","",'r1'!D10+'r1'!E10)</f>
        <v/>
      </c>
      <c r="E11" s="58" t="str">
        <f>IF('r1'!F10="","",'r1'!F10+'r1'!G10)</f>
        <v/>
      </c>
      <c r="F11" s="58" t="str">
        <f>IF('r1'!H10="","",'r1'!H10+'r1'!I10+'r1'!J10+'r1'!K10+'r1'!L10)</f>
        <v/>
      </c>
      <c r="G11" s="58" t="str">
        <f>IF('r1'!N10="","",'r1'!M10+'r1'!N10+'r1'!O10+'r1'!P10)</f>
        <v/>
      </c>
      <c r="H11" s="58" t="str">
        <f>IF('r1'!Q10="","",'r1'!Q10+'r1'!R10+'r1'!S10)</f>
        <v/>
      </c>
      <c r="I11" s="58" t="str">
        <f>IF('r1'!T10="","",'r1'!T10+'r1'!U10+'r1'!V10+'r1'!W10+'r1'!X10)</f>
        <v/>
      </c>
      <c r="J11" s="58" t="str">
        <f>IF('r1'!Y10="","",'r1'!Y10+'r1'!Z10)</f>
        <v/>
      </c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</row>
    <row r="12" spans="2:37">
      <c r="B12" s="59" t="s">
        <v>175</v>
      </c>
      <c r="C12" s="59" t="str">
        <f>'r1'!C11</f>
        <v/>
      </c>
      <c r="D12" s="59" t="str">
        <f>IF('r1'!D11="","",'r1'!D11+'r1'!E11)</f>
        <v/>
      </c>
      <c r="E12" s="59" t="str">
        <f>IF('r1'!F11="","",'r1'!F11+'r1'!G11)</f>
        <v/>
      </c>
      <c r="F12" s="59" t="str">
        <f>IF('r1'!H11="","",'r1'!H11+'r1'!I11+'r1'!J11+'r1'!K11+'r1'!L11)</f>
        <v/>
      </c>
      <c r="G12" s="59" t="str">
        <f>IF('r1'!N11="","",'r1'!M11+'r1'!N11+'r1'!O11+'r1'!P11)</f>
        <v/>
      </c>
      <c r="H12" s="59" t="str">
        <f>IF('r1'!Q11="","",'r1'!Q11+'r1'!R11+'r1'!S11)</f>
        <v/>
      </c>
      <c r="I12" s="59" t="str">
        <f>IF('r1'!T11="","",'r1'!T11+'r1'!U11+'r1'!V11+'r1'!W11+'r1'!X11)</f>
        <v/>
      </c>
      <c r="J12" s="59" t="str">
        <f>IF('r1'!Y11="","",'r1'!Y11+'r1'!Z11)</f>
        <v/>
      </c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</row>
    <row r="13" spans="2:37">
      <c r="B13" s="58" t="s">
        <v>33</v>
      </c>
      <c r="C13" s="58" t="str">
        <f>'r1'!C12</f>
        <v/>
      </c>
      <c r="D13" s="58" t="str">
        <f>IF('r1'!D12="","",'r1'!D12+'r1'!E12)</f>
        <v/>
      </c>
      <c r="E13" s="58" t="str">
        <f>IF('r1'!F12="","",'r1'!F12+'r1'!G12)</f>
        <v/>
      </c>
      <c r="F13" s="58" t="str">
        <f>IF('r1'!H12="","",'r1'!H12+'r1'!I12+'r1'!J12+'r1'!K12+'r1'!L12)</f>
        <v/>
      </c>
      <c r="G13" s="58" t="str">
        <f>IF('r1'!N12="","",'r1'!M12+'r1'!N12+'r1'!O12+'r1'!P12)</f>
        <v/>
      </c>
      <c r="H13" s="58" t="str">
        <f>IF('r1'!Q12="","",'r1'!Q12+'r1'!R12+'r1'!S12)</f>
        <v/>
      </c>
      <c r="I13" s="58" t="str">
        <f>IF('r1'!T12="","",'r1'!T12+'r1'!U12+'r1'!V12+'r1'!W12+'r1'!X12)</f>
        <v/>
      </c>
      <c r="J13" s="58" t="str">
        <f>IF('r1'!Y12="","",'r1'!Y12+'r1'!Z12)</f>
        <v/>
      </c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2:37">
      <c r="B14" s="59" t="s">
        <v>176</v>
      </c>
      <c r="C14" s="59" t="str">
        <f>'r1'!C13</f>
        <v/>
      </c>
      <c r="D14" s="59" t="str">
        <f>IF('r1'!D13="","",'r1'!D13+'r1'!E13)</f>
        <v/>
      </c>
      <c r="E14" s="59" t="str">
        <f>IF('r1'!F13="","",'r1'!F13+'r1'!G13)</f>
        <v/>
      </c>
      <c r="F14" s="59" t="str">
        <f>IF('r1'!H13="","",'r1'!H13+'r1'!I13+'r1'!J13+'r1'!K13+'r1'!L13)</f>
        <v/>
      </c>
      <c r="G14" s="59" t="str">
        <f>IF('r1'!N13="","",'r1'!M13+'r1'!N13+'r1'!O13+'r1'!P13)</f>
        <v/>
      </c>
      <c r="H14" s="59" t="str">
        <f>IF('r1'!Q13="","",'r1'!Q13+'r1'!R13+'r1'!S13)</f>
        <v/>
      </c>
      <c r="I14" s="59" t="str">
        <f>IF('r1'!T13="","",'r1'!T13+'r1'!U13+'r1'!V13+'r1'!W13+'r1'!X13)</f>
        <v/>
      </c>
      <c r="J14" s="59" t="str">
        <f>IF('r1'!Y13="","",'r1'!Y13+'r1'!Z13)</f>
        <v/>
      </c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</row>
    <row r="15" spans="2:37">
      <c r="B15" s="58" t="s">
        <v>177</v>
      </c>
      <c r="C15" s="58" t="str">
        <f>'r1'!C14</f>
        <v/>
      </c>
      <c r="D15" s="58" t="str">
        <f>IF('r1'!D14="","",'r1'!D14+'r1'!E14)</f>
        <v/>
      </c>
      <c r="E15" s="58" t="str">
        <f>IF('r1'!F14="","",'r1'!F14+'r1'!G14)</f>
        <v/>
      </c>
      <c r="F15" s="58" t="str">
        <f>IF('r1'!H14="","",'r1'!H14+'r1'!I14+'r1'!J14+'r1'!K14+'r1'!L14)</f>
        <v/>
      </c>
      <c r="G15" s="58" t="str">
        <f>IF('r1'!N14="","",'r1'!M14+'r1'!N14+'r1'!O14+'r1'!P14)</f>
        <v/>
      </c>
      <c r="H15" s="58" t="str">
        <f>IF('r1'!Q14="","",'r1'!Q14+'r1'!R14+'r1'!S14)</f>
        <v/>
      </c>
      <c r="I15" s="58" t="str">
        <f>IF('r1'!T14="","",'r1'!T14+'r1'!U14+'r1'!V14+'r1'!W14+'r1'!X14)</f>
        <v/>
      </c>
      <c r="J15" s="58" t="str">
        <f>IF('r1'!Y14="","",'r1'!Y14+'r1'!Z14)</f>
        <v/>
      </c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spans="2:37">
      <c r="B16" s="59" t="s">
        <v>178</v>
      </c>
      <c r="C16" s="59" t="str">
        <f>'r1'!C15</f>
        <v/>
      </c>
      <c r="D16" s="59" t="str">
        <f>IF('r1'!D15="","",'r1'!D15+'r1'!E15)</f>
        <v/>
      </c>
      <c r="E16" s="59" t="str">
        <f>IF('r1'!F15="","",'r1'!F15+'r1'!G15)</f>
        <v/>
      </c>
      <c r="F16" s="59" t="str">
        <f>IF('r1'!H15="","",'r1'!H15+'r1'!I15+'r1'!J15+'r1'!K15+'r1'!L15)</f>
        <v/>
      </c>
      <c r="G16" s="59" t="str">
        <f>IF('r1'!N15="","",'r1'!M15+'r1'!N15+'r1'!O15+'r1'!P15)</f>
        <v/>
      </c>
      <c r="H16" s="59" t="str">
        <f>IF('r1'!Q15="","",'r1'!Q15+'r1'!R15+'r1'!S15)</f>
        <v/>
      </c>
      <c r="I16" s="59" t="str">
        <f>IF('r1'!T15="","",'r1'!T15+'r1'!U15+'r1'!V15+'r1'!W15+'r1'!X15)</f>
        <v/>
      </c>
      <c r="J16" s="59" t="str">
        <f>IF('r1'!Y15="","",'r1'!Y15+'r1'!Z15)</f>
        <v/>
      </c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</row>
    <row r="17" spans="2:37">
      <c r="B17" s="58" t="s">
        <v>179</v>
      </c>
      <c r="C17" s="58" t="str">
        <f>'r1'!C16</f>
        <v/>
      </c>
      <c r="D17" s="58" t="str">
        <f>IF('r1'!D16="","",'r1'!D16+'r1'!E16)</f>
        <v/>
      </c>
      <c r="E17" s="58" t="str">
        <f>IF('r1'!F16="","",'r1'!F16+'r1'!G16)</f>
        <v/>
      </c>
      <c r="F17" s="58" t="str">
        <f>IF('r1'!H16="","",'r1'!H16+'r1'!I16+'r1'!J16+'r1'!K16+'r1'!L16)</f>
        <v/>
      </c>
      <c r="G17" s="58" t="str">
        <f>IF('r1'!N16="","",'r1'!M16+'r1'!N16+'r1'!O16+'r1'!P16)</f>
        <v/>
      </c>
      <c r="H17" s="58" t="str">
        <f>IF('r1'!Q16="","",'r1'!Q16+'r1'!R16+'r1'!S16)</f>
        <v/>
      </c>
      <c r="I17" s="58" t="str">
        <f>IF('r1'!T16="","",'r1'!T16+'r1'!U16+'r1'!V16+'r1'!W16+'r1'!X16)</f>
        <v/>
      </c>
      <c r="J17" s="58" t="str">
        <f>IF('r1'!Y16="","",'r1'!Y16+'r1'!Z16)</f>
        <v/>
      </c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spans="2:37">
      <c r="B18" s="59" t="s">
        <v>180</v>
      </c>
      <c r="C18" s="59" t="str">
        <f>'r1'!C17</f>
        <v/>
      </c>
      <c r="D18" s="59" t="str">
        <f>IF('r1'!D17="","",'r1'!D17+'r1'!E17)</f>
        <v/>
      </c>
      <c r="E18" s="59" t="str">
        <f>IF('r1'!F17="","",'r1'!F17+'r1'!G17)</f>
        <v/>
      </c>
      <c r="F18" s="59" t="str">
        <f>IF('r1'!H17="","",'r1'!H17+'r1'!I17+'r1'!J17+'r1'!K17+'r1'!L17)</f>
        <v/>
      </c>
      <c r="G18" s="59" t="str">
        <f>IF('r1'!N17="","",'r1'!M17+'r1'!N17+'r1'!O17+'r1'!P17)</f>
        <v/>
      </c>
      <c r="H18" s="59" t="str">
        <f>IF('r1'!Q17="","",'r1'!Q17+'r1'!R17+'r1'!S17)</f>
        <v/>
      </c>
      <c r="I18" s="59" t="str">
        <f>IF('r1'!T17="","",'r1'!T17+'r1'!U17+'r1'!V17+'r1'!W17+'r1'!X17)</f>
        <v/>
      </c>
      <c r="J18" s="59" t="str">
        <f>IF('r1'!Y17="","",'r1'!Y17+'r1'!Z17)</f>
        <v/>
      </c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</row>
    <row r="19" spans="2:37">
      <c r="B19" s="58" t="s">
        <v>181</v>
      </c>
      <c r="C19" s="58" t="str">
        <f>'r1'!C18</f>
        <v/>
      </c>
      <c r="D19" s="58" t="str">
        <f>IF('r1'!D18="","",'r1'!D18+'r1'!E18)</f>
        <v/>
      </c>
      <c r="E19" s="58" t="str">
        <f>IF('r1'!F18="","",'r1'!F18+'r1'!G18)</f>
        <v/>
      </c>
      <c r="F19" s="58" t="str">
        <f>IF('r1'!H18="","",'r1'!H18+'r1'!I18+'r1'!J18+'r1'!K18+'r1'!L18)</f>
        <v/>
      </c>
      <c r="G19" s="58" t="str">
        <f>IF('r1'!N18="","",'r1'!M18+'r1'!N18+'r1'!O18+'r1'!P18)</f>
        <v/>
      </c>
      <c r="H19" s="58" t="str">
        <f>IF('r1'!Q18="","",'r1'!Q18+'r1'!R18+'r1'!S18)</f>
        <v/>
      </c>
      <c r="I19" s="58" t="str">
        <f>IF('r1'!T18="","",'r1'!T18+'r1'!U18+'r1'!V18+'r1'!W18+'r1'!X18)</f>
        <v/>
      </c>
      <c r="J19" s="58" t="str">
        <f>IF('r1'!Y18="","",'r1'!Y18+'r1'!Z18)</f>
        <v/>
      </c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0" spans="2:37">
      <c r="B20" s="59" t="s">
        <v>182</v>
      </c>
      <c r="C20" s="59" t="str">
        <f>'r1'!C19</f>
        <v/>
      </c>
      <c r="D20" s="59" t="str">
        <f>IF('r1'!D19="","",'r1'!D19+'r1'!E19)</f>
        <v/>
      </c>
      <c r="E20" s="59" t="str">
        <f>IF('r1'!F19="","",'r1'!F19+'r1'!G19)</f>
        <v/>
      </c>
      <c r="F20" s="59" t="str">
        <f>IF('r1'!H19="","",'r1'!H19+'r1'!I19+'r1'!J19+'r1'!K19+'r1'!L19)</f>
        <v/>
      </c>
      <c r="G20" s="59" t="str">
        <f>IF('r1'!N19="","",'r1'!M19+'r1'!N19+'r1'!O19+'r1'!P19)</f>
        <v/>
      </c>
      <c r="H20" s="59" t="str">
        <f>IF('r1'!Q19="","",'r1'!Q19+'r1'!R19+'r1'!S19)</f>
        <v/>
      </c>
      <c r="I20" s="59" t="str">
        <f>IF('r1'!T19="","",'r1'!T19+'r1'!U19+'r1'!V19+'r1'!W19+'r1'!X19)</f>
        <v/>
      </c>
      <c r="J20" s="59" t="str">
        <f>IF('r1'!Y19="","",'r1'!Y19+'r1'!Z19)</f>
        <v/>
      </c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</row>
    <row r="21" spans="2:37">
      <c r="B21" s="58" t="s">
        <v>183</v>
      </c>
      <c r="C21" s="58" t="str">
        <f>'r1'!C20</f>
        <v/>
      </c>
      <c r="D21" s="58" t="str">
        <f>IF('r1'!D20="","",'r1'!D20+'r1'!E20)</f>
        <v/>
      </c>
      <c r="E21" s="58" t="str">
        <f>IF('r1'!F20="","",'r1'!F20+'r1'!G20)</f>
        <v/>
      </c>
      <c r="F21" s="58" t="str">
        <f>IF('r1'!H20="","",'r1'!H20+'r1'!I20+'r1'!J20+'r1'!K20+'r1'!L20)</f>
        <v/>
      </c>
      <c r="G21" s="58" t="str">
        <f>IF('r1'!N20="","",'r1'!M20+'r1'!N20+'r1'!O20+'r1'!P20)</f>
        <v/>
      </c>
      <c r="H21" s="58" t="str">
        <f>IF('r1'!Q20="","",'r1'!Q20+'r1'!R20+'r1'!S20)</f>
        <v/>
      </c>
      <c r="I21" s="58" t="str">
        <f>IF('r1'!T20="","",'r1'!T20+'r1'!U20+'r1'!V20+'r1'!W20+'r1'!X20)</f>
        <v/>
      </c>
      <c r="J21" s="58" t="str">
        <f>IF('r1'!Y20="","",'r1'!Y20+'r1'!Z20)</f>
        <v/>
      </c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2:37">
      <c r="B22" s="59" t="s">
        <v>184</v>
      </c>
      <c r="C22" s="59" t="str">
        <f>'r1'!C21</f>
        <v/>
      </c>
      <c r="D22" s="59" t="str">
        <f>IF('r1'!D21="","",'r1'!D21+'r1'!E21)</f>
        <v/>
      </c>
      <c r="E22" s="59" t="str">
        <f>IF('r1'!F21="","",'r1'!F21+'r1'!G21)</f>
        <v/>
      </c>
      <c r="F22" s="59" t="str">
        <f>IF('r1'!H21="","",'r1'!H21+'r1'!I21+'r1'!J21+'r1'!K21+'r1'!L21)</f>
        <v/>
      </c>
      <c r="G22" s="59" t="str">
        <f>IF('r1'!N21="","",'r1'!M21+'r1'!N21+'r1'!O21+'r1'!P21)</f>
        <v/>
      </c>
      <c r="H22" s="59" t="str">
        <f>IF('r1'!Q21="","",'r1'!Q21+'r1'!R21+'r1'!S21)</f>
        <v/>
      </c>
      <c r="I22" s="59" t="str">
        <f>IF('r1'!T21="","",'r1'!T21+'r1'!U21+'r1'!V21+'r1'!W21+'r1'!X21)</f>
        <v/>
      </c>
      <c r="J22" s="59" t="str">
        <f>IF('r1'!Y21="","",'r1'!Y21+'r1'!Z21)</f>
        <v/>
      </c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</row>
    <row r="23" spans="2:37">
      <c r="B23" s="58" t="s">
        <v>222</v>
      </c>
      <c r="C23" s="58" t="str">
        <f>'r1'!C22</f>
        <v/>
      </c>
      <c r="D23" s="58" t="str">
        <f>IF('r1'!D22="","",'r1'!D22+'r1'!E22)</f>
        <v/>
      </c>
      <c r="E23" s="58" t="str">
        <f>IF('r1'!F22="","",'r1'!F22+'r1'!G22)</f>
        <v/>
      </c>
      <c r="F23" s="58" t="str">
        <f>IF('r1'!H22="","",'r1'!H22+'r1'!I22+'r1'!J22+'r1'!K22+'r1'!L22)</f>
        <v/>
      </c>
      <c r="G23" s="58" t="str">
        <f>IF('r1'!N22="","",'r1'!M22+'r1'!N22+'r1'!O22+'r1'!P22)</f>
        <v/>
      </c>
      <c r="H23" s="58" t="str">
        <f>IF('r1'!Q22="","",'r1'!Q22+'r1'!R22+'r1'!S22)</f>
        <v/>
      </c>
      <c r="I23" s="58" t="str">
        <f>IF('r1'!T22="","",'r1'!T22+'r1'!U22+'r1'!V22+'r1'!W22+'r1'!X22)</f>
        <v/>
      </c>
      <c r="J23" s="58" t="str">
        <f>IF('r1'!Y22="","",'r1'!Y22+'r1'!Z22)</f>
        <v/>
      </c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</row>
    <row r="24" spans="2:37">
      <c r="B24" s="59" t="s">
        <v>185</v>
      </c>
      <c r="C24" s="59" t="str">
        <f>'r1'!C23</f>
        <v/>
      </c>
      <c r="D24" s="59" t="str">
        <f>IF('r1'!D23="","",'r1'!D23+'r1'!E23)</f>
        <v/>
      </c>
      <c r="E24" s="59" t="str">
        <f>IF('r1'!F23="","",'r1'!F23+'r1'!G23)</f>
        <v/>
      </c>
      <c r="F24" s="59" t="str">
        <f>IF('r1'!H23="","",'r1'!H23+'r1'!I23+'r1'!J23+'r1'!K23+'r1'!L23)</f>
        <v/>
      </c>
      <c r="G24" s="59" t="str">
        <f>IF('r1'!N23="","",'r1'!M23+'r1'!N23+'r1'!O23+'r1'!P23)</f>
        <v/>
      </c>
      <c r="H24" s="59" t="str">
        <f>IF('r1'!Q23="","",'r1'!Q23+'r1'!R23+'r1'!S23)</f>
        <v/>
      </c>
      <c r="I24" s="59" t="str">
        <f>IF('r1'!T23="","",'r1'!T23+'r1'!U23+'r1'!V23+'r1'!W23+'r1'!X23)</f>
        <v/>
      </c>
      <c r="J24" s="59" t="str">
        <f>IF('r1'!Y23="","",'r1'!Y23+'r1'!Z23)</f>
        <v/>
      </c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</row>
    <row r="25" spans="2:37">
      <c r="B25" s="58" t="s">
        <v>186</v>
      </c>
      <c r="C25" s="58" t="str">
        <f>'r1'!C24</f>
        <v/>
      </c>
      <c r="D25" s="58" t="str">
        <f>IF('r1'!D24="","",'r1'!D24+'r1'!E24)</f>
        <v/>
      </c>
      <c r="E25" s="58" t="str">
        <f>IF('r1'!F24="","",'r1'!F24+'r1'!G24)</f>
        <v/>
      </c>
      <c r="F25" s="58" t="str">
        <f>IF('r1'!H24="","",'r1'!H24+'r1'!I24+'r1'!J24+'r1'!K24+'r1'!L24)</f>
        <v/>
      </c>
      <c r="G25" s="58" t="str">
        <f>IF('r1'!N24="","",'r1'!M24+'r1'!N24+'r1'!O24+'r1'!P24)</f>
        <v/>
      </c>
      <c r="H25" s="58" t="str">
        <f>IF('r1'!Q24="","",'r1'!Q24+'r1'!R24+'r1'!S24)</f>
        <v/>
      </c>
      <c r="I25" s="58" t="str">
        <f>IF('r1'!T24="","",'r1'!T24+'r1'!U24+'r1'!V24+'r1'!W24+'r1'!X24)</f>
        <v/>
      </c>
      <c r="J25" s="58" t="str">
        <f>IF('r1'!Y24="","",'r1'!Y24+'r1'!Z24)</f>
        <v/>
      </c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</row>
    <row r="26" spans="2:37">
      <c r="B26" s="59" t="s">
        <v>187</v>
      </c>
      <c r="C26" s="59" t="str">
        <f>'r1'!C25</f>
        <v/>
      </c>
      <c r="D26" s="59" t="str">
        <f>IF('r1'!D25="","",'r1'!D25+'r1'!E25)</f>
        <v/>
      </c>
      <c r="E26" s="59" t="str">
        <f>IF('r1'!F25="","",'r1'!F25+'r1'!G25)</f>
        <v/>
      </c>
      <c r="F26" s="59" t="str">
        <f>IF('r1'!H25="","",'r1'!H25+'r1'!I25+'r1'!J25+'r1'!K25+'r1'!L25)</f>
        <v/>
      </c>
      <c r="G26" s="59" t="str">
        <f>IF('r1'!N25="","",'r1'!M25+'r1'!N25+'r1'!O25+'r1'!P25)</f>
        <v/>
      </c>
      <c r="H26" s="59" t="str">
        <f>IF('r1'!Q25="","",'r1'!Q25+'r1'!R25+'r1'!S25)</f>
        <v/>
      </c>
      <c r="I26" s="59" t="str">
        <f>IF('r1'!T25="","",'r1'!T25+'r1'!U25+'r1'!V25+'r1'!W25+'r1'!X25)</f>
        <v/>
      </c>
      <c r="J26" s="59" t="str">
        <f>IF('r1'!Y25="","",'r1'!Y25+'r1'!Z25)</f>
        <v/>
      </c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</row>
    <row r="27" spans="2:37">
      <c r="B27" s="58" t="s">
        <v>188</v>
      </c>
      <c r="C27" s="58" t="str">
        <f>'r1'!C26</f>
        <v/>
      </c>
      <c r="D27" s="58" t="str">
        <f>IF('r1'!D26="","",'r1'!D26+'r1'!E26)</f>
        <v/>
      </c>
      <c r="E27" s="58" t="str">
        <f>IF('r1'!F26="","",'r1'!F26+'r1'!G26)</f>
        <v/>
      </c>
      <c r="F27" s="58" t="str">
        <f>IF('r1'!H26="","",'r1'!H26+'r1'!I26+'r1'!J26+'r1'!K26+'r1'!L26)</f>
        <v/>
      </c>
      <c r="G27" s="58" t="str">
        <f>IF('r1'!N26="","",'r1'!M26+'r1'!N26+'r1'!O26+'r1'!P26)</f>
        <v/>
      </c>
      <c r="H27" s="58" t="str">
        <f>IF('r1'!Q26="","",'r1'!Q26+'r1'!R26+'r1'!S26)</f>
        <v/>
      </c>
      <c r="I27" s="58" t="str">
        <f>IF('r1'!T26="","",'r1'!T26+'r1'!U26+'r1'!V26+'r1'!W26+'r1'!X26)</f>
        <v/>
      </c>
      <c r="J27" s="58" t="str">
        <f>IF('r1'!Y26="","",'r1'!Y26+'r1'!Z26)</f>
        <v/>
      </c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</row>
    <row r="28" spans="2:37">
      <c r="B28" s="59" t="s">
        <v>189</v>
      </c>
      <c r="C28" s="59" t="str">
        <f>'r1'!C27</f>
        <v/>
      </c>
      <c r="D28" s="59" t="str">
        <f>IF('r1'!D27="","",'r1'!D27+'r1'!E27)</f>
        <v/>
      </c>
      <c r="E28" s="59" t="str">
        <f>IF('r1'!F27="","",'r1'!F27+'r1'!G27)</f>
        <v/>
      </c>
      <c r="F28" s="59" t="str">
        <f>IF('r1'!H27="","",'r1'!H27+'r1'!I27+'r1'!J27+'r1'!K27+'r1'!L27)</f>
        <v/>
      </c>
      <c r="G28" s="59" t="str">
        <f>IF('r1'!N27="","",'r1'!M27+'r1'!N27+'r1'!O27+'r1'!P27)</f>
        <v/>
      </c>
      <c r="H28" s="59" t="str">
        <f>IF('r1'!Q27="","",'r1'!Q27+'r1'!R27+'r1'!S27)</f>
        <v/>
      </c>
      <c r="I28" s="59" t="str">
        <f>IF('r1'!T27="","",'r1'!T27+'r1'!U27+'r1'!V27+'r1'!W27+'r1'!X27)</f>
        <v/>
      </c>
      <c r="J28" s="59" t="str">
        <f>IF('r1'!Y27="","",'r1'!Y27+'r1'!Z27)</f>
        <v/>
      </c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</row>
    <row r="29" spans="2:37">
      <c r="B29" s="58" t="s">
        <v>190</v>
      </c>
      <c r="C29" s="58" t="str">
        <f>'r1'!C28</f>
        <v/>
      </c>
      <c r="D29" s="58" t="str">
        <f>IF('r1'!D28="","",'r1'!D28+'r1'!E28)</f>
        <v/>
      </c>
      <c r="E29" s="58" t="str">
        <f>IF('r1'!F28="","",'r1'!F28+'r1'!G28)</f>
        <v/>
      </c>
      <c r="F29" s="58" t="str">
        <f>IF('r1'!H28="","",'r1'!H28+'r1'!I28+'r1'!J28+'r1'!K28+'r1'!L28)</f>
        <v/>
      </c>
      <c r="G29" s="58" t="str">
        <f>IF('r1'!N28="","",'r1'!M28+'r1'!N28+'r1'!O28+'r1'!P28)</f>
        <v/>
      </c>
      <c r="H29" s="58" t="str">
        <f>IF('r1'!Q28="","",'r1'!Q28+'r1'!R28+'r1'!S28)</f>
        <v/>
      </c>
      <c r="I29" s="58" t="str">
        <f>IF('r1'!T28="","",'r1'!T28+'r1'!U28+'r1'!V28+'r1'!W28+'r1'!X28)</f>
        <v/>
      </c>
      <c r="J29" s="58" t="str">
        <f>IF('r1'!Y28="","",'r1'!Y28+'r1'!Z28)</f>
        <v/>
      </c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2:37">
      <c r="B30" s="59" t="s">
        <v>191</v>
      </c>
      <c r="C30" s="59" t="str">
        <f>'r1'!C29</f>
        <v/>
      </c>
      <c r="D30" s="59" t="str">
        <f>IF('r1'!D29="","",'r1'!D29+'r1'!E29)</f>
        <v/>
      </c>
      <c r="E30" s="59" t="str">
        <f>IF('r1'!F29="","",'r1'!F29+'r1'!G29)</f>
        <v/>
      </c>
      <c r="F30" s="59" t="str">
        <f>IF('r1'!H29="","",'r1'!H29+'r1'!I29+'r1'!J29+'r1'!K29+'r1'!L29)</f>
        <v/>
      </c>
      <c r="G30" s="59" t="str">
        <f>IF('r1'!N29="","",'r1'!M29+'r1'!N29+'r1'!O29+'r1'!P29)</f>
        <v/>
      </c>
      <c r="H30" s="59" t="str">
        <f>IF('r1'!Q29="","",'r1'!Q29+'r1'!R29+'r1'!S29)</f>
        <v/>
      </c>
      <c r="I30" s="59" t="str">
        <f>IF('r1'!T29="","",'r1'!T29+'r1'!U29+'r1'!V29+'r1'!W29+'r1'!X29)</f>
        <v/>
      </c>
      <c r="J30" s="59" t="str">
        <f>IF('r1'!Y29="","",'r1'!Y29+'r1'!Z29)</f>
        <v/>
      </c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</row>
    <row r="31" spans="2:37">
      <c r="B31" s="58" t="s">
        <v>192</v>
      </c>
      <c r="C31" s="58" t="str">
        <f>'r1'!C30</f>
        <v/>
      </c>
      <c r="D31" s="58" t="str">
        <f>IF('r1'!D30="","",'r1'!D30+'r1'!E30)</f>
        <v/>
      </c>
      <c r="E31" s="58" t="str">
        <f>IF('r1'!F30="","",'r1'!F30+'r1'!G30)</f>
        <v/>
      </c>
      <c r="F31" s="58" t="str">
        <f>IF('r1'!H30="","",'r1'!H30+'r1'!I30+'r1'!J30+'r1'!K30+'r1'!L30)</f>
        <v/>
      </c>
      <c r="G31" s="58" t="str">
        <f>IF('r1'!N30="","",'r1'!M30+'r1'!N30+'r1'!O30+'r1'!P30)</f>
        <v/>
      </c>
      <c r="H31" s="58" t="str">
        <f>IF('r1'!Q30="","",'r1'!Q30+'r1'!R30+'r1'!S30)</f>
        <v/>
      </c>
      <c r="I31" s="58" t="str">
        <f>IF('r1'!T30="","",'r1'!T30+'r1'!U30+'r1'!V30+'r1'!W30+'r1'!X30)</f>
        <v/>
      </c>
      <c r="J31" s="58" t="str">
        <f>IF('r1'!Y30="","",'r1'!Y30+'r1'!Z30)</f>
        <v/>
      </c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2:37">
      <c r="B32" s="59" t="s">
        <v>193</v>
      </c>
      <c r="C32" s="59" t="str">
        <f>'r1'!C31</f>
        <v/>
      </c>
      <c r="D32" s="59" t="str">
        <f>IF('r1'!D31="","",'r1'!D31+'r1'!E31)</f>
        <v/>
      </c>
      <c r="E32" s="59" t="str">
        <f>IF('r1'!F31="","",'r1'!F31+'r1'!G31)</f>
        <v/>
      </c>
      <c r="F32" s="59" t="str">
        <f>IF('r1'!H31="","",'r1'!H31+'r1'!I31+'r1'!J31+'r1'!K31+'r1'!L31)</f>
        <v/>
      </c>
      <c r="G32" s="59" t="str">
        <f>IF('r1'!N31="","",'r1'!M31+'r1'!N31+'r1'!O31+'r1'!P31)</f>
        <v/>
      </c>
      <c r="H32" s="59" t="str">
        <f>IF('r1'!Q31="","",'r1'!Q31+'r1'!R31+'r1'!S31)</f>
        <v/>
      </c>
      <c r="I32" s="59" t="str">
        <f>IF('r1'!T31="","",'r1'!T31+'r1'!U31+'r1'!V31+'r1'!W31+'r1'!X31)</f>
        <v/>
      </c>
      <c r="J32" s="59" t="str">
        <f>IF('r1'!Y31="","",'r1'!Y31+'r1'!Z31)</f>
        <v/>
      </c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</row>
    <row r="33" spans="2:37">
      <c r="B33" s="58" t="s">
        <v>194</v>
      </c>
      <c r="C33" s="58" t="str">
        <f>'r1'!C32</f>
        <v/>
      </c>
      <c r="D33" s="58" t="str">
        <f>IF('r1'!D32="","",'r1'!D32+'r1'!E32)</f>
        <v/>
      </c>
      <c r="E33" s="58" t="str">
        <f>IF('r1'!F32="","",'r1'!F32+'r1'!G32)</f>
        <v/>
      </c>
      <c r="F33" s="58" t="str">
        <f>IF('r1'!H32="","",'r1'!H32+'r1'!I32+'r1'!J32+'r1'!K32+'r1'!L32)</f>
        <v/>
      </c>
      <c r="G33" s="58" t="str">
        <f>IF('r1'!N32="","",'r1'!M32+'r1'!N32+'r1'!O32+'r1'!P32)</f>
        <v/>
      </c>
      <c r="H33" s="58" t="str">
        <f>IF('r1'!Q32="","",'r1'!Q32+'r1'!R32+'r1'!S32)</f>
        <v/>
      </c>
      <c r="I33" s="58" t="str">
        <f>IF('r1'!T32="","",'r1'!T32+'r1'!U32+'r1'!V32+'r1'!W32+'r1'!X32)</f>
        <v/>
      </c>
      <c r="J33" s="58" t="str">
        <f>IF('r1'!Y32="","",'r1'!Y32+'r1'!Z32)</f>
        <v/>
      </c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2:37">
      <c r="B34" s="59" t="s">
        <v>195</v>
      </c>
      <c r="C34" s="59" t="str">
        <f>'r1'!C33</f>
        <v/>
      </c>
      <c r="D34" s="59" t="str">
        <f>IF('r1'!D33="","",'r1'!D33+'r1'!E33)</f>
        <v/>
      </c>
      <c r="E34" s="59" t="str">
        <f>IF('r1'!F33="","",'r1'!F33+'r1'!G33)</f>
        <v/>
      </c>
      <c r="F34" s="59" t="str">
        <f>IF('r1'!H33="","",'r1'!H33+'r1'!I33+'r1'!J33+'r1'!K33+'r1'!L33)</f>
        <v/>
      </c>
      <c r="G34" s="59" t="str">
        <f>IF('r1'!N33="","",'r1'!M33+'r1'!N33+'r1'!O33+'r1'!P33)</f>
        <v/>
      </c>
      <c r="H34" s="59" t="str">
        <f>IF('r1'!Q33="","",'r1'!Q33+'r1'!R33+'r1'!S33)</f>
        <v/>
      </c>
      <c r="I34" s="59" t="str">
        <f>IF('r1'!T33="","",'r1'!T33+'r1'!U33+'r1'!V33+'r1'!W33+'r1'!X33)</f>
        <v/>
      </c>
      <c r="J34" s="59" t="str">
        <f>IF('r1'!Y33="","",'r1'!Y33+'r1'!Z33)</f>
        <v/>
      </c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</row>
    <row r="35" spans="2:37">
      <c r="B35" s="58" t="s">
        <v>196</v>
      </c>
      <c r="C35" s="58" t="str">
        <f>'r1'!C34</f>
        <v/>
      </c>
      <c r="D35" s="58" t="str">
        <f>IF('r1'!D34="","",'r1'!D34+'r1'!E34)</f>
        <v/>
      </c>
      <c r="E35" s="58" t="str">
        <f>IF('r1'!F34="","",'r1'!F34+'r1'!G34)</f>
        <v/>
      </c>
      <c r="F35" s="58" t="str">
        <f>IF('r1'!H34="","",'r1'!H34+'r1'!I34+'r1'!J34+'r1'!K34+'r1'!L34)</f>
        <v/>
      </c>
      <c r="G35" s="58" t="str">
        <f>IF('r1'!N34="","",'r1'!M34+'r1'!N34+'r1'!O34+'r1'!P34)</f>
        <v/>
      </c>
      <c r="H35" s="58" t="str">
        <f>IF('r1'!Q34="","",'r1'!Q34+'r1'!R34+'r1'!S34)</f>
        <v/>
      </c>
      <c r="I35" s="58" t="str">
        <f>IF('r1'!T34="","",'r1'!T34+'r1'!U34+'r1'!V34+'r1'!W34+'r1'!X34)</f>
        <v/>
      </c>
      <c r="J35" s="58" t="str">
        <f>IF('r1'!Y34="","",'r1'!Y34+'r1'!Z34)</f>
        <v/>
      </c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2:37">
      <c r="B36" s="59" t="s">
        <v>197</v>
      </c>
      <c r="C36" s="59" t="str">
        <f>'r1'!C35</f>
        <v/>
      </c>
      <c r="D36" s="59" t="str">
        <f>IF('r1'!D35="","",'r1'!D35+'r1'!E35)</f>
        <v/>
      </c>
      <c r="E36" s="59" t="str">
        <f>IF('r1'!F35="","",'r1'!F35+'r1'!G35)</f>
        <v/>
      </c>
      <c r="F36" s="59" t="str">
        <f>IF('r1'!H35="","",'r1'!H35+'r1'!I35+'r1'!J35+'r1'!K35+'r1'!L35)</f>
        <v/>
      </c>
      <c r="G36" s="59" t="str">
        <f>IF('r1'!N35="","",'r1'!M35+'r1'!N35+'r1'!O35+'r1'!P35)</f>
        <v/>
      </c>
      <c r="H36" s="59" t="str">
        <f>IF('r1'!Q35="","",'r1'!Q35+'r1'!R35+'r1'!S35)</f>
        <v/>
      </c>
      <c r="I36" s="59" t="str">
        <f>IF('r1'!T35="","",'r1'!T35+'r1'!U35+'r1'!V35+'r1'!W35+'r1'!X35)</f>
        <v/>
      </c>
      <c r="J36" s="59" t="str">
        <f>IF('r1'!Y35="","",'r1'!Y35+'r1'!Z35)</f>
        <v/>
      </c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</row>
    <row r="37" spans="2:37">
      <c r="B37" s="58" t="s">
        <v>198</v>
      </c>
      <c r="C37" s="58" t="str">
        <f>'r1'!C36</f>
        <v/>
      </c>
      <c r="D37" s="58" t="str">
        <f>IF('r1'!D36="","",'r1'!D36+'r1'!E36)</f>
        <v/>
      </c>
      <c r="E37" s="58" t="str">
        <f>IF('r1'!F36="","",'r1'!F36+'r1'!G36)</f>
        <v/>
      </c>
      <c r="F37" s="58" t="str">
        <f>IF('r1'!H36="","",'r1'!H36+'r1'!I36+'r1'!J36+'r1'!K36+'r1'!L36)</f>
        <v/>
      </c>
      <c r="G37" s="58" t="str">
        <f>IF('r1'!N36="","",'r1'!M36+'r1'!N36+'r1'!O36+'r1'!P36)</f>
        <v/>
      </c>
      <c r="H37" s="58" t="str">
        <f>IF('r1'!Q36="","",'r1'!Q36+'r1'!R36+'r1'!S36)</f>
        <v/>
      </c>
      <c r="I37" s="58" t="str">
        <f>IF('r1'!T36="","",'r1'!T36+'r1'!U36+'r1'!V36+'r1'!W36+'r1'!X36)</f>
        <v/>
      </c>
      <c r="J37" s="58" t="str">
        <f>IF('r1'!Y36="","",'r1'!Y36+'r1'!Z36)</f>
        <v/>
      </c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  <row r="38" spans="2:37">
      <c r="B38" s="59" t="s">
        <v>199</v>
      </c>
      <c r="C38" s="59" t="str">
        <f>'r1'!C37</f>
        <v/>
      </c>
      <c r="D38" s="59" t="str">
        <f>IF('r1'!D37="","",'r1'!D37+'r1'!E37)</f>
        <v/>
      </c>
      <c r="E38" s="59" t="str">
        <f>IF('r1'!F37="","",'r1'!F37+'r1'!G37)</f>
        <v/>
      </c>
      <c r="F38" s="59" t="str">
        <f>IF('r1'!H37="","",'r1'!H37+'r1'!I37+'r1'!J37+'r1'!K37+'r1'!L37)</f>
        <v/>
      </c>
      <c r="G38" s="59" t="str">
        <f>IF('r1'!N37="","",'r1'!M37+'r1'!N37+'r1'!O37+'r1'!P37)</f>
        <v/>
      </c>
      <c r="H38" s="59" t="str">
        <f>IF('r1'!Q37="","",'r1'!Q37+'r1'!R37+'r1'!S37)</f>
        <v/>
      </c>
      <c r="I38" s="59" t="str">
        <f>IF('r1'!T37="","",'r1'!T37+'r1'!U37+'r1'!V37+'r1'!W37+'r1'!X37)</f>
        <v/>
      </c>
      <c r="J38" s="59" t="str">
        <f>IF('r1'!Y37="","",'r1'!Y37+'r1'!Z37)</f>
        <v/>
      </c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</row>
    <row r="39" spans="2:37">
      <c r="B39" s="58" t="s">
        <v>200</v>
      </c>
      <c r="C39" s="58" t="str">
        <f>'r1'!C38</f>
        <v/>
      </c>
      <c r="D39" s="58" t="str">
        <f>IF('r1'!D38="","",'r1'!D38+'r1'!E38)</f>
        <v/>
      </c>
      <c r="E39" s="58" t="str">
        <f>IF('r1'!F38="","",'r1'!F38+'r1'!G38)</f>
        <v/>
      </c>
      <c r="F39" s="58" t="str">
        <f>IF('r1'!H38="","",'r1'!H38+'r1'!I38+'r1'!J38+'r1'!K38+'r1'!L38)</f>
        <v/>
      </c>
      <c r="G39" s="58" t="str">
        <f>IF('r1'!N38="","",'r1'!M38+'r1'!N38+'r1'!O38+'r1'!P38)</f>
        <v/>
      </c>
      <c r="H39" s="58" t="str">
        <f>IF('r1'!Q38="","",'r1'!Q38+'r1'!R38+'r1'!S38)</f>
        <v/>
      </c>
      <c r="I39" s="58" t="str">
        <f>IF('r1'!T38="","",'r1'!T38+'r1'!U38+'r1'!V38+'r1'!W38+'r1'!X38)</f>
        <v/>
      </c>
      <c r="J39" s="58" t="str">
        <f>IF('r1'!Y38="","",'r1'!Y38+'r1'!Z38)</f>
        <v/>
      </c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</row>
    <row r="40" spans="2:37">
      <c r="B40" s="59" t="s">
        <v>201</v>
      </c>
      <c r="C40" s="59" t="str">
        <f>'r1'!C39</f>
        <v/>
      </c>
      <c r="D40" s="59" t="str">
        <f>IF('r1'!D39="","",'r1'!D39+'r1'!E39)</f>
        <v/>
      </c>
      <c r="E40" s="59" t="str">
        <f>IF('r1'!F39="","",'r1'!F39+'r1'!G39)</f>
        <v/>
      </c>
      <c r="F40" s="59" t="str">
        <f>IF('r1'!H39="","",'r1'!H39+'r1'!I39+'r1'!J39+'r1'!K39+'r1'!L39)</f>
        <v/>
      </c>
      <c r="G40" s="59" t="str">
        <f>IF('r1'!N39="","",'r1'!M39+'r1'!N39+'r1'!O39+'r1'!P39)</f>
        <v/>
      </c>
      <c r="H40" s="59" t="str">
        <f>IF('r1'!Q39="","",'r1'!Q39+'r1'!R39+'r1'!S39)</f>
        <v/>
      </c>
      <c r="I40" s="59" t="str">
        <f>IF('r1'!T39="","",'r1'!T39+'r1'!U39+'r1'!V39+'r1'!W39+'r1'!X39)</f>
        <v/>
      </c>
      <c r="J40" s="59" t="str">
        <f>IF('r1'!Y39="","",'r1'!Y39+'r1'!Z39)</f>
        <v/>
      </c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</row>
    <row r="41" spans="2:37">
      <c r="B41" s="58" t="s">
        <v>202</v>
      </c>
      <c r="C41" s="58" t="str">
        <f>'r1'!C40</f>
        <v/>
      </c>
      <c r="D41" s="58" t="str">
        <f>IF('r1'!D40="","",'r1'!D40+'r1'!E40)</f>
        <v/>
      </c>
      <c r="E41" s="58" t="str">
        <f>IF('r1'!F40="","",'r1'!F40+'r1'!G40)</f>
        <v/>
      </c>
      <c r="F41" s="58" t="str">
        <f>IF('r1'!H40="","",'r1'!H40+'r1'!I40+'r1'!J40+'r1'!K40+'r1'!L40)</f>
        <v/>
      </c>
      <c r="G41" s="58" t="str">
        <f>IF('r1'!N40="","",'r1'!M40+'r1'!N40+'r1'!O40+'r1'!P40)</f>
        <v/>
      </c>
      <c r="H41" s="58" t="str">
        <f>IF('r1'!Q40="","",'r1'!Q40+'r1'!R40+'r1'!S40)</f>
        <v/>
      </c>
      <c r="I41" s="58" t="str">
        <f>IF('r1'!T40="","",'r1'!T40+'r1'!U40+'r1'!V40+'r1'!W40+'r1'!X40)</f>
        <v/>
      </c>
      <c r="J41" s="58" t="str">
        <f>IF('r1'!Y40="","",'r1'!Y40+'r1'!Z40)</f>
        <v/>
      </c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spans="2:37">
      <c r="B42" s="59" t="s">
        <v>203</v>
      </c>
      <c r="C42" s="59" t="str">
        <f>'r1'!C41</f>
        <v/>
      </c>
      <c r="D42" s="59" t="str">
        <f>IF('r1'!D41="","",'r1'!D41+'r1'!E41)</f>
        <v/>
      </c>
      <c r="E42" s="59" t="str">
        <f>IF('r1'!F41="","",'r1'!F41+'r1'!G41)</f>
        <v/>
      </c>
      <c r="F42" s="59" t="str">
        <f>IF('r1'!H41="","",'r1'!H41+'r1'!I41+'r1'!J41+'r1'!K41+'r1'!L41)</f>
        <v/>
      </c>
      <c r="G42" s="59" t="str">
        <f>IF('r1'!N41="","",'r1'!M41+'r1'!N41+'r1'!O41+'r1'!P41)</f>
        <v/>
      </c>
      <c r="H42" s="59" t="str">
        <f>IF('r1'!Q41="","",'r1'!Q41+'r1'!R41+'r1'!S41)</f>
        <v/>
      </c>
      <c r="I42" s="59" t="str">
        <f>IF('r1'!T41="","",'r1'!T41+'r1'!U41+'r1'!V41+'r1'!W41+'r1'!X41)</f>
        <v/>
      </c>
      <c r="J42" s="59" t="str">
        <f>IF('r1'!Y41="","",'r1'!Y41+'r1'!Z41)</f>
        <v/>
      </c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</row>
    <row r="43" spans="2:37">
      <c r="B43" s="58" t="s">
        <v>204</v>
      </c>
      <c r="C43" s="58" t="str">
        <f>'r1'!C42</f>
        <v/>
      </c>
      <c r="D43" s="58" t="str">
        <f>IF('r1'!D42="","",'r1'!D42+'r1'!E42)</f>
        <v/>
      </c>
      <c r="E43" s="58" t="str">
        <f>IF('r1'!F42="","",'r1'!F42+'r1'!G42)</f>
        <v/>
      </c>
      <c r="F43" s="58" t="str">
        <f>IF('r1'!H42="","",'r1'!H42+'r1'!I42+'r1'!J42+'r1'!K42+'r1'!L42)</f>
        <v/>
      </c>
      <c r="G43" s="58" t="str">
        <f>IF('r1'!N42="","",'r1'!M42+'r1'!N42+'r1'!O42+'r1'!P42)</f>
        <v/>
      </c>
      <c r="H43" s="58" t="str">
        <f>IF('r1'!Q42="","",'r1'!Q42+'r1'!R42+'r1'!S42)</f>
        <v/>
      </c>
      <c r="I43" s="58" t="str">
        <f>IF('r1'!T42="","",'r1'!T42+'r1'!U42+'r1'!V42+'r1'!W42+'r1'!X42)</f>
        <v/>
      </c>
      <c r="J43" s="58" t="str">
        <f>IF('r1'!Y42="","",'r1'!Y42+'r1'!Z42)</f>
        <v/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  <row r="44" spans="2:37">
      <c r="B44" s="59" t="s">
        <v>223</v>
      </c>
      <c r="C44" s="59" t="str">
        <f>'r1'!C43</f>
        <v/>
      </c>
      <c r="D44" s="59" t="str">
        <f>IF('r1'!D43="","",'r1'!D43+'r1'!E43)</f>
        <v/>
      </c>
      <c r="E44" s="59" t="str">
        <f>IF('r1'!F43="","",'r1'!F43+'r1'!G43)</f>
        <v/>
      </c>
      <c r="F44" s="59" t="str">
        <f>IF('r1'!H43="","",'r1'!H43+'r1'!I43+'r1'!J43+'r1'!K43+'r1'!L43)</f>
        <v/>
      </c>
      <c r="G44" s="59" t="str">
        <f>IF('r1'!N43="","",'r1'!M43+'r1'!N43+'r1'!O43+'r1'!P43)</f>
        <v/>
      </c>
      <c r="H44" s="59" t="str">
        <f>IF('r1'!Q43="","",'r1'!Q43+'r1'!R43+'r1'!S43)</f>
        <v/>
      </c>
      <c r="I44" s="59" t="str">
        <f>IF('r1'!T43="","",'r1'!T43+'r1'!U43+'r1'!V43+'r1'!W43+'r1'!X43)</f>
        <v/>
      </c>
      <c r="J44" s="59" t="str">
        <f>IF('r1'!Y43="","",'r1'!Y43+'r1'!Z43)</f>
        <v/>
      </c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</row>
    <row r="45" spans="2:37">
      <c r="B45" s="58" t="s">
        <v>205</v>
      </c>
      <c r="C45" s="58" t="str">
        <f>'r1'!C44</f>
        <v/>
      </c>
      <c r="D45" s="58" t="str">
        <f>IF('r1'!D44="","",'r1'!D44+'r1'!E44)</f>
        <v/>
      </c>
      <c r="E45" s="58" t="str">
        <f>IF('r1'!F44="","",'r1'!F44+'r1'!G44)</f>
        <v/>
      </c>
      <c r="F45" s="58" t="str">
        <f>IF('r1'!H44="","",'r1'!H44+'r1'!I44+'r1'!J44+'r1'!K44+'r1'!L44)</f>
        <v/>
      </c>
      <c r="G45" s="58" t="str">
        <f>IF('r1'!N44="","",'r1'!M44+'r1'!N44+'r1'!O44+'r1'!P44)</f>
        <v/>
      </c>
      <c r="H45" s="58" t="str">
        <f>IF('r1'!Q44="","",'r1'!Q44+'r1'!R44+'r1'!S44)</f>
        <v/>
      </c>
      <c r="I45" s="58" t="str">
        <f>IF('r1'!T44="","",'r1'!T44+'r1'!U44+'r1'!V44+'r1'!W44+'r1'!X44)</f>
        <v/>
      </c>
      <c r="J45" s="58" t="str">
        <f>IF('r1'!Y44="","",'r1'!Y44+'r1'!Z44)</f>
        <v/>
      </c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</row>
    <row r="46" spans="2:37">
      <c r="B46" s="59" t="s">
        <v>206</v>
      </c>
      <c r="C46" s="59" t="str">
        <f>'r1'!C45</f>
        <v/>
      </c>
      <c r="D46" s="59" t="str">
        <f>IF('r1'!D45="","",'r1'!D45+'r1'!E45)</f>
        <v/>
      </c>
      <c r="E46" s="59" t="str">
        <f>IF('r1'!F45="","",'r1'!F45+'r1'!G45)</f>
        <v/>
      </c>
      <c r="F46" s="59" t="str">
        <f>IF('r1'!H45="","",'r1'!H45+'r1'!I45+'r1'!J45+'r1'!K45+'r1'!L45)</f>
        <v/>
      </c>
      <c r="G46" s="59" t="str">
        <f>IF('r1'!N45="","",'r1'!M45+'r1'!N45+'r1'!O45+'r1'!P45)</f>
        <v/>
      </c>
      <c r="H46" s="59" t="str">
        <f>IF('r1'!Q45="","",'r1'!Q45+'r1'!R45+'r1'!S45)</f>
        <v/>
      </c>
      <c r="I46" s="59" t="str">
        <f>IF('r1'!T45="","",'r1'!T45+'r1'!U45+'r1'!V45+'r1'!W45+'r1'!X45)</f>
        <v/>
      </c>
      <c r="J46" s="59" t="str">
        <f>IF('r1'!Y45="","",'r1'!Y45+'r1'!Z45)</f>
        <v/>
      </c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</row>
    <row r="47" spans="2:37">
      <c r="B47" s="58" t="s">
        <v>207</v>
      </c>
      <c r="C47" s="58" t="str">
        <f>'r1'!C46</f>
        <v/>
      </c>
      <c r="D47" s="58" t="str">
        <f>IF('r1'!D46="","",'r1'!D46+'r1'!E46)</f>
        <v/>
      </c>
      <c r="E47" s="58" t="str">
        <f>IF('r1'!F46="","",'r1'!F46+'r1'!G46)</f>
        <v/>
      </c>
      <c r="F47" s="58" t="str">
        <f>IF('r1'!H46="","",'r1'!H46+'r1'!I46+'r1'!J46+'r1'!K46+'r1'!L46)</f>
        <v/>
      </c>
      <c r="G47" s="58" t="str">
        <f>IF('r1'!N46="","",'r1'!M46+'r1'!N46+'r1'!O46+'r1'!P46)</f>
        <v/>
      </c>
      <c r="H47" s="58" t="str">
        <f>IF('r1'!Q46="","",'r1'!Q46+'r1'!R46+'r1'!S46)</f>
        <v/>
      </c>
      <c r="I47" s="58" t="str">
        <f>IF('r1'!T46="","",'r1'!T46+'r1'!U46+'r1'!V46+'r1'!W46+'r1'!X46)</f>
        <v/>
      </c>
      <c r="J47" s="58" t="str">
        <f>IF('r1'!Y46="","",'r1'!Y46+'r1'!Z46)</f>
        <v/>
      </c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</row>
    <row r="48" spans="2:37">
      <c r="B48" s="59" t="s">
        <v>208</v>
      </c>
      <c r="C48" s="59" t="str">
        <f>'r1'!C47</f>
        <v/>
      </c>
      <c r="D48" s="59" t="str">
        <f>IF('r1'!D47="","",'r1'!D47+'r1'!E47)</f>
        <v/>
      </c>
      <c r="E48" s="59" t="str">
        <f>IF('r1'!F47="","",'r1'!F47+'r1'!G47)</f>
        <v/>
      </c>
      <c r="F48" s="59" t="str">
        <f>IF('r1'!H47="","",'r1'!H47+'r1'!I47+'r1'!J47+'r1'!K47+'r1'!L47)</f>
        <v/>
      </c>
      <c r="G48" s="59" t="str">
        <f>IF('r1'!N47="","",'r1'!M47+'r1'!N47+'r1'!O47+'r1'!P47)</f>
        <v/>
      </c>
      <c r="H48" s="59" t="str">
        <f>IF('r1'!Q47="","",'r1'!Q47+'r1'!R47+'r1'!S47)</f>
        <v/>
      </c>
      <c r="I48" s="59" t="str">
        <f>IF('r1'!T47="","",'r1'!T47+'r1'!U47+'r1'!V47+'r1'!W47+'r1'!X47)</f>
        <v/>
      </c>
      <c r="J48" s="59" t="str">
        <f>IF('r1'!Y47="","",'r1'!Y47+'r1'!Z47)</f>
        <v/>
      </c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</row>
    <row r="49" spans="2:37">
      <c r="B49" s="58" t="s">
        <v>209</v>
      </c>
      <c r="C49" s="58" t="str">
        <f>'r1'!C48</f>
        <v/>
      </c>
      <c r="D49" s="58" t="str">
        <f>IF('r1'!D48="","",'r1'!D48+'r1'!E48)</f>
        <v/>
      </c>
      <c r="E49" s="58" t="str">
        <f>IF('r1'!F48="","",'r1'!F48+'r1'!G48)</f>
        <v/>
      </c>
      <c r="F49" s="58" t="str">
        <f>IF('r1'!H48="","",'r1'!H48+'r1'!I48+'r1'!J48+'r1'!K48+'r1'!L48)</f>
        <v/>
      </c>
      <c r="G49" s="58" t="str">
        <f>IF('r1'!N48="","",'r1'!M48+'r1'!N48+'r1'!O48+'r1'!P48)</f>
        <v/>
      </c>
      <c r="H49" s="58" t="str">
        <f>IF('r1'!Q48="","",'r1'!Q48+'r1'!R48+'r1'!S48)</f>
        <v/>
      </c>
      <c r="I49" s="58" t="str">
        <f>IF('r1'!T48="","",'r1'!T48+'r1'!U48+'r1'!V48+'r1'!W48+'r1'!X48)</f>
        <v/>
      </c>
      <c r="J49" s="58" t="str">
        <f>IF('r1'!Y48="","",'r1'!Y48+'r1'!Z48)</f>
        <v/>
      </c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2:37">
      <c r="B50" s="59" t="s">
        <v>210</v>
      </c>
      <c r="C50" s="59" t="str">
        <f>'r1'!C49</f>
        <v/>
      </c>
      <c r="D50" s="59" t="str">
        <f>IF('r1'!D49="","",'r1'!D49+'r1'!E49)</f>
        <v/>
      </c>
      <c r="E50" s="59" t="str">
        <f>IF('r1'!F49="","",'r1'!F49+'r1'!G49)</f>
        <v/>
      </c>
      <c r="F50" s="59" t="str">
        <f>IF('r1'!H49="","",'r1'!H49+'r1'!I49+'r1'!J49+'r1'!K49+'r1'!L49)</f>
        <v/>
      </c>
      <c r="G50" s="59" t="str">
        <f>IF('r1'!N49="","",'r1'!M49+'r1'!N49+'r1'!O49+'r1'!P49)</f>
        <v/>
      </c>
      <c r="H50" s="59" t="str">
        <f>IF('r1'!Q49="","",'r1'!Q49+'r1'!R49+'r1'!S49)</f>
        <v/>
      </c>
      <c r="I50" s="59" t="str">
        <f>IF('r1'!T49="","",'r1'!T49+'r1'!U49+'r1'!V49+'r1'!W49+'r1'!X49)</f>
        <v/>
      </c>
      <c r="J50" s="59" t="str">
        <f>IF('r1'!Y49="","",'r1'!Y49+'r1'!Z49)</f>
        <v/>
      </c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</row>
    <row r="51" spans="2:37">
      <c r="B51" s="58" t="s">
        <v>211</v>
      </c>
      <c r="C51" s="58" t="str">
        <f>'r1'!C50</f>
        <v/>
      </c>
      <c r="D51" s="58" t="str">
        <f>IF('r1'!D50="","",'r1'!D50+'r1'!E50)</f>
        <v/>
      </c>
      <c r="E51" s="58" t="str">
        <f>IF('r1'!F50="","",'r1'!F50+'r1'!G50)</f>
        <v/>
      </c>
      <c r="F51" s="58" t="str">
        <f>IF('r1'!H50="","",'r1'!H50+'r1'!I50+'r1'!J50+'r1'!K50+'r1'!L50)</f>
        <v/>
      </c>
      <c r="G51" s="58" t="str">
        <f>IF('r1'!N50="","",'r1'!M50+'r1'!N50+'r1'!O50+'r1'!P50)</f>
        <v/>
      </c>
      <c r="H51" s="58" t="str">
        <f>IF('r1'!Q50="","",'r1'!Q50+'r1'!R50+'r1'!S50)</f>
        <v/>
      </c>
      <c r="I51" s="58" t="str">
        <f>IF('r1'!T50="","",'r1'!T50+'r1'!U50+'r1'!V50+'r1'!W50+'r1'!X50)</f>
        <v/>
      </c>
      <c r="J51" s="58" t="str">
        <f>IF('r1'!Y50="","",'r1'!Y50+'r1'!Z50)</f>
        <v/>
      </c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2:37">
      <c r="B52" s="59" t="s">
        <v>212</v>
      </c>
      <c r="C52" s="59" t="str">
        <f>'r1'!C51</f>
        <v/>
      </c>
      <c r="D52" s="59" t="str">
        <f>IF('r1'!D51="","",'r1'!D51+'r1'!E51)</f>
        <v/>
      </c>
      <c r="E52" s="59" t="str">
        <f>IF('r1'!F51="","",'r1'!F51+'r1'!G51)</f>
        <v/>
      </c>
      <c r="F52" s="59" t="str">
        <f>IF('r1'!H51="","",'r1'!H51+'r1'!I51+'r1'!J51+'r1'!K51+'r1'!L51)</f>
        <v/>
      </c>
      <c r="G52" s="59" t="str">
        <f>IF('r1'!N51="","",'r1'!M51+'r1'!N51+'r1'!O51+'r1'!P51)</f>
        <v/>
      </c>
      <c r="H52" s="59" t="str">
        <f>IF('r1'!Q51="","",'r1'!Q51+'r1'!R51+'r1'!S51)</f>
        <v/>
      </c>
      <c r="I52" s="59" t="str">
        <f>IF('r1'!T51="","",'r1'!T51+'r1'!U51+'r1'!V51+'r1'!W51+'r1'!X51)</f>
        <v/>
      </c>
      <c r="J52" s="59" t="str">
        <f>IF('r1'!Y51="","",'r1'!Y51+'r1'!Z51)</f>
        <v/>
      </c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</row>
    <row r="53" spans="2:37">
      <c r="B53" s="58" t="s">
        <v>213</v>
      </c>
      <c r="C53" s="58" t="str">
        <f>'r1'!C52</f>
        <v/>
      </c>
      <c r="D53" s="58" t="str">
        <f>IF('r1'!D52="","",'r1'!D52+'r1'!E52)</f>
        <v/>
      </c>
      <c r="E53" s="58" t="str">
        <f>IF('r1'!F52="","",'r1'!F52+'r1'!G52)</f>
        <v/>
      </c>
      <c r="F53" s="58" t="str">
        <f>IF('r1'!H52="","",'r1'!H52+'r1'!I52+'r1'!J52+'r1'!K52+'r1'!L52)</f>
        <v/>
      </c>
      <c r="G53" s="58" t="str">
        <f>IF('r1'!N52="","",'r1'!M52+'r1'!N52+'r1'!O52+'r1'!P52)</f>
        <v/>
      </c>
      <c r="H53" s="58" t="str">
        <f>IF('r1'!Q52="","",'r1'!Q52+'r1'!R52+'r1'!S52)</f>
        <v/>
      </c>
      <c r="I53" s="58" t="str">
        <f>IF('r1'!T52="","",'r1'!T52+'r1'!U52+'r1'!V52+'r1'!W52+'r1'!X52)</f>
        <v/>
      </c>
      <c r="J53" s="58" t="str">
        <f>IF('r1'!Y52="","",'r1'!Y52+'r1'!Z52)</f>
        <v/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2:37">
      <c r="B54" s="59" t="s">
        <v>214</v>
      </c>
      <c r="C54" s="59" t="str">
        <f>'r1'!C53</f>
        <v/>
      </c>
      <c r="D54" s="59" t="str">
        <f>IF('r1'!D53="","",'r1'!D53+'r1'!E53)</f>
        <v/>
      </c>
      <c r="E54" s="59" t="str">
        <f>IF('r1'!F53="","",'r1'!F53+'r1'!G53)</f>
        <v/>
      </c>
      <c r="F54" s="59" t="str">
        <f>IF('r1'!H53="","",'r1'!H53+'r1'!I53+'r1'!J53+'r1'!K53+'r1'!L53)</f>
        <v/>
      </c>
      <c r="G54" s="59" t="str">
        <f>IF('r1'!N53="","",'r1'!M53+'r1'!N53+'r1'!O53+'r1'!P53)</f>
        <v/>
      </c>
      <c r="H54" s="59" t="str">
        <f>IF('r1'!Q53="","",'r1'!Q53+'r1'!R53+'r1'!S53)</f>
        <v/>
      </c>
      <c r="I54" s="59" t="str">
        <f>IF('r1'!T53="","",'r1'!T53+'r1'!U53+'r1'!V53+'r1'!W53+'r1'!X53)</f>
        <v/>
      </c>
      <c r="J54" s="59" t="str">
        <f>IF('r1'!Y53="","",'r1'!Y53+'r1'!Z53)</f>
        <v/>
      </c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</row>
    <row r="55" spans="2:37">
      <c r="B55" s="58" t="s">
        <v>215</v>
      </c>
      <c r="C55" s="58" t="str">
        <f>'r1'!C54</f>
        <v/>
      </c>
      <c r="D55" s="58" t="str">
        <f>IF('r1'!D54="","",'r1'!D54+'r1'!E54)</f>
        <v/>
      </c>
      <c r="E55" s="58" t="str">
        <f>IF('r1'!F54="","",'r1'!F54+'r1'!G54)</f>
        <v/>
      </c>
      <c r="F55" s="58" t="str">
        <f>IF('r1'!H54="","",'r1'!H54+'r1'!I54+'r1'!J54+'r1'!K54+'r1'!L54)</f>
        <v/>
      </c>
      <c r="G55" s="58" t="str">
        <f>IF('r1'!N54="","",'r1'!M54+'r1'!N54+'r1'!O54+'r1'!P54)</f>
        <v/>
      </c>
      <c r="H55" s="58" t="str">
        <f>IF('r1'!Q54="","",'r1'!Q54+'r1'!R54+'r1'!S54)</f>
        <v/>
      </c>
      <c r="I55" s="58" t="str">
        <f>IF('r1'!T54="","",'r1'!T54+'r1'!U54+'r1'!V54+'r1'!W54+'r1'!X54)</f>
        <v/>
      </c>
      <c r="J55" s="58" t="str">
        <f>IF('r1'!Y54="","",'r1'!Y54+'r1'!Z54)</f>
        <v/>
      </c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2:37">
      <c r="B56" s="59" t="s">
        <v>216</v>
      </c>
      <c r="C56" s="59" t="str">
        <f>'r1'!C55</f>
        <v/>
      </c>
      <c r="D56" s="59" t="str">
        <f>IF('r1'!D55="","",'r1'!D55+'r1'!E55)</f>
        <v/>
      </c>
      <c r="E56" s="59" t="str">
        <f>IF('r1'!F55="","",'r1'!F55+'r1'!G55)</f>
        <v/>
      </c>
      <c r="F56" s="59" t="str">
        <f>IF('r1'!H55="","",'r1'!H55+'r1'!I55+'r1'!J55+'r1'!K55+'r1'!L55)</f>
        <v/>
      </c>
      <c r="G56" s="59" t="str">
        <f>IF('r1'!N55="","",'r1'!M55+'r1'!N55+'r1'!O55+'r1'!P55)</f>
        <v/>
      </c>
      <c r="H56" s="59" t="str">
        <f>IF('r1'!Q55="","",'r1'!Q55+'r1'!R55+'r1'!S55)</f>
        <v/>
      </c>
      <c r="I56" s="59" t="str">
        <f>IF('r1'!T55="","",'r1'!T55+'r1'!U55+'r1'!V55+'r1'!W55+'r1'!X55)</f>
        <v/>
      </c>
      <c r="J56" s="59" t="str">
        <f>IF('r1'!Y55="","",'r1'!Y55+'r1'!Z55)</f>
        <v/>
      </c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</row>
    <row r="57" spans="2:37">
      <c r="B57" s="58" t="s">
        <v>217</v>
      </c>
      <c r="C57" s="58" t="str">
        <f>'r1'!C56</f>
        <v/>
      </c>
      <c r="D57" s="58" t="str">
        <f>IF('r1'!D56="","",'r1'!D56+'r1'!E56)</f>
        <v/>
      </c>
      <c r="E57" s="58" t="str">
        <f>IF('r1'!F56="","",'r1'!F56+'r1'!G56)</f>
        <v/>
      </c>
      <c r="F57" s="58" t="str">
        <f>IF('r1'!H56="","",'r1'!H56+'r1'!I56+'r1'!J56+'r1'!K56+'r1'!L56)</f>
        <v/>
      </c>
      <c r="G57" s="58" t="str">
        <f>IF('r1'!N56="","",'r1'!M56+'r1'!N56+'r1'!O56+'r1'!P56)</f>
        <v/>
      </c>
      <c r="H57" s="58" t="str">
        <f>IF('r1'!Q56="","",'r1'!Q56+'r1'!R56+'r1'!S56)</f>
        <v/>
      </c>
      <c r="I57" s="58" t="str">
        <f>IF('r1'!T56="","",'r1'!T56+'r1'!U56+'r1'!V56+'r1'!W56+'r1'!X56)</f>
        <v/>
      </c>
      <c r="J57" s="58" t="str">
        <f>IF('r1'!Y56="","",'r1'!Y56+'r1'!Z56)</f>
        <v/>
      </c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2:37">
      <c r="B58" s="59" t="s">
        <v>218</v>
      </c>
      <c r="C58" s="59" t="str">
        <f>'r1'!C57</f>
        <v/>
      </c>
      <c r="D58" s="59" t="str">
        <f>IF('r1'!D57="","",'r1'!D57+'r1'!E57)</f>
        <v/>
      </c>
      <c r="E58" s="59" t="str">
        <f>IF('r1'!F57="","",'r1'!F57+'r1'!G57)</f>
        <v/>
      </c>
      <c r="F58" s="59" t="str">
        <f>IF('r1'!H57="","",'r1'!H57+'r1'!I57+'r1'!J57+'r1'!K57+'r1'!L57)</f>
        <v/>
      </c>
      <c r="G58" s="59" t="str">
        <f>IF('r1'!N57="","",'r1'!M57+'r1'!N57+'r1'!O57+'r1'!P57)</f>
        <v/>
      </c>
      <c r="H58" s="59" t="str">
        <f>IF('r1'!Q57="","",'r1'!Q57+'r1'!R57+'r1'!S57)</f>
        <v/>
      </c>
      <c r="I58" s="59" t="str">
        <f>IF('r1'!T57="","",'r1'!T57+'r1'!U57+'r1'!V57+'r1'!W57+'r1'!X57)</f>
        <v/>
      </c>
      <c r="J58" s="59" t="str">
        <f>IF('r1'!Y57="","",'r1'!Y57+'r1'!Z57)</f>
        <v/>
      </c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</row>
    <row r="59" spans="2:37">
      <c r="B59" s="58" t="s">
        <v>219</v>
      </c>
      <c r="C59" s="58" t="str">
        <f>'r1'!C58</f>
        <v/>
      </c>
      <c r="D59" s="58" t="str">
        <f>IF('r1'!D58="","",'r1'!D58+'r1'!E58)</f>
        <v/>
      </c>
      <c r="E59" s="58" t="str">
        <f>IF('r1'!F58="","",'r1'!F58+'r1'!G58)</f>
        <v/>
      </c>
      <c r="F59" s="58" t="str">
        <f>IF('r1'!H58="","",'r1'!H58+'r1'!I58+'r1'!J58+'r1'!K58+'r1'!L58)</f>
        <v/>
      </c>
      <c r="G59" s="58" t="str">
        <f>IF('r1'!N58="","",'r1'!M58+'r1'!N58+'r1'!O58+'r1'!P58)</f>
        <v/>
      </c>
      <c r="H59" s="58" t="str">
        <f>IF('r1'!Q58="","",'r1'!Q58+'r1'!R58+'r1'!S58)</f>
        <v/>
      </c>
      <c r="I59" s="58" t="str">
        <f>IF('r1'!T58="","",'r1'!T58+'r1'!U58+'r1'!V58+'r1'!W58+'r1'!X58)</f>
        <v/>
      </c>
      <c r="J59" s="58" t="str">
        <f>IF('r1'!Y58="","",'r1'!Y58+'r1'!Z58)</f>
        <v/>
      </c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</row>
    <row r="60" spans="2:37">
      <c r="B60" s="59" t="s">
        <v>220</v>
      </c>
      <c r="C60" s="59" t="str">
        <f>'r1'!C59</f>
        <v/>
      </c>
      <c r="D60" s="59" t="str">
        <f>IF('r1'!D59="","",'r1'!D59+'r1'!E59)</f>
        <v/>
      </c>
      <c r="E60" s="59" t="str">
        <f>IF('r1'!F59="","",'r1'!F59+'r1'!G59)</f>
        <v/>
      </c>
      <c r="F60" s="59" t="str">
        <f>IF('r1'!H59="","",'r1'!H59+'r1'!I59+'r1'!J59+'r1'!K59+'r1'!L59)</f>
        <v/>
      </c>
      <c r="G60" s="59" t="str">
        <f>IF('r1'!N59="","",'r1'!M59+'r1'!N59+'r1'!O59+'r1'!P59)</f>
        <v/>
      </c>
      <c r="H60" s="59" t="str">
        <f>IF('r1'!Q59="","",'r1'!Q59+'r1'!R59+'r1'!S59)</f>
        <v/>
      </c>
      <c r="I60" s="59" t="str">
        <f>IF('r1'!T59="","",'r1'!T59+'r1'!U59+'r1'!V59+'r1'!W59+'r1'!X59)</f>
        <v/>
      </c>
      <c r="J60" s="59" t="str">
        <f>IF('r1'!Y59="","",'r1'!Y59+'r1'!Z59)</f>
        <v/>
      </c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</row>
    <row r="61" spans="2:37">
      <c r="B61" s="58" t="s">
        <v>221</v>
      </c>
      <c r="C61" s="58" t="str">
        <f>'r1'!C60</f>
        <v/>
      </c>
      <c r="D61" s="58" t="str">
        <f>IF('r1'!D60="","",'r1'!D60+'r1'!E60)</f>
        <v/>
      </c>
      <c r="E61" s="58" t="str">
        <f>IF('r1'!F60="","",'r1'!F60+'r1'!G60)</f>
        <v/>
      </c>
      <c r="F61" s="58" t="str">
        <f>IF('r1'!H60="","",'r1'!H60+'r1'!I60+'r1'!J60+'r1'!K60+'r1'!L60)</f>
        <v/>
      </c>
      <c r="G61" s="58" t="str">
        <f>IF('r1'!N60="","",'r1'!M60+'r1'!N60+'r1'!O60+'r1'!P60)</f>
        <v/>
      </c>
      <c r="H61" s="58" t="str">
        <f>IF('r1'!Q60="","",'r1'!Q60+'r1'!R60+'r1'!S60)</f>
        <v/>
      </c>
      <c r="I61" s="58" t="str">
        <f>IF('r1'!T60="","",'r1'!T60+'r1'!U60+'r1'!V60+'r1'!W60+'r1'!X60)</f>
        <v/>
      </c>
      <c r="J61" s="58" t="str">
        <f>IF('r1'!Y60="","",'r1'!Y60+'r1'!Z60)</f>
        <v/>
      </c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</row>
    <row r="62" spans="2:37">
      <c r="C62" s="51">
        <f>SUM(C6:C61)</f>
        <v>0</v>
      </c>
      <c r="D62" s="51">
        <f t="shared" ref="D62:AK62" si="0">SUM(D6:D61)</f>
        <v>0</v>
      </c>
      <c r="E62" s="51">
        <f t="shared" si="0"/>
        <v>0</v>
      </c>
      <c r="F62" s="51">
        <f t="shared" si="0"/>
        <v>0</v>
      </c>
      <c r="G62" s="51">
        <f t="shared" si="0"/>
        <v>0</v>
      </c>
      <c r="H62" s="51">
        <f t="shared" si="0"/>
        <v>0</v>
      </c>
      <c r="I62" s="51">
        <f t="shared" si="0"/>
        <v>0</v>
      </c>
      <c r="J62" s="51">
        <f t="shared" si="0"/>
        <v>0</v>
      </c>
      <c r="K62" s="51">
        <f t="shared" si="0"/>
        <v>0</v>
      </c>
      <c r="L62" s="51">
        <f t="shared" si="0"/>
        <v>0</v>
      </c>
      <c r="M62" s="51">
        <f t="shared" si="0"/>
        <v>0</v>
      </c>
      <c r="N62" s="51">
        <f t="shared" si="0"/>
        <v>0</v>
      </c>
      <c r="O62" s="51">
        <f t="shared" si="0"/>
        <v>0</v>
      </c>
      <c r="P62" s="51">
        <f t="shared" si="0"/>
        <v>0</v>
      </c>
      <c r="Q62" s="51">
        <f t="shared" si="0"/>
        <v>0</v>
      </c>
      <c r="R62" s="51">
        <f t="shared" si="0"/>
        <v>0</v>
      </c>
      <c r="S62" s="51">
        <f t="shared" si="0"/>
        <v>0</v>
      </c>
      <c r="T62" s="51">
        <f t="shared" si="0"/>
        <v>0</v>
      </c>
      <c r="U62" s="51">
        <f t="shared" si="0"/>
        <v>0</v>
      </c>
      <c r="V62" s="51">
        <f t="shared" si="0"/>
        <v>0</v>
      </c>
      <c r="W62" s="51">
        <f t="shared" si="0"/>
        <v>0</v>
      </c>
      <c r="X62" s="51">
        <f t="shared" si="0"/>
        <v>0</v>
      </c>
      <c r="Y62" s="51">
        <f t="shared" si="0"/>
        <v>0</v>
      </c>
      <c r="Z62" s="51">
        <f t="shared" si="0"/>
        <v>0</v>
      </c>
      <c r="AA62" s="51">
        <f t="shared" si="0"/>
        <v>0</v>
      </c>
      <c r="AB62" s="51">
        <f t="shared" si="0"/>
        <v>0</v>
      </c>
      <c r="AC62" s="51">
        <f t="shared" si="0"/>
        <v>0</v>
      </c>
      <c r="AD62" s="51">
        <f t="shared" si="0"/>
        <v>0</v>
      </c>
      <c r="AE62" s="51">
        <f t="shared" si="0"/>
        <v>0</v>
      </c>
      <c r="AF62" s="51">
        <f t="shared" si="0"/>
        <v>0</v>
      </c>
      <c r="AG62" s="51">
        <f t="shared" si="0"/>
        <v>0</v>
      </c>
      <c r="AH62" s="51">
        <f t="shared" si="0"/>
        <v>0</v>
      </c>
      <c r="AI62" s="51">
        <f t="shared" si="0"/>
        <v>0</v>
      </c>
      <c r="AJ62" s="51">
        <f t="shared" si="0"/>
        <v>0</v>
      </c>
      <c r="AK62" s="51">
        <f t="shared" si="0"/>
        <v>0</v>
      </c>
    </row>
    <row r="63" spans="2:37" ht="14.25">
      <c r="D63" s="42"/>
      <c r="E63" s="42"/>
      <c r="F63" s="42"/>
      <c r="G63" s="42"/>
      <c r="H63" s="42"/>
    </row>
  </sheetData>
  <mergeCells count="6">
    <mergeCell ref="C2:T2"/>
    <mergeCell ref="AJ2:AK2"/>
    <mergeCell ref="AH2:AI2"/>
    <mergeCell ref="AD2:AG2"/>
    <mergeCell ref="Z2:AC2"/>
    <mergeCell ref="U2:Y2"/>
  </mergeCells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grup-1</vt:lpstr>
      <vt:lpstr>tab grup</vt:lpstr>
      <vt:lpstr>stat</vt:lpstr>
      <vt:lpstr>...</vt:lpstr>
      <vt:lpstr>tabela</vt:lpstr>
      <vt:lpstr>r1</vt:lpstr>
      <vt:lpstr>rpuch</vt:lpstr>
      <vt:lpstr>day by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</dc:creator>
  <cp:lastModifiedBy>Talwik Marcin</cp:lastModifiedBy>
  <dcterms:created xsi:type="dcterms:W3CDTF">2014-06-14T07:40:34Z</dcterms:created>
  <dcterms:modified xsi:type="dcterms:W3CDTF">2026-06-11T16:29:44Z</dcterms:modified>
</cp:coreProperties>
</file>